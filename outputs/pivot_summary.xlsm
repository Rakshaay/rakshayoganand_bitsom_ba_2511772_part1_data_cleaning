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F3DA624A-45D2-4FDF-A0AC-0D8E6A18E940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ales by Region" sheetId="3" r:id="rId1"/>
    <sheet name="Category Summary" sheetId="4" r:id="rId2"/>
    <sheet name="Ship Mode Summary" sheetId="6" r:id="rId3"/>
    <sheet name="Customer Segment Summary" sheetId="7" r:id="rId4"/>
    <sheet name="Order status by region(filter)" sheetId="9" r:id="rId5"/>
    <sheet name="Monthly sales trend" sheetId="10" r:id="rId6"/>
    <sheet name="Clean_orders" sheetId="1" r:id="rId7"/>
    <sheet name="business_rules" sheetId="2" r:id="rId8"/>
  </sheets>
  <calcPr calcId="191029"/>
  <pivotCaches>
    <pivotCache cacheId="17" r:id="rId9"/>
  </pivotCaches>
  <extLst>
    <ext uri="GoogleSheetsCustomDataVersion2">
      <go:sheetsCustomData xmlns:go="http://customooxmlschemas.google.com/" r:id="rId10" roundtripDataChecksum="RYyaw5h4zhTzRa8t7PWWZO3vKpaheYLTuN4Q6dNz1ds="/>
    </ext>
  </extLst>
</workbook>
</file>

<file path=xl/calcChain.xml><?xml version="1.0" encoding="utf-8"?>
<calcChain xmlns="http://schemas.openxmlformats.org/spreadsheetml/2006/main">
  <c r="AI3" i="1" l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I604" i="1"/>
  <c r="AI605" i="1"/>
  <c r="AI606" i="1"/>
  <c r="AI607" i="1"/>
  <c r="AI608" i="1"/>
  <c r="AI609" i="1"/>
  <c r="AI610" i="1"/>
  <c r="AI611" i="1"/>
  <c r="AI612" i="1"/>
  <c r="AI613" i="1"/>
  <c r="AI614" i="1"/>
  <c r="AI615" i="1"/>
  <c r="AI616" i="1"/>
  <c r="AI617" i="1"/>
  <c r="AI618" i="1"/>
  <c r="AI619" i="1"/>
  <c r="AI620" i="1"/>
  <c r="AI621" i="1"/>
  <c r="AI622" i="1"/>
  <c r="AI623" i="1"/>
  <c r="AI624" i="1"/>
  <c r="AI625" i="1"/>
  <c r="AI626" i="1"/>
  <c r="AI627" i="1"/>
  <c r="AI628" i="1"/>
  <c r="AI629" i="1"/>
  <c r="AI630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5" i="1"/>
  <c r="AI646" i="1"/>
  <c r="AI647" i="1"/>
  <c r="AI648" i="1"/>
  <c r="AI649" i="1"/>
  <c r="AI650" i="1"/>
  <c r="AI651" i="1"/>
  <c r="AI652" i="1"/>
  <c r="AI653" i="1"/>
  <c r="AI654" i="1"/>
  <c r="AI655" i="1"/>
  <c r="AI656" i="1"/>
  <c r="AI657" i="1"/>
  <c r="AI658" i="1"/>
  <c r="AI659" i="1"/>
  <c r="AI660" i="1"/>
  <c r="AI661" i="1"/>
  <c r="AI662" i="1"/>
  <c r="AI663" i="1"/>
  <c r="AI664" i="1"/>
  <c r="AI665" i="1"/>
  <c r="AI666" i="1"/>
  <c r="AI667" i="1"/>
  <c r="AI668" i="1"/>
  <c r="AI669" i="1"/>
  <c r="AI670" i="1"/>
  <c r="AI671" i="1"/>
  <c r="AI672" i="1"/>
  <c r="AI673" i="1"/>
  <c r="AI674" i="1"/>
  <c r="AI675" i="1"/>
  <c r="AI676" i="1"/>
  <c r="AI677" i="1"/>
  <c r="AI678" i="1"/>
  <c r="AI679" i="1"/>
  <c r="AI680" i="1"/>
  <c r="AI681" i="1"/>
  <c r="AI682" i="1"/>
  <c r="AI683" i="1"/>
  <c r="AI684" i="1"/>
  <c r="AI685" i="1"/>
  <c r="AI686" i="1"/>
  <c r="AI687" i="1"/>
  <c r="AI688" i="1"/>
  <c r="AI689" i="1"/>
  <c r="AI690" i="1"/>
  <c r="AI691" i="1"/>
  <c r="AI692" i="1"/>
  <c r="AI693" i="1"/>
  <c r="AI694" i="1"/>
  <c r="AI695" i="1"/>
  <c r="AI696" i="1"/>
  <c r="AI697" i="1"/>
  <c r="AI698" i="1"/>
  <c r="AI699" i="1"/>
  <c r="AI700" i="1"/>
  <c r="AI701" i="1"/>
  <c r="AI702" i="1"/>
  <c r="AI703" i="1"/>
  <c r="AI704" i="1"/>
  <c r="AI705" i="1"/>
  <c r="AI706" i="1"/>
  <c r="AI707" i="1"/>
  <c r="AI708" i="1"/>
  <c r="AI709" i="1"/>
  <c r="AI710" i="1"/>
  <c r="AI711" i="1"/>
  <c r="AI712" i="1"/>
  <c r="AI713" i="1"/>
  <c r="AI714" i="1"/>
  <c r="AI715" i="1"/>
  <c r="AI716" i="1"/>
  <c r="AI717" i="1"/>
  <c r="AI718" i="1"/>
  <c r="AI719" i="1"/>
  <c r="AI720" i="1"/>
  <c r="AI721" i="1"/>
  <c r="AI722" i="1"/>
  <c r="AI723" i="1"/>
  <c r="AI724" i="1"/>
  <c r="AI725" i="1"/>
  <c r="AI726" i="1"/>
  <c r="AI727" i="1"/>
  <c r="AI728" i="1"/>
  <c r="AI729" i="1"/>
  <c r="AI730" i="1"/>
  <c r="AI731" i="1"/>
  <c r="AI732" i="1"/>
  <c r="AI733" i="1"/>
  <c r="AI734" i="1"/>
  <c r="AI735" i="1"/>
  <c r="AI736" i="1"/>
  <c r="AI737" i="1"/>
  <c r="AI738" i="1"/>
  <c r="AI739" i="1"/>
  <c r="AI740" i="1"/>
  <c r="AI741" i="1"/>
  <c r="AI742" i="1"/>
  <c r="AI743" i="1"/>
  <c r="AI744" i="1"/>
  <c r="AI745" i="1"/>
  <c r="AI746" i="1"/>
  <c r="AI747" i="1"/>
  <c r="AI748" i="1"/>
  <c r="AI749" i="1"/>
  <c r="AI750" i="1"/>
  <c r="AI751" i="1"/>
  <c r="AI752" i="1"/>
  <c r="AI753" i="1"/>
  <c r="AI754" i="1"/>
  <c r="AI755" i="1"/>
  <c r="AI756" i="1"/>
  <c r="AI757" i="1"/>
  <c r="AI758" i="1"/>
  <c r="AI759" i="1"/>
  <c r="AI760" i="1"/>
  <c r="AI761" i="1"/>
  <c r="AI762" i="1"/>
  <c r="AI763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7" i="1"/>
  <c r="AI778" i="1"/>
  <c r="AI779" i="1"/>
  <c r="AI780" i="1"/>
  <c r="AI781" i="1"/>
  <c r="AI782" i="1"/>
  <c r="AI783" i="1"/>
  <c r="AI784" i="1"/>
  <c r="AI785" i="1"/>
  <c r="AI786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4" i="1"/>
  <c r="AI805" i="1"/>
  <c r="AI806" i="1"/>
  <c r="AI807" i="1"/>
  <c r="AI808" i="1"/>
  <c r="AI809" i="1"/>
  <c r="AI810" i="1"/>
  <c r="AI811" i="1"/>
  <c r="AI812" i="1"/>
  <c r="AI813" i="1"/>
  <c r="AI814" i="1"/>
  <c r="AI815" i="1"/>
  <c r="AI816" i="1"/>
  <c r="AI817" i="1"/>
  <c r="AI818" i="1"/>
  <c r="AI819" i="1"/>
  <c r="AI820" i="1"/>
  <c r="AI821" i="1"/>
  <c r="AI822" i="1"/>
  <c r="AI823" i="1"/>
  <c r="AI824" i="1"/>
  <c r="AI825" i="1"/>
  <c r="AI826" i="1"/>
  <c r="AI827" i="1"/>
  <c r="AI828" i="1"/>
  <c r="AI829" i="1"/>
  <c r="AI830" i="1"/>
  <c r="AI831" i="1"/>
  <c r="AI832" i="1"/>
  <c r="AI833" i="1"/>
  <c r="AI834" i="1"/>
  <c r="AI835" i="1"/>
  <c r="AI836" i="1"/>
  <c r="AI837" i="1"/>
  <c r="AI838" i="1"/>
  <c r="AI839" i="1"/>
  <c r="AI840" i="1"/>
  <c r="AI841" i="1"/>
  <c r="AI842" i="1"/>
  <c r="AI843" i="1"/>
  <c r="AI844" i="1"/>
  <c r="AI845" i="1"/>
  <c r="AI846" i="1"/>
  <c r="AI847" i="1"/>
  <c r="AI848" i="1"/>
  <c r="AI849" i="1"/>
  <c r="AI850" i="1"/>
  <c r="AI851" i="1"/>
  <c r="AI852" i="1"/>
  <c r="AI853" i="1"/>
  <c r="AI854" i="1"/>
  <c r="AI855" i="1"/>
  <c r="AI856" i="1"/>
  <c r="AI857" i="1"/>
  <c r="AI858" i="1"/>
  <c r="AI859" i="1"/>
  <c r="AI860" i="1"/>
  <c r="AI861" i="1"/>
  <c r="AI862" i="1"/>
  <c r="AI863" i="1"/>
  <c r="AI864" i="1"/>
  <c r="AI865" i="1"/>
  <c r="AI866" i="1"/>
  <c r="AI867" i="1"/>
  <c r="AI868" i="1"/>
  <c r="AI869" i="1"/>
  <c r="AI870" i="1"/>
  <c r="AI871" i="1"/>
  <c r="AI872" i="1"/>
  <c r="AI873" i="1"/>
  <c r="AI874" i="1"/>
  <c r="AI875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I890" i="1"/>
  <c r="AI891" i="1"/>
  <c r="AI892" i="1"/>
  <c r="AI893" i="1"/>
  <c r="AI894" i="1"/>
  <c r="AI895" i="1"/>
  <c r="AI896" i="1"/>
  <c r="AI897" i="1"/>
  <c r="AI898" i="1"/>
  <c r="AI899" i="1"/>
  <c r="AI900" i="1"/>
  <c r="AI901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2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2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2" i="1"/>
  <c r="AA913" i="1"/>
  <c r="Y913" i="1"/>
  <c r="E913" i="1"/>
  <c r="D913" i="1"/>
  <c r="F913" i="1" s="1"/>
  <c r="AB913" i="1" s="1"/>
  <c r="AA912" i="1"/>
  <c r="Y912" i="1"/>
  <c r="E912" i="1"/>
  <c r="D912" i="1"/>
  <c r="F912" i="1" s="1"/>
  <c r="AB912" i="1" s="1"/>
  <c r="AA911" i="1"/>
  <c r="Y911" i="1"/>
  <c r="E911" i="1"/>
  <c r="D911" i="1"/>
  <c r="F911" i="1" s="1"/>
  <c r="AB911" i="1" s="1"/>
  <c r="AA910" i="1"/>
  <c r="Y910" i="1"/>
  <c r="E910" i="1"/>
  <c r="F910" i="1" s="1"/>
  <c r="AB910" i="1" s="1"/>
  <c r="D910" i="1"/>
  <c r="AA909" i="1"/>
  <c r="Y909" i="1"/>
  <c r="E909" i="1"/>
  <c r="D909" i="1"/>
  <c r="F909" i="1" s="1"/>
  <c r="AB909" i="1" s="1"/>
  <c r="AA908" i="1"/>
  <c r="Y908" i="1"/>
  <c r="E908" i="1"/>
  <c r="D908" i="1"/>
  <c r="F908" i="1" s="1"/>
  <c r="AB908" i="1" s="1"/>
  <c r="AA907" i="1"/>
  <c r="Y907" i="1"/>
  <c r="E907" i="1"/>
  <c r="D907" i="1"/>
  <c r="F907" i="1" s="1"/>
  <c r="AB907" i="1" s="1"/>
  <c r="AA906" i="1"/>
  <c r="Y906" i="1"/>
  <c r="E906" i="1"/>
  <c r="F906" i="1" s="1"/>
  <c r="AB906" i="1" s="1"/>
  <c r="D906" i="1"/>
  <c r="AA905" i="1"/>
  <c r="Y905" i="1"/>
  <c r="E905" i="1"/>
  <c r="D905" i="1"/>
  <c r="F905" i="1" s="1"/>
  <c r="AB905" i="1" s="1"/>
  <c r="AA904" i="1"/>
  <c r="Y904" i="1"/>
  <c r="E904" i="1"/>
  <c r="D904" i="1"/>
  <c r="F904" i="1" s="1"/>
  <c r="AB904" i="1" s="1"/>
  <c r="AA903" i="1"/>
  <c r="Y903" i="1"/>
  <c r="E903" i="1"/>
  <c r="D903" i="1"/>
  <c r="F903" i="1" s="1"/>
  <c r="AB903" i="1" s="1"/>
  <c r="AA902" i="1"/>
  <c r="Y902" i="1"/>
  <c r="E902" i="1"/>
  <c r="F902" i="1" s="1"/>
  <c r="AB902" i="1" s="1"/>
  <c r="D902" i="1"/>
  <c r="AA901" i="1"/>
  <c r="Y901" i="1"/>
  <c r="E901" i="1"/>
  <c r="D901" i="1"/>
  <c r="F901" i="1" s="1"/>
  <c r="AB901" i="1" s="1"/>
  <c r="AA900" i="1"/>
  <c r="Y900" i="1"/>
  <c r="E900" i="1"/>
  <c r="D900" i="1"/>
  <c r="F900" i="1" s="1"/>
  <c r="AB900" i="1" s="1"/>
  <c r="AA899" i="1"/>
  <c r="Y899" i="1"/>
  <c r="E899" i="1"/>
  <c r="D899" i="1"/>
  <c r="F899" i="1" s="1"/>
  <c r="AB899" i="1" s="1"/>
  <c r="AA898" i="1"/>
  <c r="Y898" i="1"/>
  <c r="E898" i="1"/>
  <c r="F898" i="1" s="1"/>
  <c r="AB898" i="1" s="1"/>
  <c r="D898" i="1"/>
  <c r="AA897" i="1"/>
  <c r="Y897" i="1"/>
  <c r="E897" i="1"/>
  <c r="D897" i="1"/>
  <c r="F897" i="1" s="1"/>
  <c r="AB897" i="1" s="1"/>
  <c r="AB896" i="1"/>
  <c r="AA896" i="1"/>
  <c r="Y896" i="1"/>
  <c r="E896" i="1"/>
  <c r="D896" i="1"/>
  <c r="F896" i="1" s="1"/>
  <c r="AA895" i="1"/>
  <c r="Y895" i="1"/>
  <c r="E895" i="1"/>
  <c r="D895" i="1"/>
  <c r="F895" i="1" s="1"/>
  <c r="AB895" i="1" s="1"/>
  <c r="AA894" i="1"/>
  <c r="Y894" i="1"/>
  <c r="E894" i="1"/>
  <c r="F894" i="1" s="1"/>
  <c r="AB894" i="1" s="1"/>
  <c r="D894" i="1"/>
  <c r="AA893" i="1"/>
  <c r="Y893" i="1"/>
  <c r="E893" i="1"/>
  <c r="D893" i="1"/>
  <c r="F893" i="1" s="1"/>
  <c r="AB893" i="1" s="1"/>
  <c r="AB892" i="1"/>
  <c r="AA892" i="1"/>
  <c r="Y892" i="1"/>
  <c r="E892" i="1"/>
  <c r="D892" i="1"/>
  <c r="F892" i="1" s="1"/>
  <c r="AA891" i="1"/>
  <c r="Y891" i="1"/>
  <c r="E891" i="1"/>
  <c r="D891" i="1"/>
  <c r="AA890" i="1"/>
  <c r="Y890" i="1"/>
  <c r="E890" i="1"/>
  <c r="F890" i="1" s="1"/>
  <c r="AB890" i="1" s="1"/>
  <c r="D890" i="1"/>
  <c r="AA889" i="1"/>
  <c r="Y889" i="1"/>
  <c r="E889" i="1"/>
  <c r="F889" i="1" s="1"/>
  <c r="AB889" i="1" s="1"/>
  <c r="D889" i="1"/>
  <c r="AA888" i="1"/>
  <c r="Y888" i="1"/>
  <c r="E888" i="1"/>
  <c r="D888" i="1"/>
  <c r="F888" i="1" s="1"/>
  <c r="AB888" i="1" s="1"/>
  <c r="AA887" i="1"/>
  <c r="Y887" i="1"/>
  <c r="E887" i="1"/>
  <c r="D887" i="1"/>
  <c r="F887" i="1" s="1"/>
  <c r="AB887" i="1" s="1"/>
  <c r="AA886" i="1"/>
  <c r="Y886" i="1"/>
  <c r="E886" i="1"/>
  <c r="F886" i="1" s="1"/>
  <c r="AB886" i="1" s="1"/>
  <c r="D886" i="1"/>
  <c r="AB885" i="1"/>
  <c r="AA885" i="1"/>
  <c r="Y885" i="1"/>
  <c r="E885" i="1"/>
  <c r="F885" i="1" s="1"/>
  <c r="D885" i="1"/>
  <c r="AA884" i="1"/>
  <c r="Y884" i="1"/>
  <c r="E884" i="1"/>
  <c r="D884" i="1"/>
  <c r="F884" i="1" s="1"/>
  <c r="AB884" i="1" s="1"/>
  <c r="AA883" i="1"/>
  <c r="Y883" i="1"/>
  <c r="E883" i="1"/>
  <c r="D883" i="1"/>
  <c r="AA882" i="1"/>
  <c r="Y882" i="1"/>
  <c r="E882" i="1"/>
  <c r="F882" i="1" s="1"/>
  <c r="AB882" i="1" s="1"/>
  <c r="D882" i="1"/>
  <c r="AA881" i="1"/>
  <c r="Y881" i="1"/>
  <c r="E881" i="1"/>
  <c r="F881" i="1" s="1"/>
  <c r="AB881" i="1" s="1"/>
  <c r="D881" i="1"/>
  <c r="AA880" i="1"/>
  <c r="Y880" i="1"/>
  <c r="E880" i="1"/>
  <c r="D880" i="1"/>
  <c r="F880" i="1" s="1"/>
  <c r="AB880" i="1" s="1"/>
  <c r="AA879" i="1"/>
  <c r="Y879" i="1"/>
  <c r="E879" i="1"/>
  <c r="D879" i="1"/>
  <c r="F879" i="1" s="1"/>
  <c r="AB879" i="1" s="1"/>
  <c r="AA878" i="1"/>
  <c r="Y878" i="1"/>
  <c r="E878" i="1"/>
  <c r="F878" i="1" s="1"/>
  <c r="AB878" i="1" s="1"/>
  <c r="D878" i="1"/>
  <c r="AB877" i="1"/>
  <c r="AA877" i="1"/>
  <c r="Y877" i="1"/>
  <c r="E877" i="1"/>
  <c r="F877" i="1" s="1"/>
  <c r="D877" i="1"/>
  <c r="AB876" i="1"/>
  <c r="AA876" i="1"/>
  <c r="Y876" i="1"/>
  <c r="E876" i="1"/>
  <c r="D876" i="1"/>
  <c r="F876" i="1" s="1"/>
  <c r="AA875" i="1"/>
  <c r="Y875" i="1"/>
  <c r="E875" i="1"/>
  <c r="D875" i="1"/>
  <c r="AA874" i="1"/>
  <c r="Y874" i="1"/>
  <c r="E874" i="1"/>
  <c r="F874" i="1" s="1"/>
  <c r="AB874" i="1" s="1"/>
  <c r="D874" i="1"/>
  <c r="AB873" i="1"/>
  <c r="AA873" i="1"/>
  <c r="Y873" i="1"/>
  <c r="E873" i="1"/>
  <c r="F873" i="1" s="1"/>
  <c r="D873" i="1"/>
  <c r="AA872" i="1"/>
  <c r="Y872" i="1"/>
  <c r="E872" i="1"/>
  <c r="D872" i="1"/>
  <c r="F872" i="1" s="1"/>
  <c r="AB872" i="1" s="1"/>
  <c r="AA871" i="1"/>
  <c r="Y871" i="1"/>
  <c r="E871" i="1"/>
  <c r="D871" i="1"/>
  <c r="AA870" i="1"/>
  <c r="Y870" i="1"/>
  <c r="E870" i="1"/>
  <c r="F870" i="1" s="1"/>
  <c r="AB870" i="1" s="1"/>
  <c r="D870" i="1"/>
  <c r="AB869" i="1"/>
  <c r="AA869" i="1"/>
  <c r="Y869" i="1"/>
  <c r="E869" i="1"/>
  <c r="F869" i="1" s="1"/>
  <c r="D869" i="1"/>
  <c r="AB868" i="1"/>
  <c r="AA868" i="1"/>
  <c r="Y868" i="1"/>
  <c r="E868" i="1"/>
  <c r="D868" i="1"/>
  <c r="F868" i="1" s="1"/>
  <c r="AA867" i="1"/>
  <c r="Y867" i="1"/>
  <c r="E867" i="1"/>
  <c r="D867" i="1"/>
  <c r="AA866" i="1"/>
  <c r="Y866" i="1"/>
  <c r="E866" i="1"/>
  <c r="F866" i="1" s="1"/>
  <c r="AB866" i="1" s="1"/>
  <c r="D866" i="1"/>
  <c r="AB865" i="1"/>
  <c r="AA865" i="1"/>
  <c r="Y865" i="1"/>
  <c r="E865" i="1"/>
  <c r="F865" i="1" s="1"/>
  <c r="D865" i="1"/>
  <c r="AA864" i="1"/>
  <c r="Y864" i="1"/>
  <c r="E864" i="1"/>
  <c r="D864" i="1"/>
  <c r="F864" i="1" s="1"/>
  <c r="AB864" i="1" s="1"/>
  <c r="AA863" i="1"/>
  <c r="Y863" i="1"/>
  <c r="E863" i="1"/>
  <c r="D863" i="1"/>
  <c r="AA862" i="1"/>
  <c r="Y862" i="1"/>
  <c r="E862" i="1"/>
  <c r="F862" i="1" s="1"/>
  <c r="AB862" i="1" s="1"/>
  <c r="D862" i="1"/>
  <c r="AB861" i="1"/>
  <c r="AA861" i="1"/>
  <c r="Y861" i="1"/>
  <c r="E861" i="1"/>
  <c r="F861" i="1" s="1"/>
  <c r="D861" i="1"/>
  <c r="AB860" i="1"/>
  <c r="AA860" i="1"/>
  <c r="Y860" i="1"/>
  <c r="E860" i="1"/>
  <c r="D860" i="1"/>
  <c r="F860" i="1" s="1"/>
  <c r="AA859" i="1"/>
  <c r="Y859" i="1"/>
  <c r="E859" i="1"/>
  <c r="D859" i="1"/>
  <c r="F859" i="1" s="1"/>
  <c r="AB859" i="1" s="1"/>
  <c r="AA858" i="1"/>
  <c r="Y858" i="1"/>
  <c r="E858" i="1"/>
  <c r="F858" i="1" s="1"/>
  <c r="AB858" i="1" s="1"/>
  <c r="D858" i="1"/>
  <c r="AB857" i="1"/>
  <c r="AA857" i="1"/>
  <c r="Y857" i="1"/>
  <c r="E857" i="1"/>
  <c r="F857" i="1" s="1"/>
  <c r="D857" i="1"/>
  <c r="AA856" i="1"/>
  <c r="Y856" i="1"/>
  <c r="E856" i="1"/>
  <c r="D856" i="1"/>
  <c r="F856" i="1" s="1"/>
  <c r="AB856" i="1" s="1"/>
  <c r="AB855" i="1"/>
  <c r="AA855" i="1"/>
  <c r="Y855" i="1"/>
  <c r="E855" i="1"/>
  <c r="D855" i="1"/>
  <c r="F855" i="1" s="1"/>
  <c r="AA854" i="1"/>
  <c r="Y854" i="1"/>
  <c r="E854" i="1"/>
  <c r="F854" i="1" s="1"/>
  <c r="AB854" i="1" s="1"/>
  <c r="D854" i="1"/>
  <c r="AB853" i="1"/>
  <c r="AA853" i="1"/>
  <c r="Y853" i="1"/>
  <c r="E853" i="1"/>
  <c r="F853" i="1" s="1"/>
  <c r="D853" i="1"/>
  <c r="AB852" i="1"/>
  <c r="AA852" i="1"/>
  <c r="Y852" i="1"/>
  <c r="E852" i="1"/>
  <c r="D852" i="1"/>
  <c r="F852" i="1" s="1"/>
  <c r="AA851" i="1"/>
  <c r="Y851" i="1"/>
  <c r="E851" i="1"/>
  <c r="D851" i="1"/>
  <c r="F851" i="1" s="1"/>
  <c r="AB851" i="1" s="1"/>
  <c r="AA850" i="1"/>
  <c r="Y850" i="1"/>
  <c r="E850" i="1"/>
  <c r="F850" i="1" s="1"/>
  <c r="AB850" i="1" s="1"/>
  <c r="D850" i="1"/>
  <c r="AB849" i="1"/>
  <c r="AA849" i="1"/>
  <c r="Y849" i="1"/>
  <c r="E849" i="1"/>
  <c r="F849" i="1" s="1"/>
  <c r="D849" i="1"/>
  <c r="AA848" i="1"/>
  <c r="Y848" i="1"/>
  <c r="E848" i="1"/>
  <c r="D848" i="1"/>
  <c r="F848" i="1" s="1"/>
  <c r="AB848" i="1" s="1"/>
  <c r="AB847" i="1"/>
  <c r="AA847" i="1"/>
  <c r="Y847" i="1"/>
  <c r="E847" i="1"/>
  <c r="D847" i="1"/>
  <c r="F847" i="1" s="1"/>
  <c r="AA846" i="1"/>
  <c r="Y846" i="1"/>
  <c r="E846" i="1"/>
  <c r="F846" i="1" s="1"/>
  <c r="AB846" i="1" s="1"/>
  <c r="D846" i="1"/>
  <c r="AB845" i="1"/>
  <c r="AA845" i="1"/>
  <c r="Y845" i="1"/>
  <c r="E845" i="1"/>
  <c r="D845" i="1"/>
  <c r="F845" i="1" s="1"/>
  <c r="AB844" i="1"/>
  <c r="AA844" i="1"/>
  <c r="Y844" i="1"/>
  <c r="E844" i="1"/>
  <c r="D844" i="1"/>
  <c r="F844" i="1" s="1"/>
  <c r="AA843" i="1"/>
  <c r="Y843" i="1"/>
  <c r="E843" i="1"/>
  <c r="D843" i="1"/>
  <c r="F843" i="1" s="1"/>
  <c r="AB843" i="1" s="1"/>
  <c r="AA842" i="1"/>
  <c r="Y842" i="1"/>
  <c r="E842" i="1"/>
  <c r="F842" i="1" s="1"/>
  <c r="AB842" i="1" s="1"/>
  <c r="D842" i="1"/>
  <c r="AB841" i="1"/>
  <c r="AA841" i="1"/>
  <c r="Y841" i="1"/>
  <c r="E841" i="1"/>
  <c r="F841" i="1" s="1"/>
  <c r="D841" i="1"/>
  <c r="AA840" i="1"/>
  <c r="Y840" i="1"/>
  <c r="E840" i="1"/>
  <c r="D840" i="1"/>
  <c r="F840" i="1" s="1"/>
  <c r="AB840" i="1" s="1"/>
  <c r="AA839" i="1"/>
  <c r="Y839" i="1"/>
  <c r="E839" i="1"/>
  <c r="D839" i="1"/>
  <c r="AA838" i="1"/>
  <c r="Y838" i="1"/>
  <c r="E838" i="1"/>
  <c r="F838" i="1" s="1"/>
  <c r="AB838" i="1" s="1"/>
  <c r="D838" i="1"/>
  <c r="AB837" i="1"/>
  <c r="AA837" i="1"/>
  <c r="Y837" i="1"/>
  <c r="E837" i="1"/>
  <c r="F837" i="1" s="1"/>
  <c r="D837" i="1"/>
  <c r="AB836" i="1"/>
  <c r="AA836" i="1"/>
  <c r="Y836" i="1"/>
  <c r="E836" i="1"/>
  <c r="D836" i="1"/>
  <c r="F836" i="1" s="1"/>
  <c r="AA835" i="1"/>
  <c r="Y835" i="1"/>
  <c r="E835" i="1"/>
  <c r="D835" i="1"/>
  <c r="F835" i="1" s="1"/>
  <c r="AB835" i="1" s="1"/>
  <c r="AA834" i="1"/>
  <c r="Y834" i="1"/>
  <c r="E834" i="1"/>
  <c r="F834" i="1" s="1"/>
  <c r="AB834" i="1" s="1"/>
  <c r="D834" i="1"/>
  <c r="AB833" i="1"/>
  <c r="AA833" i="1"/>
  <c r="Y833" i="1"/>
  <c r="E833" i="1"/>
  <c r="F833" i="1" s="1"/>
  <c r="D833" i="1"/>
  <c r="AA832" i="1"/>
  <c r="Y832" i="1"/>
  <c r="E832" i="1"/>
  <c r="D832" i="1"/>
  <c r="F832" i="1" s="1"/>
  <c r="AB832" i="1" s="1"/>
  <c r="AA831" i="1"/>
  <c r="Y831" i="1"/>
  <c r="E831" i="1"/>
  <c r="D831" i="1"/>
  <c r="AA830" i="1"/>
  <c r="Y830" i="1"/>
  <c r="E830" i="1"/>
  <c r="F830" i="1" s="1"/>
  <c r="AB830" i="1" s="1"/>
  <c r="D830" i="1"/>
  <c r="AB829" i="1"/>
  <c r="AA829" i="1"/>
  <c r="Y829" i="1"/>
  <c r="E829" i="1"/>
  <c r="F829" i="1" s="1"/>
  <c r="D829" i="1"/>
  <c r="AB828" i="1"/>
  <c r="AA828" i="1"/>
  <c r="Y828" i="1"/>
  <c r="E828" i="1"/>
  <c r="D828" i="1"/>
  <c r="F828" i="1" s="1"/>
  <c r="AA827" i="1"/>
  <c r="Y827" i="1"/>
  <c r="E827" i="1"/>
  <c r="D827" i="1"/>
  <c r="F827" i="1" s="1"/>
  <c r="AB827" i="1" s="1"/>
  <c r="AA826" i="1"/>
  <c r="Y826" i="1"/>
  <c r="E826" i="1"/>
  <c r="F826" i="1" s="1"/>
  <c r="AB826" i="1" s="1"/>
  <c r="D826" i="1"/>
  <c r="AB825" i="1"/>
  <c r="AA825" i="1"/>
  <c r="Y825" i="1"/>
  <c r="E825" i="1"/>
  <c r="F825" i="1" s="1"/>
  <c r="D825" i="1"/>
  <c r="AA824" i="1"/>
  <c r="Y824" i="1"/>
  <c r="E824" i="1"/>
  <c r="D824" i="1"/>
  <c r="F824" i="1" s="1"/>
  <c r="AB824" i="1" s="1"/>
  <c r="AA823" i="1"/>
  <c r="Y823" i="1"/>
  <c r="E823" i="1"/>
  <c r="D823" i="1"/>
  <c r="AA822" i="1"/>
  <c r="Y822" i="1"/>
  <c r="E822" i="1"/>
  <c r="F822" i="1" s="1"/>
  <c r="AB822" i="1" s="1"/>
  <c r="D822" i="1"/>
  <c r="AB821" i="1"/>
  <c r="AA821" i="1"/>
  <c r="Y821" i="1"/>
  <c r="E821" i="1"/>
  <c r="F821" i="1" s="1"/>
  <c r="D821" i="1"/>
  <c r="AB820" i="1"/>
  <c r="AA820" i="1"/>
  <c r="Y820" i="1"/>
  <c r="E820" i="1"/>
  <c r="D820" i="1"/>
  <c r="F820" i="1" s="1"/>
  <c r="AA819" i="1"/>
  <c r="Y819" i="1"/>
  <c r="E819" i="1"/>
  <c r="D819" i="1"/>
  <c r="F819" i="1" s="1"/>
  <c r="AB819" i="1" s="1"/>
  <c r="AA818" i="1"/>
  <c r="Y818" i="1"/>
  <c r="E818" i="1"/>
  <c r="F818" i="1" s="1"/>
  <c r="AB818" i="1" s="1"/>
  <c r="D818" i="1"/>
  <c r="AB817" i="1"/>
  <c r="AA817" i="1"/>
  <c r="Y817" i="1"/>
  <c r="E817" i="1"/>
  <c r="F817" i="1" s="1"/>
  <c r="D817" i="1"/>
  <c r="AA816" i="1"/>
  <c r="Y816" i="1"/>
  <c r="E816" i="1"/>
  <c r="D816" i="1"/>
  <c r="F816" i="1" s="1"/>
  <c r="AB816" i="1" s="1"/>
  <c r="AA815" i="1"/>
  <c r="Y815" i="1"/>
  <c r="E815" i="1"/>
  <c r="D815" i="1"/>
  <c r="AA814" i="1"/>
  <c r="Y814" i="1"/>
  <c r="E814" i="1"/>
  <c r="F814" i="1" s="1"/>
  <c r="AB814" i="1" s="1"/>
  <c r="D814" i="1"/>
  <c r="AB813" i="1"/>
  <c r="AA813" i="1"/>
  <c r="Y813" i="1"/>
  <c r="E813" i="1"/>
  <c r="F813" i="1" s="1"/>
  <c r="D813" i="1"/>
  <c r="AB812" i="1"/>
  <c r="AA812" i="1"/>
  <c r="Y812" i="1"/>
  <c r="E812" i="1"/>
  <c r="D812" i="1"/>
  <c r="F812" i="1" s="1"/>
  <c r="AA811" i="1"/>
  <c r="Y811" i="1"/>
  <c r="E811" i="1"/>
  <c r="D811" i="1"/>
  <c r="F811" i="1" s="1"/>
  <c r="AB811" i="1" s="1"/>
  <c r="AA810" i="1"/>
  <c r="Y810" i="1"/>
  <c r="E810" i="1"/>
  <c r="F810" i="1" s="1"/>
  <c r="AB810" i="1" s="1"/>
  <c r="D810" i="1"/>
  <c r="AB809" i="1"/>
  <c r="AA809" i="1"/>
  <c r="Y809" i="1"/>
  <c r="E809" i="1"/>
  <c r="F809" i="1" s="1"/>
  <c r="D809" i="1"/>
  <c r="AA808" i="1"/>
  <c r="Y808" i="1"/>
  <c r="E808" i="1"/>
  <c r="D808" i="1"/>
  <c r="F808" i="1" s="1"/>
  <c r="AB808" i="1" s="1"/>
  <c r="AA807" i="1"/>
  <c r="Y807" i="1"/>
  <c r="E807" i="1"/>
  <c r="D807" i="1"/>
  <c r="AA806" i="1"/>
  <c r="Y806" i="1"/>
  <c r="E806" i="1"/>
  <c r="F806" i="1" s="1"/>
  <c r="AB806" i="1" s="1"/>
  <c r="D806" i="1"/>
  <c r="AB805" i="1"/>
  <c r="AA805" i="1"/>
  <c r="Y805" i="1"/>
  <c r="E805" i="1"/>
  <c r="F805" i="1" s="1"/>
  <c r="D805" i="1"/>
  <c r="AB804" i="1"/>
  <c r="AA804" i="1"/>
  <c r="Y804" i="1"/>
  <c r="E804" i="1"/>
  <c r="D804" i="1"/>
  <c r="F804" i="1" s="1"/>
  <c r="AA803" i="1"/>
  <c r="Y803" i="1"/>
  <c r="E803" i="1"/>
  <c r="D803" i="1"/>
  <c r="F803" i="1" s="1"/>
  <c r="AB803" i="1" s="1"/>
  <c r="AA802" i="1"/>
  <c r="Y802" i="1"/>
  <c r="E802" i="1"/>
  <c r="F802" i="1" s="1"/>
  <c r="AB802" i="1" s="1"/>
  <c r="D802" i="1"/>
  <c r="AB801" i="1"/>
  <c r="AA801" i="1"/>
  <c r="Y801" i="1"/>
  <c r="E801" i="1"/>
  <c r="F801" i="1" s="1"/>
  <c r="D801" i="1"/>
  <c r="AA800" i="1"/>
  <c r="Y800" i="1"/>
  <c r="E800" i="1"/>
  <c r="D800" i="1"/>
  <c r="F800" i="1" s="1"/>
  <c r="AB800" i="1" s="1"/>
  <c r="AA799" i="1"/>
  <c r="Y799" i="1"/>
  <c r="E799" i="1"/>
  <c r="D799" i="1"/>
  <c r="AA798" i="1"/>
  <c r="Y798" i="1"/>
  <c r="E798" i="1"/>
  <c r="F798" i="1" s="1"/>
  <c r="AB798" i="1" s="1"/>
  <c r="D798" i="1"/>
  <c r="AB797" i="1"/>
  <c r="AA797" i="1"/>
  <c r="Y797" i="1"/>
  <c r="E797" i="1"/>
  <c r="F797" i="1" s="1"/>
  <c r="D797" i="1"/>
  <c r="AB796" i="1"/>
  <c r="AA796" i="1"/>
  <c r="Y796" i="1"/>
  <c r="E796" i="1"/>
  <c r="D796" i="1"/>
  <c r="F796" i="1" s="1"/>
  <c r="AA795" i="1"/>
  <c r="Y795" i="1"/>
  <c r="E795" i="1"/>
  <c r="D795" i="1"/>
  <c r="F795" i="1" s="1"/>
  <c r="AB795" i="1" s="1"/>
  <c r="AA794" i="1"/>
  <c r="Y794" i="1"/>
  <c r="E794" i="1"/>
  <c r="F794" i="1" s="1"/>
  <c r="AB794" i="1" s="1"/>
  <c r="D794" i="1"/>
  <c r="AB793" i="1"/>
  <c r="AA793" i="1"/>
  <c r="Y793" i="1"/>
  <c r="E793" i="1"/>
  <c r="F793" i="1" s="1"/>
  <c r="D793" i="1"/>
  <c r="AA792" i="1"/>
  <c r="Y792" i="1"/>
  <c r="E792" i="1"/>
  <c r="D792" i="1"/>
  <c r="F792" i="1" s="1"/>
  <c r="AB792" i="1" s="1"/>
  <c r="AA791" i="1"/>
  <c r="Y791" i="1"/>
  <c r="E791" i="1"/>
  <c r="D791" i="1"/>
  <c r="AA790" i="1"/>
  <c r="Y790" i="1"/>
  <c r="E790" i="1"/>
  <c r="F790" i="1" s="1"/>
  <c r="AB790" i="1" s="1"/>
  <c r="D790" i="1"/>
  <c r="AB789" i="1"/>
  <c r="AA789" i="1"/>
  <c r="Y789" i="1"/>
  <c r="E789" i="1"/>
  <c r="F789" i="1" s="1"/>
  <c r="D789" i="1"/>
  <c r="AB788" i="1"/>
  <c r="AA788" i="1"/>
  <c r="Y788" i="1"/>
  <c r="E788" i="1"/>
  <c r="D788" i="1"/>
  <c r="F788" i="1" s="1"/>
  <c r="AA787" i="1"/>
  <c r="Y787" i="1"/>
  <c r="E787" i="1"/>
  <c r="D787" i="1"/>
  <c r="F787" i="1" s="1"/>
  <c r="AB787" i="1" s="1"/>
  <c r="AA786" i="1"/>
  <c r="Y786" i="1"/>
  <c r="E786" i="1"/>
  <c r="F786" i="1" s="1"/>
  <c r="AB786" i="1" s="1"/>
  <c r="D786" i="1"/>
  <c r="AB785" i="1"/>
  <c r="AA785" i="1"/>
  <c r="Y785" i="1"/>
  <c r="E785" i="1"/>
  <c r="F785" i="1" s="1"/>
  <c r="D785" i="1"/>
  <c r="AA784" i="1"/>
  <c r="Y784" i="1"/>
  <c r="E784" i="1"/>
  <c r="D784" i="1"/>
  <c r="F784" i="1" s="1"/>
  <c r="AB784" i="1" s="1"/>
  <c r="AA783" i="1"/>
  <c r="Y783" i="1"/>
  <c r="E783" i="1"/>
  <c r="D783" i="1"/>
  <c r="AA782" i="1"/>
  <c r="Y782" i="1"/>
  <c r="E782" i="1"/>
  <c r="F782" i="1" s="1"/>
  <c r="AB782" i="1" s="1"/>
  <c r="D782" i="1"/>
  <c r="AB781" i="1"/>
  <c r="AA781" i="1"/>
  <c r="Y781" i="1"/>
  <c r="E781" i="1"/>
  <c r="F781" i="1" s="1"/>
  <c r="D781" i="1"/>
  <c r="AB780" i="1"/>
  <c r="AA780" i="1"/>
  <c r="Y780" i="1"/>
  <c r="E780" i="1"/>
  <c r="D780" i="1"/>
  <c r="F780" i="1" s="1"/>
  <c r="AA779" i="1"/>
  <c r="Y779" i="1"/>
  <c r="E779" i="1"/>
  <c r="D779" i="1"/>
  <c r="F779" i="1" s="1"/>
  <c r="AB779" i="1" s="1"/>
  <c r="AA778" i="1"/>
  <c r="Y778" i="1"/>
  <c r="E778" i="1"/>
  <c r="F778" i="1" s="1"/>
  <c r="AB778" i="1" s="1"/>
  <c r="D778" i="1"/>
  <c r="AB777" i="1"/>
  <c r="AA777" i="1"/>
  <c r="Y777" i="1"/>
  <c r="E777" i="1"/>
  <c r="F777" i="1" s="1"/>
  <c r="D777" i="1"/>
  <c r="AA776" i="1"/>
  <c r="Y776" i="1"/>
  <c r="E776" i="1"/>
  <c r="D776" i="1"/>
  <c r="F776" i="1" s="1"/>
  <c r="AB776" i="1" s="1"/>
  <c r="AA775" i="1"/>
  <c r="Y775" i="1"/>
  <c r="E775" i="1"/>
  <c r="D775" i="1"/>
  <c r="AA774" i="1"/>
  <c r="Y774" i="1"/>
  <c r="E774" i="1"/>
  <c r="F774" i="1" s="1"/>
  <c r="AB774" i="1" s="1"/>
  <c r="D774" i="1"/>
  <c r="AB773" i="1"/>
  <c r="AA773" i="1"/>
  <c r="Y773" i="1"/>
  <c r="E773" i="1"/>
  <c r="F773" i="1" s="1"/>
  <c r="D773" i="1"/>
  <c r="AB772" i="1"/>
  <c r="AA772" i="1"/>
  <c r="Y772" i="1"/>
  <c r="E772" i="1"/>
  <c r="D772" i="1"/>
  <c r="F772" i="1" s="1"/>
  <c r="AA771" i="1"/>
  <c r="Y771" i="1"/>
  <c r="E771" i="1"/>
  <c r="D771" i="1"/>
  <c r="F771" i="1" s="1"/>
  <c r="AB771" i="1" s="1"/>
  <c r="AA770" i="1"/>
  <c r="Y770" i="1"/>
  <c r="E770" i="1"/>
  <c r="F770" i="1" s="1"/>
  <c r="AB770" i="1" s="1"/>
  <c r="D770" i="1"/>
  <c r="AB769" i="1"/>
  <c r="AA769" i="1"/>
  <c r="Y769" i="1"/>
  <c r="E769" i="1"/>
  <c r="F769" i="1" s="1"/>
  <c r="D769" i="1"/>
  <c r="AA768" i="1"/>
  <c r="Y768" i="1"/>
  <c r="E768" i="1"/>
  <c r="D768" i="1"/>
  <c r="F768" i="1" s="1"/>
  <c r="AB768" i="1" s="1"/>
  <c r="AA767" i="1"/>
  <c r="Y767" i="1"/>
  <c r="E767" i="1"/>
  <c r="D767" i="1"/>
  <c r="AA766" i="1"/>
  <c r="Y766" i="1"/>
  <c r="E766" i="1"/>
  <c r="F766" i="1" s="1"/>
  <c r="AB766" i="1" s="1"/>
  <c r="D766" i="1"/>
  <c r="AB765" i="1"/>
  <c r="AA765" i="1"/>
  <c r="Y765" i="1"/>
  <c r="E765" i="1"/>
  <c r="F765" i="1" s="1"/>
  <c r="D765" i="1"/>
  <c r="AB764" i="1"/>
  <c r="AA764" i="1"/>
  <c r="Y764" i="1"/>
  <c r="E764" i="1"/>
  <c r="D764" i="1"/>
  <c r="F764" i="1" s="1"/>
  <c r="AA763" i="1"/>
  <c r="Y763" i="1"/>
  <c r="E763" i="1"/>
  <c r="D763" i="1"/>
  <c r="F763" i="1" s="1"/>
  <c r="AB763" i="1" s="1"/>
  <c r="AA762" i="1"/>
  <c r="Y762" i="1"/>
  <c r="E762" i="1"/>
  <c r="F762" i="1" s="1"/>
  <c r="AB762" i="1" s="1"/>
  <c r="D762" i="1"/>
  <c r="AB761" i="1"/>
  <c r="AA761" i="1"/>
  <c r="Y761" i="1"/>
  <c r="E761" i="1"/>
  <c r="F761" i="1" s="1"/>
  <c r="D761" i="1"/>
  <c r="AA760" i="1"/>
  <c r="Y760" i="1"/>
  <c r="E760" i="1"/>
  <c r="D760" i="1"/>
  <c r="F760" i="1" s="1"/>
  <c r="AB760" i="1" s="1"/>
  <c r="AA759" i="1"/>
  <c r="Y759" i="1"/>
  <c r="E759" i="1"/>
  <c r="D759" i="1"/>
  <c r="AA758" i="1"/>
  <c r="Y758" i="1"/>
  <c r="E758" i="1"/>
  <c r="F758" i="1" s="1"/>
  <c r="AB758" i="1" s="1"/>
  <c r="D758" i="1"/>
  <c r="AB757" i="1"/>
  <c r="AA757" i="1"/>
  <c r="Y757" i="1"/>
  <c r="E757" i="1"/>
  <c r="F757" i="1" s="1"/>
  <c r="D757" i="1"/>
  <c r="AB756" i="1"/>
  <c r="AA756" i="1"/>
  <c r="Y756" i="1"/>
  <c r="E756" i="1"/>
  <c r="D756" i="1"/>
  <c r="F756" i="1" s="1"/>
  <c r="AA755" i="1"/>
  <c r="Y755" i="1"/>
  <c r="E755" i="1"/>
  <c r="D755" i="1"/>
  <c r="F755" i="1" s="1"/>
  <c r="AB755" i="1" s="1"/>
  <c r="AA754" i="1"/>
  <c r="Y754" i="1"/>
  <c r="E754" i="1"/>
  <c r="F754" i="1" s="1"/>
  <c r="AB754" i="1" s="1"/>
  <c r="D754" i="1"/>
  <c r="AB753" i="1"/>
  <c r="AA753" i="1"/>
  <c r="Y753" i="1"/>
  <c r="E753" i="1"/>
  <c r="F753" i="1" s="1"/>
  <c r="D753" i="1"/>
  <c r="AA752" i="1"/>
  <c r="Y752" i="1"/>
  <c r="E752" i="1"/>
  <c r="D752" i="1"/>
  <c r="F752" i="1" s="1"/>
  <c r="AB752" i="1" s="1"/>
  <c r="AA751" i="1"/>
  <c r="Y751" i="1"/>
  <c r="E751" i="1"/>
  <c r="D751" i="1"/>
  <c r="AA750" i="1"/>
  <c r="Y750" i="1"/>
  <c r="E750" i="1"/>
  <c r="F750" i="1" s="1"/>
  <c r="AB750" i="1" s="1"/>
  <c r="D750" i="1"/>
  <c r="AB749" i="1"/>
  <c r="AA749" i="1"/>
  <c r="Y749" i="1"/>
  <c r="E749" i="1"/>
  <c r="F749" i="1" s="1"/>
  <c r="D749" i="1"/>
  <c r="AB748" i="1"/>
  <c r="AA748" i="1"/>
  <c r="Y748" i="1"/>
  <c r="E748" i="1"/>
  <c r="D748" i="1"/>
  <c r="F748" i="1" s="1"/>
  <c r="AA747" i="1"/>
  <c r="Y747" i="1"/>
  <c r="E747" i="1"/>
  <c r="D747" i="1"/>
  <c r="F747" i="1" s="1"/>
  <c r="AB747" i="1" s="1"/>
  <c r="AA746" i="1"/>
  <c r="Y746" i="1"/>
  <c r="E746" i="1"/>
  <c r="F746" i="1" s="1"/>
  <c r="AB746" i="1" s="1"/>
  <c r="D746" i="1"/>
  <c r="AB745" i="1"/>
  <c r="AA745" i="1"/>
  <c r="Y745" i="1"/>
  <c r="E745" i="1"/>
  <c r="F745" i="1" s="1"/>
  <c r="D745" i="1"/>
  <c r="AA744" i="1"/>
  <c r="Y744" i="1"/>
  <c r="E744" i="1"/>
  <c r="D744" i="1"/>
  <c r="F744" i="1" s="1"/>
  <c r="AB744" i="1" s="1"/>
  <c r="AA743" i="1"/>
  <c r="Y743" i="1"/>
  <c r="E743" i="1"/>
  <c r="D743" i="1"/>
  <c r="AA742" i="1"/>
  <c r="Y742" i="1"/>
  <c r="E742" i="1"/>
  <c r="F742" i="1" s="1"/>
  <c r="AB742" i="1" s="1"/>
  <c r="D742" i="1"/>
  <c r="AB741" i="1"/>
  <c r="AA741" i="1"/>
  <c r="Y741" i="1"/>
  <c r="E741" i="1"/>
  <c r="F741" i="1" s="1"/>
  <c r="D741" i="1"/>
  <c r="AB740" i="1"/>
  <c r="AA740" i="1"/>
  <c r="Y740" i="1"/>
  <c r="E740" i="1"/>
  <c r="D740" i="1"/>
  <c r="F740" i="1" s="1"/>
  <c r="AA739" i="1"/>
  <c r="Y739" i="1"/>
  <c r="E739" i="1"/>
  <c r="D739" i="1"/>
  <c r="F739" i="1" s="1"/>
  <c r="AB739" i="1" s="1"/>
  <c r="AA738" i="1"/>
  <c r="Y738" i="1"/>
  <c r="E738" i="1"/>
  <c r="F738" i="1" s="1"/>
  <c r="AB738" i="1" s="1"/>
  <c r="D738" i="1"/>
  <c r="AB737" i="1"/>
  <c r="AA737" i="1"/>
  <c r="Y737" i="1"/>
  <c r="E737" i="1"/>
  <c r="F737" i="1" s="1"/>
  <c r="D737" i="1"/>
  <c r="AA736" i="1"/>
  <c r="Y736" i="1"/>
  <c r="E736" i="1"/>
  <c r="D736" i="1"/>
  <c r="F736" i="1" s="1"/>
  <c r="AB736" i="1" s="1"/>
  <c r="AA735" i="1"/>
  <c r="Y735" i="1"/>
  <c r="E735" i="1"/>
  <c r="D735" i="1"/>
  <c r="AA734" i="1"/>
  <c r="Y734" i="1"/>
  <c r="E734" i="1"/>
  <c r="F734" i="1" s="1"/>
  <c r="AB734" i="1" s="1"/>
  <c r="D734" i="1"/>
  <c r="AB733" i="1"/>
  <c r="AA733" i="1"/>
  <c r="Y733" i="1"/>
  <c r="E733" i="1"/>
  <c r="F733" i="1" s="1"/>
  <c r="D733" i="1"/>
  <c r="AB732" i="1"/>
  <c r="AA732" i="1"/>
  <c r="Y732" i="1"/>
  <c r="E732" i="1"/>
  <c r="D732" i="1"/>
  <c r="F732" i="1" s="1"/>
  <c r="AA731" i="1"/>
  <c r="Y731" i="1"/>
  <c r="E731" i="1"/>
  <c r="D731" i="1"/>
  <c r="AA730" i="1"/>
  <c r="Y730" i="1"/>
  <c r="E730" i="1"/>
  <c r="F730" i="1" s="1"/>
  <c r="AB730" i="1" s="1"/>
  <c r="D730" i="1"/>
  <c r="AB729" i="1"/>
  <c r="AA729" i="1"/>
  <c r="Y729" i="1"/>
  <c r="E729" i="1"/>
  <c r="F729" i="1" s="1"/>
  <c r="D729" i="1"/>
  <c r="AA728" i="1"/>
  <c r="Y728" i="1"/>
  <c r="E728" i="1"/>
  <c r="D728" i="1"/>
  <c r="F728" i="1" s="1"/>
  <c r="AB728" i="1" s="1"/>
  <c r="AA727" i="1"/>
  <c r="Y727" i="1"/>
  <c r="E727" i="1"/>
  <c r="D727" i="1"/>
  <c r="AA726" i="1"/>
  <c r="Y726" i="1"/>
  <c r="E726" i="1"/>
  <c r="F726" i="1" s="1"/>
  <c r="AB726" i="1" s="1"/>
  <c r="D726" i="1"/>
  <c r="AB725" i="1"/>
  <c r="AA725" i="1"/>
  <c r="Y725" i="1"/>
  <c r="E725" i="1"/>
  <c r="F725" i="1" s="1"/>
  <c r="D725" i="1"/>
  <c r="AB724" i="1"/>
  <c r="AA724" i="1"/>
  <c r="Y724" i="1"/>
  <c r="E724" i="1"/>
  <c r="D724" i="1"/>
  <c r="F724" i="1" s="1"/>
  <c r="AA723" i="1"/>
  <c r="Y723" i="1"/>
  <c r="E723" i="1"/>
  <c r="D723" i="1"/>
  <c r="AA722" i="1"/>
  <c r="Y722" i="1"/>
  <c r="E722" i="1"/>
  <c r="F722" i="1" s="1"/>
  <c r="AB722" i="1" s="1"/>
  <c r="D722" i="1"/>
  <c r="AA721" i="1"/>
  <c r="Y721" i="1"/>
  <c r="E721" i="1"/>
  <c r="D721" i="1"/>
  <c r="F721" i="1" s="1"/>
  <c r="AB721" i="1" s="1"/>
  <c r="AA720" i="1"/>
  <c r="Y720" i="1"/>
  <c r="E720" i="1"/>
  <c r="D720" i="1"/>
  <c r="F720" i="1" s="1"/>
  <c r="AB720" i="1" s="1"/>
  <c r="AA719" i="1"/>
  <c r="Y719" i="1"/>
  <c r="E719" i="1"/>
  <c r="D719" i="1"/>
  <c r="AA718" i="1"/>
  <c r="Y718" i="1"/>
  <c r="E718" i="1"/>
  <c r="F718" i="1" s="1"/>
  <c r="AB718" i="1" s="1"/>
  <c r="D718" i="1"/>
  <c r="AB717" i="1"/>
  <c r="AA717" i="1"/>
  <c r="Y717" i="1"/>
  <c r="E717" i="1"/>
  <c r="F717" i="1" s="1"/>
  <c r="D717" i="1"/>
  <c r="AB716" i="1"/>
  <c r="AA716" i="1"/>
  <c r="Y716" i="1"/>
  <c r="E716" i="1"/>
  <c r="D716" i="1"/>
  <c r="F716" i="1" s="1"/>
  <c r="AA715" i="1"/>
  <c r="Y715" i="1"/>
  <c r="E715" i="1"/>
  <c r="D715" i="1"/>
  <c r="F715" i="1" s="1"/>
  <c r="AB715" i="1" s="1"/>
  <c r="AA714" i="1"/>
  <c r="Y714" i="1"/>
  <c r="E714" i="1"/>
  <c r="F714" i="1" s="1"/>
  <c r="AB714" i="1" s="1"/>
  <c r="D714" i="1"/>
  <c r="AB713" i="1"/>
  <c r="AA713" i="1"/>
  <c r="Y713" i="1"/>
  <c r="E713" i="1"/>
  <c r="F713" i="1" s="1"/>
  <c r="D713" i="1"/>
  <c r="AA712" i="1"/>
  <c r="Y712" i="1"/>
  <c r="E712" i="1"/>
  <c r="D712" i="1"/>
  <c r="F712" i="1" s="1"/>
  <c r="AB712" i="1" s="1"/>
  <c r="AA711" i="1"/>
  <c r="Y711" i="1"/>
  <c r="E711" i="1"/>
  <c r="D711" i="1"/>
  <c r="AA710" i="1"/>
  <c r="Y710" i="1"/>
  <c r="E710" i="1"/>
  <c r="F710" i="1" s="1"/>
  <c r="AB710" i="1" s="1"/>
  <c r="D710" i="1"/>
  <c r="AB709" i="1"/>
  <c r="AA709" i="1"/>
  <c r="Y709" i="1"/>
  <c r="E709" i="1"/>
  <c r="F709" i="1" s="1"/>
  <c r="D709" i="1"/>
  <c r="AB708" i="1"/>
  <c r="AA708" i="1"/>
  <c r="Y708" i="1"/>
  <c r="E708" i="1"/>
  <c r="D708" i="1"/>
  <c r="F708" i="1" s="1"/>
  <c r="AA707" i="1"/>
  <c r="Y707" i="1"/>
  <c r="E707" i="1"/>
  <c r="D707" i="1"/>
  <c r="F707" i="1" s="1"/>
  <c r="AB707" i="1" s="1"/>
  <c r="AA706" i="1"/>
  <c r="Y706" i="1"/>
  <c r="E706" i="1"/>
  <c r="F706" i="1" s="1"/>
  <c r="AB706" i="1" s="1"/>
  <c r="D706" i="1"/>
  <c r="AB705" i="1"/>
  <c r="AA705" i="1"/>
  <c r="Y705" i="1"/>
  <c r="E705" i="1"/>
  <c r="F705" i="1" s="1"/>
  <c r="D705" i="1"/>
  <c r="AA704" i="1"/>
  <c r="Y704" i="1"/>
  <c r="E704" i="1"/>
  <c r="D704" i="1"/>
  <c r="F704" i="1" s="1"/>
  <c r="AB704" i="1" s="1"/>
  <c r="AA703" i="1"/>
  <c r="Y703" i="1"/>
  <c r="E703" i="1"/>
  <c r="D703" i="1"/>
  <c r="AA702" i="1"/>
  <c r="Y702" i="1"/>
  <c r="E702" i="1"/>
  <c r="F702" i="1" s="1"/>
  <c r="AB702" i="1" s="1"/>
  <c r="D702" i="1"/>
  <c r="AB701" i="1"/>
  <c r="AA701" i="1"/>
  <c r="Y701" i="1"/>
  <c r="E701" i="1"/>
  <c r="F701" i="1" s="1"/>
  <c r="D701" i="1"/>
  <c r="AB700" i="1"/>
  <c r="AA700" i="1"/>
  <c r="Y700" i="1"/>
  <c r="E700" i="1"/>
  <c r="D700" i="1"/>
  <c r="F700" i="1" s="1"/>
  <c r="AA699" i="1"/>
  <c r="Y699" i="1"/>
  <c r="E699" i="1"/>
  <c r="D699" i="1"/>
  <c r="F699" i="1" s="1"/>
  <c r="AB699" i="1" s="1"/>
  <c r="AA698" i="1"/>
  <c r="Y698" i="1"/>
  <c r="E698" i="1"/>
  <c r="F698" i="1" s="1"/>
  <c r="AB698" i="1" s="1"/>
  <c r="D698" i="1"/>
  <c r="AB697" i="1"/>
  <c r="AA697" i="1"/>
  <c r="Y697" i="1"/>
  <c r="E697" i="1"/>
  <c r="F697" i="1" s="1"/>
  <c r="D697" i="1"/>
  <c r="AA696" i="1"/>
  <c r="Y696" i="1"/>
  <c r="E696" i="1"/>
  <c r="D696" i="1"/>
  <c r="F696" i="1" s="1"/>
  <c r="AB696" i="1" s="1"/>
  <c r="AA695" i="1"/>
  <c r="Y695" i="1"/>
  <c r="E695" i="1"/>
  <c r="D695" i="1"/>
  <c r="AA694" i="1"/>
  <c r="Y694" i="1"/>
  <c r="E694" i="1"/>
  <c r="F694" i="1" s="1"/>
  <c r="AB694" i="1" s="1"/>
  <c r="D694" i="1"/>
  <c r="AB693" i="1"/>
  <c r="AA693" i="1"/>
  <c r="Y693" i="1"/>
  <c r="E693" i="1"/>
  <c r="F693" i="1" s="1"/>
  <c r="D693" i="1"/>
  <c r="AB692" i="1"/>
  <c r="AA692" i="1"/>
  <c r="Y692" i="1"/>
  <c r="E692" i="1"/>
  <c r="D692" i="1"/>
  <c r="F692" i="1" s="1"/>
  <c r="AA691" i="1"/>
  <c r="Y691" i="1"/>
  <c r="E691" i="1"/>
  <c r="D691" i="1"/>
  <c r="F691" i="1" s="1"/>
  <c r="AB691" i="1" s="1"/>
  <c r="AA690" i="1"/>
  <c r="Y690" i="1"/>
  <c r="E690" i="1"/>
  <c r="F690" i="1" s="1"/>
  <c r="AB690" i="1" s="1"/>
  <c r="D690" i="1"/>
  <c r="AB689" i="1"/>
  <c r="AA689" i="1"/>
  <c r="Y689" i="1"/>
  <c r="E689" i="1"/>
  <c r="F689" i="1" s="1"/>
  <c r="D689" i="1"/>
  <c r="AA688" i="1"/>
  <c r="Y688" i="1"/>
  <c r="E688" i="1"/>
  <c r="D688" i="1"/>
  <c r="F688" i="1" s="1"/>
  <c r="AB688" i="1" s="1"/>
  <c r="AA687" i="1"/>
  <c r="Y687" i="1"/>
  <c r="E687" i="1"/>
  <c r="D687" i="1"/>
  <c r="AA686" i="1"/>
  <c r="Y686" i="1"/>
  <c r="E686" i="1"/>
  <c r="F686" i="1" s="1"/>
  <c r="AB686" i="1" s="1"/>
  <c r="D686" i="1"/>
  <c r="AB685" i="1"/>
  <c r="AA685" i="1"/>
  <c r="Y685" i="1"/>
  <c r="E685" i="1"/>
  <c r="F685" i="1" s="1"/>
  <c r="D685" i="1"/>
  <c r="AB684" i="1"/>
  <c r="AA684" i="1"/>
  <c r="Y684" i="1"/>
  <c r="E684" i="1"/>
  <c r="D684" i="1"/>
  <c r="F684" i="1" s="1"/>
  <c r="AA683" i="1"/>
  <c r="Y683" i="1"/>
  <c r="E683" i="1"/>
  <c r="D683" i="1"/>
  <c r="F683" i="1" s="1"/>
  <c r="AB683" i="1" s="1"/>
  <c r="AA682" i="1"/>
  <c r="Y682" i="1"/>
  <c r="E682" i="1"/>
  <c r="F682" i="1" s="1"/>
  <c r="AB682" i="1" s="1"/>
  <c r="D682" i="1"/>
  <c r="AB681" i="1"/>
  <c r="AA681" i="1"/>
  <c r="Y681" i="1"/>
  <c r="E681" i="1"/>
  <c r="F681" i="1" s="1"/>
  <c r="D681" i="1"/>
  <c r="AA680" i="1"/>
  <c r="Y680" i="1"/>
  <c r="E680" i="1"/>
  <c r="D680" i="1"/>
  <c r="F680" i="1" s="1"/>
  <c r="AB680" i="1" s="1"/>
  <c r="AA679" i="1"/>
  <c r="Y679" i="1"/>
  <c r="E679" i="1"/>
  <c r="D679" i="1"/>
  <c r="AA678" i="1"/>
  <c r="Y678" i="1"/>
  <c r="E678" i="1"/>
  <c r="F678" i="1" s="1"/>
  <c r="AB678" i="1" s="1"/>
  <c r="D678" i="1"/>
  <c r="AB677" i="1"/>
  <c r="AA677" i="1"/>
  <c r="Y677" i="1"/>
  <c r="E677" i="1"/>
  <c r="F677" i="1" s="1"/>
  <c r="D677" i="1"/>
  <c r="AB676" i="1"/>
  <c r="AA676" i="1"/>
  <c r="Y676" i="1"/>
  <c r="E676" i="1"/>
  <c r="D676" i="1"/>
  <c r="F676" i="1" s="1"/>
  <c r="AA675" i="1"/>
  <c r="Y675" i="1"/>
  <c r="E675" i="1"/>
  <c r="F675" i="1" s="1"/>
  <c r="AB675" i="1" s="1"/>
  <c r="D675" i="1"/>
  <c r="AA674" i="1"/>
  <c r="Y674" i="1"/>
  <c r="E674" i="1"/>
  <c r="F674" i="1" s="1"/>
  <c r="AB674" i="1" s="1"/>
  <c r="D674" i="1"/>
  <c r="AA673" i="1"/>
  <c r="Y673" i="1"/>
  <c r="E673" i="1"/>
  <c r="F673" i="1" s="1"/>
  <c r="AB673" i="1" s="1"/>
  <c r="D673" i="1"/>
  <c r="AA672" i="1"/>
  <c r="Y672" i="1"/>
  <c r="E672" i="1"/>
  <c r="D672" i="1"/>
  <c r="F672" i="1" s="1"/>
  <c r="AB672" i="1" s="1"/>
  <c r="AB671" i="1"/>
  <c r="AA671" i="1"/>
  <c r="Y671" i="1"/>
  <c r="E671" i="1"/>
  <c r="F671" i="1" s="1"/>
  <c r="D671" i="1"/>
  <c r="AA670" i="1"/>
  <c r="Y670" i="1"/>
  <c r="E670" i="1"/>
  <c r="F670" i="1" s="1"/>
  <c r="AB670" i="1" s="1"/>
  <c r="D670" i="1"/>
  <c r="AB669" i="1"/>
  <c r="AA669" i="1"/>
  <c r="Y669" i="1"/>
  <c r="E669" i="1"/>
  <c r="F669" i="1" s="1"/>
  <c r="D669" i="1"/>
  <c r="AB668" i="1"/>
  <c r="AA668" i="1"/>
  <c r="Y668" i="1"/>
  <c r="E668" i="1"/>
  <c r="D668" i="1"/>
  <c r="F668" i="1" s="1"/>
  <c r="AA667" i="1"/>
  <c r="Y667" i="1"/>
  <c r="E667" i="1"/>
  <c r="F667" i="1" s="1"/>
  <c r="AB667" i="1" s="1"/>
  <c r="D667" i="1"/>
  <c r="AA666" i="1"/>
  <c r="Y666" i="1"/>
  <c r="E666" i="1"/>
  <c r="F666" i="1" s="1"/>
  <c r="AB666" i="1" s="1"/>
  <c r="D666" i="1"/>
  <c r="AA665" i="1"/>
  <c r="Y665" i="1"/>
  <c r="E665" i="1"/>
  <c r="F665" i="1" s="1"/>
  <c r="AB665" i="1" s="1"/>
  <c r="D665" i="1"/>
  <c r="AA664" i="1"/>
  <c r="Y664" i="1"/>
  <c r="E664" i="1"/>
  <c r="D664" i="1"/>
  <c r="F664" i="1" s="1"/>
  <c r="AB664" i="1" s="1"/>
  <c r="AB663" i="1"/>
  <c r="AA663" i="1"/>
  <c r="Y663" i="1"/>
  <c r="E663" i="1"/>
  <c r="F663" i="1" s="1"/>
  <c r="D663" i="1"/>
  <c r="AA662" i="1"/>
  <c r="Y662" i="1"/>
  <c r="E662" i="1"/>
  <c r="F662" i="1" s="1"/>
  <c r="AB662" i="1" s="1"/>
  <c r="D662" i="1"/>
  <c r="AB661" i="1"/>
  <c r="AA661" i="1"/>
  <c r="Y661" i="1"/>
  <c r="E661" i="1"/>
  <c r="F661" i="1" s="1"/>
  <c r="D661" i="1"/>
  <c r="AB660" i="1"/>
  <c r="AA660" i="1"/>
  <c r="Y660" i="1"/>
  <c r="E660" i="1"/>
  <c r="D660" i="1"/>
  <c r="F660" i="1" s="1"/>
  <c r="AA659" i="1"/>
  <c r="Y659" i="1"/>
  <c r="E659" i="1"/>
  <c r="F659" i="1" s="1"/>
  <c r="AB659" i="1" s="1"/>
  <c r="D659" i="1"/>
  <c r="AA658" i="1"/>
  <c r="Y658" i="1"/>
  <c r="E658" i="1"/>
  <c r="D658" i="1"/>
  <c r="AA657" i="1"/>
  <c r="Y657" i="1"/>
  <c r="E657" i="1"/>
  <c r="F657" i="1" s="1"/>
  <c r="AB657" i="1" s="1"/>
  <c r="D657" i="1"/>
  <c r="AA656" i="1"/>
  <c r="Y656" i="1"/>
  <c r="E656" i="1"/>
  <c r="D656" i="1"/>
  <c r="F656" i="1" s="1"/>
  <c r="AB656" i="1" s="1"/>
  <c r="AB655" i="1"/>
  <c r="AA655" i="1"/>
  <c r="Y655" i="1"/>
  <c r="E655" i="1"/>
  <c r="F655" i="1" s="1"/>
  <c r="D655" i="1"/>
  <c r="AA654" i="1"/>
  <c r="Y654" i="1"/>
  <c r="E654" i="1"/>
  <c r="F654" i="1" s="1"/>
  <c r="AB654" i="1" s="1"/>
  <c r="D654" i="1"/>
  <c r="AB653" i="1"/>
  <c r="AA653" i="1"/>
  <c r="Y653" i="1"/>
  <c r="E653" i="1"/>
  <c r="F653" i="1" s="1"/>
  <c r="D653" i="1"/>
  <c r="AB652" i="1"/>
  <c r="AA652" i="1"/>
  <c r="Y652" i="1"/>
  <c r="E652" i="1"/>
  <c r="D652" i="1"/>
  <c r="F652" i="1" s="1"/>
  <c r="AA651" i="1"/>
  <c r="Y651" i="1"/>
  <c r="E651" i="1"/>
  <c r="F651" i="1" s="1"/>
  <c r="AB651" i="1" s="1"/>
  <c r="D651" i="1"/>
  <c r="AA650" i="1"/>
  <c r="Y650" i="1"/>
  <c r="E650" i="1"/>
  <c r="F650" i="1" s="1"/>
  <c r="AB650" i="1" s="1"/>
  <c r="D650" i="1"/>
  <c r="AA649" i="1"/>
  <c r="Y649" i="1"/>
  <c r="E649" i="1"/>
  <c r="F649" i="1" s="1"/>
  <c r="AB649" i="1" s="1"/>
  <c r="D649" i="1"/>
  <c r="AA648" i="1"/>
  <c r="Y648" i="1"/>
  <c r="E648" i="1"/>
  <c r="D648" i="1"/>
  <c r="F648" i="1" s="1"/>
  <c r="AB648" i="1" s="1"/>
  <c r="AB647" i="1"/>
  <c r="AA647" i="1"/>
  <c r="Y647" i="1"/>
  <c r="E647" i="1"/>
  <c r="F647" i="1" s="1"/>
  <c r="D647" i="1"/>
  <c r="AA646" i="1"/>
  <c r="Y646" i="1"/>
  <c r="E646" i="1"/>
  <c r="D646" i="1"/>
  <c r="AB645" i="1"/>
  <c r="AA645" i="1"/>
  <c r="Y645" i="1"/>
  <c r="E645" i="1"/>
  <c r="F645" i="1" s="1"/>
  <c r="D645" i="1"/>
  <c r="AB644" i="1"/>
  <c r="AA644" i="1"/>
  <c r="Y644" i="1"/>
  <c r="E644" i="1"/>
  <c r="D644" i="1"/>
  <c r="F644" i="1" s="1"/>
  <c r="AA643" i="1"/>
  <c r="Y643" i="1"/>
  <c r="E643" i="1"/>
  <c r="F643" i="1" s="1"/>
  <c r="AB643" i="1" s="1"/>
  <c r="D643" i="1"/>
  <c r="AA642" i="1"/>
  <c r="Y642" i="1"/>
  <c r="E642" i="1"/>
  <c r="D642" i="1"/>
  <c r="AA641" i="1"/>
  <c r="Y641" i="1"/>
  <c r="E641" i="1"/>
  <c r="F641" i="1" s="1"/>
  <c r="AB641" i="1" s="1"/>
  <c r="D641" i="1"/>
  <c r="AA640" i="1"/>
  <c r="Y640" i="1"/>
  <c r="E640" i="1"/>
  <c r="D640" i="1"/>
  <c r="F640" i="1" s="1"/>
  <c r="AB640" i="1" s="1"/>
  <c r="AB639" i="1"/>
  <c r="AA639" i="1"/>
  <c r="Y639" i="1"/>
  <c r="E639" i="1"/>
  <c r="F639" i="1" s="1"/>
  <c r="D639" i="1"/>
  <c r="AA638" i="1"/>
  <c r="Y638" i="1"/>
  <c r="E638" i="1"/>
  <c r="D638" i="1"/>
  <c r="AB637" i="1"/>
  <c r="AA637" i="1"/>
  <c r="Y637" i="1"/>
  <c r="E637" i="1"/>
  <c r="F637" i="1" s="1"/>
  <c r="D637" i="1"/>
  <c r="AB636" i="1"/>
  <c r="AA636" i="1"/>
  <c r="Y636" i="1"/>
  <c r="E636" i="1"/>
  <c r="D636" i="1"/>
  <c r="F636" i="1" s="1"/>
  <c r="AA635" i="1"/>
  <c r="Y635" i="1"/>
  <c r="E635" i="1"/>
  <c r="F635" i="1" s="1"/>
  <c r="AB635" i="1" s="1"/>
  <c r="D635" i="1"/>
  <c r="AA634" i="1"/>
  <c r="Y634" i="1"/>
  <c r="E634" i="1"/>
  <c r="D634" i="1"/>
  <c r="AA633" i="1"/>
  <c r="Y633" i="1"/>
  <c r="E633" i="1"/>
  <c r="F633" i="1" s="1"/>
  <c r="AB633" i="1" s="1"/>
  <c r="D633" i="1"/>
  <c r="AB632" i="1"/>
  <c r="AA632" i="1"/>
  <c r="Y632" i="1"/>
  <c r="E632" i="1"/>
  <c r="D632" i="1"/>
  <c r="F632" i="1" s="1"/>
  <c r="AA631" i="1"/>
  <c r="Y631" i="1"/>
  <c r="E631" i="1"/>
  <c r="F631" i="1" s="1"/>
  <c r="AB631" i="1" s="1"/>
  <c r="D631" i="1"/>
  <c r="AA630" i="1"/>
  <c r="Y630" i="1"/>
  <c r="E630" i="1"/>
  <c r="D630" i="1"/>
  <c r="AB629" i="1"/>
  <c r="AA629" i="1"/>
  <c r="Y629" i="1"/>
  <c r="E629" i="1"/>
  <c r="F629" i="1" s="1"/>
  <c r="D629" i="1"/>
  <c r="AA628" i="1"/>
  <c r="Y628" i="1"/>
  <c r="E628" i="1"/>
  <c r="D628" i="1"/>
  <c r="F628" i="1" s="1"/>
  <c r="AB628" i="1" s="1"/>
  <c r="AA627" i="1"/>
  <c r="Y627" i="1"/>
  <c r="E627" i="1"/>
  <c r="F627" i="1" s="1"/>
  <c r="AB627" i="1" s="1"/>
  <c r="D627" i="1"/>
  <c r="AA626" i="1"/>
  <c r="Y626" i="1"/>
  <c r="E626" i="1"/>
  <c r="D626" i="1"/>
  <c r="AA625" i="1"/>
  <c r="Y625" i="1"/>
  <c r="E625" i="1"/>
  <c r="F625" i="1" s="1"/>
  <c r="AB625" i="1" s="1"/>
  <c r="D625" i="1"/>
  <c r="AA624" i="1"/>
  <c r="Y624" i="1"/>
  <c r="E624" i="1"/>
  <c r="D624" i="1"/>
  <c r="F624" i="1" s="1"/>
  <c r="AB624" i="1" s="1"/>
  <c r="AB623" i="1"/>
  <c r="AA623" i="1"/>
  <c r="Y623" i="1"/>
  <c r="E623" i="1"/>
  <c r="F623" i="1" s="1"/>
  <c r="D623" i="1"/>
  <c r="AA622" i="1"/>
  <c r="Y622" i="1"/>
  <c r="E622" i="1"/>
  <c r="D622" i="1"/>
  <c r="AA621" i="1"/>
  <c r="Y621" i="1"/>
  <c r="E621" i="1"/>
  <c r="D621" i="1"/>
  <c r="AB620" i="1"/>
  <c r="AA620" i="1"/>
  <c r="Y620" i="1"/>
  <c r="E620" i="1"/>
  <c r="D620" i="1"/>
  <c r="F620" i="1" s="1"/>
  <c r="AA619" i="1"/>
  <c r="Y619" i="1"/>
  <c r="E619" i="1"/>
  <c r="F619" i="1" s="1"/>
  <c r="AB619" i="1" s="1"/>
  <c r="D619" i="1"/>
  <c r="AA618" i="1"/>
  <c r="Y618" i="1"/>
  <c r="E618" i="1"/>
  <c r="F618" i="1" s="1"/>
  <c r="AB618" i="1" s="1"/>
  <c r="D618" i="1"/>
  <c r="AA617" i="1"/>
  <c r="Y617" i="1"/>
  <c r="E617" i="1"/>
  <c r="D617" i="1"/>
  <c r="F617" i="1" s="1"/>
  <c r="AB617" i="1" s="1"/>
  <c r="AB616" i="1"/>
  <c r="AA616" i="1"/>
  <c r="Y616" i="1"/>
  <c r="E616" i="1"/>
  <c r="D616" i="1"/>
  <c r="F616" i="1" s="1"/>
  <c r="AA615" i="1"/>
  <c r="Y615" i="1"/>
  <c r="E615" i="1"/>
  <c r="F615" i="1" s="1"/>
  <c r="AB615" i="1" s="1"/>
  <c r="D615" i="1"/>
  <c r="AA614" i="1"/>
  <c r="Y614" i="1"/>
  <c r="E614" i="1"/>
  <c r="F614" i="1" s="1"/>
  <c r="AB614" i="1" s="1"/>
  <c r="D614" i="1"/>
  <c r="AA613" i="1"/>
  <c r="Y613" i="1"/>
  <c r="E613" i="1"/>
  <c r="D613" i="1"/>
  <c r="AB612" i="1"/>
  <c r="AA612" i="1"/>
  <c r="Y612" i="1"/>
  <c r="E612" i="1"/>
  <c r="D612" i="1"/>
  <c r="F612" i="1" s="1"/>
  <c r="AA611" i="1"/>
  <c r="Y611" i="1"/>
  <c r="E611" i="1"/>
  <c r="F611" i="1" s="1"/>
  <c r="AB611" i="1" s="1"/>
  <c r="D611" i="1"/>
  <c r="AA610" i="1"/>
  <c r="Y610" i="1"/>
  <c r="E610" i="1"/>
  <c r="F610" i="1" s="1"/>
  <c r="AB610" i="1" s="1"/>
  <c r="D610" i="1"/>
  <c r="AA609" i="1"/>
  <c r="Y609" i="1"/>
  <c r="E609" i="1"/>
  <c r="D609" i="1"/>
  <c r="F609" i="1" s="1"/>
  <c r="AB609" i="1" s="1"/>
  <c r="AA608" i="1"/>
  <c r="Y608" i="1"/>
  <c r="E608" i="1"/>
  <c r="D608" i="1"/>
  <c r="F608" i="1" s="1"/>
  <c r="AB608" i="1" s="1"/>
  <c r="AB607" i="1"/>
  <c r="AA607" i="1"/>
  <c r="Y607" i="1"/>
  <c r="E607" i="1"/>
  <c r="F607" i="1" s="1"/>
  <c r="D607" i="1"/>
  <c r="AA606" i="1"/>
  <c r="Y606" i="1"/>
  <c r="F606" i="1"/>
  <c r="AB606" i="1" s="1"/>
  <c r="E606" i="1"/>
  <c r="D606" i="1"/>
  <c r="AB605" i="1"/>
  <c r="AA605" i="1"/>
  <c r="Y605" i="1"/>
  <c r="E605" i="1"/>
  <c r="D605" i="1"/>
  <c r="F605" i="1" s="1"/>
  <c r="AA604" i="1"/>
  <c r="Y604" i="1"/>
  <c r="E604" i="1"/>
  <c r="D604" i="1"/>
  <c r="AA603" i="1"/>
  <c r="Y603" i="1"/>
  <c r="E603" i="1"/>
  <c r="F603" i="1" s="1"/>
  <c r="AB603" i="1" s="1"/>
  <c r="D603" i="1"/>
  <c r="AB602" i="1"/>
  <c r="AA602" i="1"/>
  <c r="Y602" i="1"/>
  <c r="F602" i="1"/>
  <c r="E602" i="1"/>
  <c r="D602" i="1"/>
  <c r="AB601" i="1"/>
  <c r="AA601" i="1"/>
  <c r="Y601" i="1"/>
  <c r="F601" i="1"/>
  <c r="E601" i="1"/>
  <c r="D601" i="1"/>
  <c r="AA600" i="1"/>
  <c r="Y600" i="1"/>
  <c r="E600" i="1"/>
  <c r="D600" i="1"/>
  <c r="F600" i="1" s="1"/>
  <c r="AB600" i="1" s="1"/>
  <c r="AB599" i="1"/>
  <c r="AA599" i="1"/>
  <c r="Y599" i="1"/>
  <c r="E599" i="1"/>
  <c r="F599" i="1" s="1"/>
  <c r="D599" i="1"/>
  <c r="AA598" i="1"/>
  <c r="Y598" i="1"/>
  <c r="F598" i="1"/>
  <c r="AB598" i="1" s="1"/>
  <c r="E598" i="1"/>
  <c r="D598" i="1"/>
  <c r="AA597" i="1"/>
  <c r="Y597" i="1"/>
  <c r="E597" i="1"/>
  <c r="D597" i="1"/>
  <c r="F597" i="1" s="1"/>
  <c r="AB597" i="1" s="1"/>
  <c r="AA596" i="1"/>
  <c r="Y596" i="1"/>
  <c r="E596" i="1"/>
  <c r="D596" i="1"/>
  <c r="F596" i="1" s="1"/>
  <c r="AB596" i="1" s="1"/>
  <c r="AA595" i="1"/>
  <c r="Y595" i="1"/>
  <c r="E595" i="1"/>
  <c r="F595" i="1" s="1"/>
  <c r="AB595" i="1" s="1"/>
  <c r="D595" i="1"/>
  <c r="AA594" i="1"/>
  <c r="Y594" i="1"/>
  <c r="E594" i="1"/>
  <c r="F594" i="1" s="1"/>
  <c r="AB594" i="1" s="1"/>
  <c r="D594" i="1"/>
  <c r="AA593" i="1"/>
  <c r="Y593" i="1"/>
  <c r="E593" i="1"/>
  <c r="F593" i="1" s="1"/>
  <c r="AB593" i="1" s="1"/>
  <c r="D593" i="1"/>
  <c r="AA592" i="1"/>
  <c r="Y592" i="1"/>
  <c r="E592" i="1"/>
  <c r="D592" i="1"/>
  <c r="AB591" i="1"/>
  <c r="AA591" i="1"/>
  <c r="Y591" i="1"/>
  <c r="E591" i="1"/>
  <c r="F591" i="1" s="1"/>
  <c r="D591" i="1"/>
  <c r="AA590" i="1"/>
  <c r="Y590" i="1"/>
  <c r="F590" i="1"/>
  <c r="AB590" i="1" s="1"/>
  <c r="E590" i="1"/>
  <c r="D590" i="1"/>
  <c r="AA589" i="1"/>
  <c r="Y589" i="1"/>
  <c r="E589" i="1"/>
  <c r="D589" i="1"/>
  <c r="F589" i="1" s="1"/>
  <c r="AB589" i="1" s="1"/>
  <c r="AA588" i="1"/>
  <c r="Y588" i="1"/>
  <c r="E588" i="1"/>
  <c r="D588" i="1"/>
  <c r="AA587" i="1"/>
  <c r="Y587" i="1"/>
  <c r="E587" i="1"/>
  <c r="F587" i="1" s="1"/>
  <c r="AB587" i="1" s="1"/>
  <c r="D587" i="1"/>
  <c r="AA586" i="1"/>
  <c r="Y586" i="1"/>
  <c r="E586" i="1"/>
  <c r="F586" i="1" s="1"/>
  <c r="AB586" i="1" s="1"/>
  <c r="D586" i="1"/>
  <c r="AA585" i="1"/>
  <c r="Y585" i="1"/>
  <c r="E585" i="1"/>
  <c r="D585" i="1"/>
  <c r="F585" i="1" s="1"/>
  <c r="AB585" i="1" s="1"/>
  <c r="AA584" i="1"/>
  <c r="Y584" i="1"/>
  <c r="E584" i="1"/>
  <c r="D584" i="1"/>
  <c r="AA583" i="1"/>
  <c r="Y583" i="1"/>
  <c r="F583" i="1"/>
  <c r="AB583" i="1" s="1"/>
  <c r="E583" i="1"/>
  <c r="D583" i="1"/>
  <c r="AA582" i="1"/>
  <c r="Y582" i="1"/>
  <c r="E582" i="1"/>
  <c r="D582" i="1"/>
  <c r="F582" i="1" s="1"/>
  <c r="AB582" i="1" s="1"/>
  <c r="AA581" i="1"/>
  <c r="Y581" i="1"/>
  <c r="F581" i="1"/>
  <c r="AB581" i="1" s="1"/>
  <c r="E581" i="1"/>
  <c r="D581" i="1"/>
  <c r="AB580" i="1"/>
  <c r="AA580" i="1"/>
  <c r="Y580" i="1"/>
  <c r="E580" i="1"/>
  <c r="D580" i="1"/>
  <c r="F580" i="1" s="1"/>
  <c r="AA579" i="1"/>
  <c r="Y579" i="1"/>
  <c r="E579" i="1"/>
  <c r="F579" i="1" s="1"/>
  <c r="AB579" i="1" s="1"/>
  <c r="D579" i="1"/>
  <c r="AA578" i="1"/>
  <c r="Y578" i="1"/>
  <c r="E578" i="1"/>
  <c r="D578" i="1"/>
  <c r="F578" i="1" s="1"/>
  <c r="AB578" i="1" s="1"/>
  <c r="AA577" i="1"/>
  <c r="Y577" i="1"/>
  <c r="E577" i="1"/>
  <c r="F577" i="1" s="1"/>
  <c r="AB577" i="1" s="1"/>
  <c r="D577" i="1"/>
  <c r="AA576" i="1"/>
  <c r="Y576" i="1"/>
  <c r="E576" i="1"/>
  <c r="D576" i="1"/>
  <c r="F576" i="1" s="1"/>
  <c r="AB576" i="1" s="1"/>
  <c r="AB575" i="1"/>
  <c r="AA575" i="1"/>
  <c r="Y575" i="1"/>
  <c r="E575" i="1"/>
  <c r="D575" i="1"/>
  <c r="F575" i="1" s="1"/>
  <c r="AA574" i="1"/>
  <c r="Y574" i="1"/>
  <c r="F574" i="1"/>
  <c r="AB574" i="1" s="1"/>
  <c r="E574" i="1"/>
  <c r="D574" i="1"/>
  <c r="AB573" i="1"/>
  <c r="AA573" i="1"/>
  <c r="Y573" i="1"/>
  <c r="E573" i="1"/>
  <c r="D573" i="1"/>
  <c r="F573" i="1" s="1"/>
  <c r="AA572" i="1"/>
  <c r="Y572" i="1"/>
  <c r="F572" i="1"/>
  <c r="AB572" i="1" s="1"/>
  <c r="E572" i="1"/>
  <c r="D572" i="1"/>
  <c r="AA571" i="1"/>
  <c r="Y571" i="1"/>
  <c r="E571" i="1"/>
  <c r="D571" i="1"/>
  <c r="F571" i="1" s="1"/>
  <c r="AB571" i="1" s="1"/>
  <c r="AA570" i="1"/>
  <c r="Y570" i="1"/>
  <c r="F570" i="1"/>
  <c r="AB570" i="1" s="1"/>
  <c r="E570" i="1"/>
  <c r="D570" i="1"/>
  <c r="AA569" i="1"/>
  <c r="Y569" i="1"/>
  <c r="E569" i="1"/>
  <c r="D569" i="1"/>
  <c r="F569" i="1" s="1"/>
  <c r="AB569" i="1" s="1"/>
  <c r="AA568" i="1"/>
  <c r="Y568" i="1"/>
  <c r="F568" i="1"/>
  <c r="AB568" i="1" s="1"/>
  <c r="E568" i="1"/>
  <c r="D568" i="1"/>
  <c r="AB567" i="1"/>
  <c r="AA567" i="1"/>
  <c r="Y567" i="1"/>
  <c r="E567" i="1"/>
  <c r="D567" i="1"/>
  <c r="F567" i="1" s="1"/>
  <c r="AA566" i="1"/>
  <c r="Y566" i="1"/>
  <c r="F566" i="1"/>
  <c r="AB566" i="1" s="1"/>
  <c r="E566" i="1"/>
  <c r="D566" i="1"/>
  <c r="AB565" i="1"/>
  <c r="AA565" i="1"/>
  <c r="Y565" i="1"/>
  <c r="E565" i="1"/>
  <c r="D565" i="1"/>
  <c r="F565" i="1" s="1"/>
  <c r="AA564" i="1"/>
  <c r="Y564" i="1"/>
  <c r="F564" i="1"/>
  <c r="AB564" i="1" s="1"/>
  <c r="E564" i="1"/>
  <c r="D564" i="1"/>
  <c r="AA563" i="1"/>
  <c r="Y563" i="1"/>
  <c r="E563" i="1"/>
  <c r="D563" i="1"/>
  <c r="F563" i="1" s="1"/>
  <c r="AB563" i="1" s="1"/>
  <c r="AA562" i="1"/>
  <c r="Y562" i="1"/>
  <c r="F562" i="1"/>
  <c r="AB562" i="1" s="1"/>
  <c r="E562" i="1"/>
  <c r="D562" i="1"/>
  <c r="AA561" i="1"/>
  <c r="Y561" i="1"/>
  <c r="E561" i="1"/>
  <c r="D561" i="1"/>
  <c r="F561" i="1" s="1"/>
  <c r="AB561" i="1" s="1"/>
  <c r="AA560" i="1"/>
  <c r="Y560" i="1"/>
  <c r="F560" i="1"/>
  <c r="AB560" i="1" s="1"/>
  <c r="E560" i="1"/>
  <c r="D560" i="1"/>
  <c r="AB559" i="1"/>
  <c r="AA559" i="1"/>
  <c r="Y559" i="1"/>
  <c r="E559" i="1"/>
  <c r="D559" i="1"/>
  <c r="F559" i="1" s="1"/>
  <c r="AA558" i="1"/>
  <c r="Y558" i="1"/>
  <c r="F558" i="1"/>
  <c r="AB558" i="1" s="1"/>
  <c r="E558" i="1"/>
  <c r="D558" i="1"/>
  <c r="AB557" i="1"/>
  <c r="AA557" i="1"/>
  <c r="Y557" i="1"/>
  <c r="E557" i="1"/>
  <c r="D557" i="1"/>
  <c r="F557" i="1" s="1"/>
  <c r="AA556" i="1"/>
  <c r="Y556" i="1"/>
  <c r="F556" i="1"/>
  <c r="AB556" i="1" s="1"/>
  <c r="E556" i="1"/>
  <c r="D556" i="1"/>
  <c r="AA555" i="1"/>
  <c r="Y555" i="1"/>
  <c r="E555" i="1"/>
  <c r="D555" i="1"/>
  <c r="F555" i="1" s="1"/>
  <c r="AB555" i="1" s="1"/>
  <c r="AA554" i="1"/>
  <c r="Y554" i="1"/>
  <c r="F554" i="1"/>
  <c r="AB554" i="1" s="1"/>
  <c r="E554" i="1"/>
  <c r="D554" i="1"/>
  <c r="AA553" i="1"/>
  <c r="Y553" i="1"/>
  <c r="E553" i="1"/>
  <c r="D553" i="1"/>
  <c r="F553" i="1" s="1"/>
  <c r="AB553" i="1" s="1"/>
  <c r="AA552" i="1"/>
  <c r="Y552" i="1"/>
  <c r="F552" i="1"/>
  <c r="AB552" i="1" s="1"/>
  <c r="E552" i="1"/>
  <c r="D552" i="1"/>
  <c r="AB551" i="1"/>
  <c r="AA551" i="1"/>
  <c r="Y551" i="1"/>
  <c r="E551" i="1"/>
  <c r="D551" i="1"/>
  <c r="F551" i="1" s="1"/>
  <c r="AA550" i="1"/>
  <c r="Y550" i="1"/>
  <c r="E550" i="1"/>
  <c r="F550" i="1" s="1"/>
  <c r="AB550" i="1" s="1"/>
  <c r="D550" i="1"/>
  <c r="AB549" i="1"/>
  <c r="AA549" i="1"/>
  <c r="Y549" i="1"/>
  <c r="E549" i="1"/>
  <c r="D549" i="1"/>
  <c r="F549" i="1" s="1"/>
  <c r="AA548" i="1"/>
  <c r="Y548" i="1"/>
  <c r="F548" i="1"/>
  <c r="AB548" i="1" s="1"/>
  <c r="E548" i="1"/>
  <c r="D548" i="1"/>
  <c r="AA547" i="1"/>
  <c r="Y547" i="1"/>
  <c r="E547" i="1"/>
  <c r="D547" i="1"/>
  <c r="AA546" i="1"/>
  <c r="Y546" i="1"/>
  <c r="F546" i="1"/>
  <c r="AB546" i="1" s="1"/>
  <c r="E546" i="1"/>
  <c r="D546" i="1"/>
  <c r="AA545" i="1"/>
  <c r="Y545" i="1"/>
  <c r="E545" i="1"/>
  <c r="D545" i="1"/>
  <c r="AB544" i="1"/>
  <c r="AA544" i="1"/>
  <c r="Y544" i="1"/>
  <c r="F544" i="1"/>
  <c r="E544" i="1"/>
  <c r="D544" i="1"/>
  <c r="AB543" i="1"/>
  <c r="AA543" i="1"/>
  <c r="Y543" i="1"/>
  <c r="E543" i="1"/>
  <c r="D543" i="1"/>
  <c r="F543" i="1" s="1"/>
  <c r="AA542" i="1"/>
  <c r="Y542" i="1"/>
  <c r="E542" i="1"/>
  <c r="F542" i="1" s="1"/>
  <c r="AB542" i="1" s="1"/>
  <c r="D542" i="1"/>
  <c r="AA541" i="1"/>
  <c r="Y541" i="1"/>
  <c r="E541" i="1"/>
  <c r="D541" i="1"/>
  <c r="F541" i="1" s="1"/>
  <c r="AB541" i="1" s="1"/>
  <c r="AA540" i="1"/>
  <c r="Y540" i="1"/>
  <c r="F540" i="1"/>
  <c r="AB540" i="1" s="1"/>
  <c r="E540" i="1"/>
  <c r="D540" i="1"/>
  <c r="AA539" i="1"/>
  <c r="Y539" i="1"/>
  <c r="E539" i="1"/>
  <c r="D539" i="1"/>
  <c r="AA538" i="1"/>
  <c r="Y538" i="1"/>
  <c r="F538" i="1"/>
  <c r="AB538" i="1" s="1"/>
  <c r="E538" i="1"/>
  <c r="D538" i="1"/>
  <c r="AA537" i="1"/>
  <c r="Y537" i="1"/>
  <c r="E537" i="1"/>
  <c r="D537" i="1"/>
  <c r="AA536" i="1"/>
  <c r="Y536" i="1"/>
  <c r="E536" i="1"/>
  <c r="F536" i="1" s="1"/>
  <c r="AB536" i="1" s="1"/>
  <c r="D536" i="1"/>
  <c r="AA535" i="1"/>
  <c r="Y535" i="1"/>
  <c r="E535" i="1"/>
  <c r="D535" i="1"/>
  <c r="F535" i="1" s="1"/>
  <c r="AB535" i="1" s="1"/>
  <c r="AA534" i="1"/>
  <c r="Y534" i="1"/>
  <c r="F534" i="1"/>
  <c r="AB534" i="1" s="1"/>
  <c r="E534" i="1"/>
  <c r="D534" i="1"/>
  <c r="AA533" i="1"/>
  <c r="Y533" i="1"/>
  <c r="E533" i="1"/>
  <c r="D533" i="1"/>
  <c r="AA532" i="1"/>
  <c r="Y532" i="1"/>
  <c r="E532" i="1"/>
  <c r="F532" i="1" s="1"/>
  <c r="AB532" i="1" s="1"/>
  <c r="D532" i="1"/>
  <c r="AB531" i="1"/>
  <c r="AA531" i="1"/>
  <c r="Y531" i="1"/>
  <c r="E531" i="1"/>
  <c r="D531" i="1"/>
  <c r="F531" i="1" s="1"/>
  <c r="AA530" i="1"/>
  <c r="Y530" i="1"/>
  <c r="F530" i="1"/>
  <c r="AB530" i="1" s="1"/>
  <c r="E530" i="1"/>
  <c r="D530" i="1"/>
  <c r="AA529" i="1"/>
  <c r="Y529" i="1"/>
  <c r="E529" i="1"/>
  <c r="D529" i="1"/>
  <c r="AA528" i="1"/>
  <c r="Y528" i="1"/>
  <c r="E528" i="1"/>
  <c r="F528" i="1" s="1"/>
  <c r="AB528" i="1" s="1"/>
  <c r="D528" i="1"/>
  <c r="AB527" i="1"/>
  <c r="AA527" i="1"/>
  <c r="Y527" i="1"/>
  <c r="E527" i="1"/>
  <c r="D527" i="1"/>
  <c r="F527" i="1" s="1"/>
  <c r="AA526" i="1"/>
  <c r="Y526" i="1"/>
  <c r="F526" i="1"/>
  <c r="AB526" i="1" s="1"/>
  <c r="E526" i="1"/>
  <c r="D526" i="1"/>
  <c r="AA525" i="1"/>
  <c r="Y525" i="1"/>
  <c r="E525" i="1"/>
  <c r="D525" i="1"/>
  <c r="AA524" i="1"/>
  <c r="Y524" i="1"/>
  <c r="E524" i="1"/>
  <c r="F524" i="1" s="1"/>
  <c r="AB524" i="1" s="1"/>
  <c r="D524" i="1"/>
  <c r="AA523" i="1"/>
  <c r="Y523" i="1"/>
  <c r="E523" i="1"/>
  <c r="D523" i="1"/>
  <c r="F523" i="1" s="1"/>
  <c r="AB523" i="1" s="1"/>
  <c r="AA522" i="1"/>
  <c r="Y522" i="1"/>
  <c r="F522" i="1"/>
  <c r="AB522" i="1" s="1"/>
  <c r="E522" i="1"/>
  <c r="D522" i="1"/>
  <c r="AA521" i="1"/>
  <c r="Y521" i="1"/>
  <c r="E521" i="1"/>
  <c r="D521" i="1"/>
  <c r="AA520" i="1"/>
  <c r="Y520" i="1"/>
  <c r="E520" i="1"/>
  <c r="F520" i="1" s="1"/>
  <c r="AB520" i="1" s="1"/>
  <c r="D520" i="1"/>
  <c r="AA519" i="1"/>
  <c r="Y519" i="1"/>
  <c r="E519" i="1"/>
  <c r="D519" i="1"/>
  <c r="F519" i="1" s="1"/>
  <c r="AB519" i="1" s="1"/>
  <c r="AA518" i="1"/>
  <c r="Y518" i="1"/>
  <c r="F518" i="1"/>
  <c r="AB518" i="1" s="1"/>
  <c r="E518" i="1"/>
  <c r="D518" i="1"/>
  <c r="AA517" i="1"/>
  <c r="Y517" i="1"/>
  <c r="E517" i="1"/>
  <c r="D517" i="1"/>
  <c r="AA516" i="1"/>
  <c r="Y516" i="1"/>
  <c r="E516" i="1"/>
  <c r="F516" i="1" s="1"/>
  <c r="AB516" i="1" s="1"/>
  <c r="D516" i="1"/>
  <c r="AB515" i="1"/>
  <c r="AA515" i="1"/>
  <c r="Y515" i="1"/>
  <c r="E515" i="1"/>
  <c r="D515" i="1"/>
  <c r="F515" i="1" s="1"/>
  <c r="AA514" i="1"/>
  <c r="Y514" i="1"/>
  <c r="F514" i="1"/>
  <c r="AB514" i="1" s="1"/>
  <c r="E514" i="1"/>
  <c r="D514" i="1"/>
  <c r="AA513" i="1"/>
  <c r="Y513" i="1"/>
  <c r="E513" i="1"/>
  <c r="D513" i="1"/>
  <c r="AA512" i="1"/>
  <c r="Y512" i="1"/>
  <c r="E512" i="1"/>
  <c r="F512" i="1" s="1"/>
  <c r="AB512" i="1" s="1"/>
  <c r="D512" i="1"/>
  <c r="AB511" i="1"/>
  <c r="AA511" i="1"/>
  <c r="Y511" i="1"/>
  <c r="E511" i="1"/>
  <c r="D511" i="1"/>
  <c r="F511" i="1" s="1"/>
  <c r="AA510" i="1"/>
  <c r="Y510" i="1"/>
  <c r="F510" i="1"/>
  <c r="AB510" i="1" s="1"/>
  <c r="E510" i="1"/>
  <c r="D510" i="1"/>
  <c r="AA509" i="1"/>
  <c r="Y509" i="1"/>
  <c r="E509" i="1"/>
  <c r="D509" i="1"/>
  <c r="F509" i="1" s="1"/>
  <c r="AB509" i="1" s="1"/>
  <c r="AA508" i="1"/>
  <c r="Y508" i="1"/>
  <c r="E508" i="1"/>
  <c r="F508" i="1" s="1"/>
  <c r="AB508" i="1" s="1"/>
  <c r="D508" i="1"/>
  <c r="AA507" i="1"/>
  <c r="Y507" i="1"/>
  <c r="E507" i="1"/>
  <c r="D507" i="1"/>
  <c r="F507" i="1" s="1"/>
  <c r="AB507" i="1" s="1"/>
  <c r="AA506" i="1"/>
  <c r="Y506" i="1"/>
  <c r="E506" i="1"/>
  <c r="F506" i="1" s="1"/>
  <c r="AB506" i="1" s="1"/>
  <c r="D506" i="1"/>
  <c r="AA505" i="1"/>
  <c r="Y505" i="1"/>
  <c r="E505" i="1"/>
  <c r="D505" i="1"/>
  <c r="AA504" i="1"/>
  <c r="Y504" i="1"/>
  <c r="E504" i="1"/>
  <c r="F504" i="1" s="1"/>
  <c r="AB504" i="1" s="1"/>
  <c r="D504" i="1"/>
  <c r="AA503" i="1"/>
  <c r="Y503" i="1"/>
  <c r="E503" i="1"/>
  <c r="D503" i="1"/>
  <c r="F503" i="1" s="1"/>
  <c r="AB503" i="1" s="1"/>
  <c r="AA502" i="1"/>
  <c r="Y502" i="1"/>
  <c r="F502" i="1"/>
  <c r="AB502" i="1" s="1"/>
  <c r="E502" i="1"/>
  <c r="D502" i="1"/>
  <c r="AA501" i="1"/>
  <c r="Y501" i="1"/>
  <c r="E501" i="1"/>
  <c r="D501" i="1"/>
  <c r="AA500" i="1"/>
  <c r="Y500" i="1"/>
  <c r="E500" i="1"/>
  <c r="F500" i="1" s="1"/>
  <c r="AB500" i="1" s="1"/>
  <c r="D500" i="1"/>
  <c r="AB499" i="1"/>
  <c r="AA499" i="1"/>
  <c r="Y499" i="1"/>
  <c r="E499" i="1"/>
  <c r="D499" i="1"/>
  <c r="F499" i="1" s="1"/>
  <c r="AB498" i="1"/>
  <c r="AA498" i="1"/>
  <c r="Y498" i="1"/>
  <c r="F498" i="1"/>
  <c r="E498" i="1"/>
  <c r="D498" i="1"/>
  <c r="AA497" i="1"/>
  <c r="Y497" i="1"/>
  <c r="E497" i="1"/>
  <c r="D497" i="1"/>
  <c r="AA496" i="1"/>
  <c r="Y496" i="1"/>
  <c r="E496" i="1"/>
  <c r="F496" i="1" s="1"/>
  <c r="AB496" i="1" s="1"/>
  <c r="D496" i="1"/>
  <c r="AB495" i="1"/>
  <c r="AA495" i="1"/>
  <c r="Y495" i="1"/>
  <c r="E495" i="1"/>
  <c r="D495" i="1"/>
  <c r="F495" i="1" s="1"/>
  <c r="AA494" i="1"/>
  <c r="Y494" i="1"/>
  <c r="F494" i="1"/>
  <c r="AB494" i="1" s="1"/>
  <c r="E494" i="1"/>
  <c r="D494" i="1"/>
  <c r="AA493" i="1"/>
  <c r="Y493" i="1"/>
  <c r="E493" i="1"/>
  <c r="D493" i="1"/>
  <c r="F493" i="1" s="1"/>
  <c r="AB493" i="1" s="1"/>
  <c r="AA492" i="1"/>
  <c r="Y492" i="1"/>
  <c r="E492" i="1"/>
  <c r="F492" i="1" s="1"/>
  <c r="AB492" i="1" s="1"/>
  <c r="D492" i="1"/>
  <c r="AA491" i="1"/>
  <c r="Y491" i="1"/>
  <c r="E491" i="1"/>
  <c r="D491" i="1"/>
  <c r="F491" i="1" s="1"/>
  <c r="AB491" i="1" s="1"/>
  <c r="AA490" i="1"/>
  <c r="Y490" i="1"/>
  <c r="E490" i="1"/>
  <c r="F490" i="1" s="1"/>
  <c r="AB490" i="1" s="1"/>
  <c r="D490" i="1"/>
  <c r="AA489" i="1"/>
  <c r="Y489" i="1"/>
  <c r="E489" i="1"/>
  <c r="D489" i="1"/>
  <c r="AA488" i="1"/>
  <c r="Y488" i="1"/>
  <c r="E488" i="1"/>
  <c r="F488" i="1" s="1"/>
  <c r="AB488" i="1" s="1"/>
  <c r="D488" i="1"/>
  <c r="AA487" i="1"/>
  <c r="Y487" i="1"/>
  <c r="E487" i="1"/>
  <c r="D487" i="1"/>
  <c r="F487" i="1" s="1"/>
  <c r="AB487" i="1" s="1"/>
  <c r="AA486" i="1"/>
  <c r="Y486" i="1"/>
  <c r="F486" i="1"/>
  <c r="AB486" i="1" s="1"/>
  <c r="E486" i="1"/>
  <c r="D486" i="1"/>
  <c r="AA485" i="1"/>
  <c r="Y485" i="1"/>
  <c r="E485" i="1"/>
  <c r="D485" i="1"/>
  <c r="AA484" i="1"/>
  <c r="Y484" i="1"/>
  <c r="E484" i="1"/>
  <c r="F484" i="1" s="1"/>
  <c r="AB484" i="1" s="1"/>
  <c r="D484" i="1"/>
  <c r="AB483" i="1"/>
  <c r="AA483" i="1"/>
  <c r="Y483" i="1"/>
  <c r="E483" i="1"/>
  <c r="D483" i="1"/>
  <c r="F483" i="1" s="1"/>
  <c r="AB482" i="1"/>
  <c r="AA482" i="1"/>
  <c r="Y482" i="1"/>
  <c r="F482" i="1"/>
  <c r="E482" i="1"/>
  <c r="D482" i="1"/>
  <c r="AA481" i="1"/>
  <c r="Y481" i="1"/>
  <c r="E481" i="1"/>
  <c r="D481" i="1"/>
  <c r="AA480" i="1"/>
  <c r="Y480" i="1"/>
  <c r="E480" i="1"/>
  <c r="F480" i="1" s="1"/>
  <c r="AB480" i="1" s="1"/>
  <c r="D480" i="1"/>
  <c r="AB479" i="1"/>
  <c r="AA479" i="1"/>
  <c r="Y479" i="1"/>
  <c r="E479" i="1"/>
  <c r="D479" i="1"/>
  <c r="F479" i="1" s="1"/>
  <c r="AA478" i="1"/>
  <c r="Y478" i="1"/>
  <c r="F478" i="1"/>
  <c r="AB478" i="1" s="1"/>
  <c r="E478" i="1"/>
  <c r="D478" i="1"/>
  <c r="AA477" i="1"/>
  <c r="Y477" i="1"/>
  <c r="E477" i="1"/>
  <c r="D477" i="1"/>
  <c r="F477" i="1" s="1"/>
  <c r="AB477" i="1" s="1"/>
  <c r="AA476" i="1"/>
  <c r="Y476" i="1"/>
  <c r="E476" i="1"/>
  <c r="F476" i="1" s="1"/>
  <c r="AB476" i="1" s="1"/>
  <c r="D476" i="1"/>
  <c r="AA475" i="1"/>
  <c r="Y475" i="1"/>
  <c r="E475" i="1"/>
  <c r="D475" i="1"/>
  <c r="F475" i="1" s="1"/>
  <c r="AB475" i="1" s="1"/>
  <c r="AA474" i="1"/>
  <c r="Y474" i="1"/>
  <c r="E474" i="1"/>
  <c r="F474" i="1" s="1"/>
  <c r="AB474" i="1" s="1"/>
  <c r="D474" i="1"/>
  <c r="AA473" i="1"/>
  <c r="Y473" i="1"/>
  <c r="E473" i="1"/>
  <c r="D473" i="1"/>
  <c r="AA472" i="1"/>
  <c r="Y472" i="1"/>
  <c r="E472" i="1"/>
  <c r="F472" i="1" s="1"/>
  <c r="AB472" i="1" s="1"/>
  <c r="D472" i="1"/>
  <c r="AA471" i="1"/>
  <c r="Y471" i="1"/>
  <c r="E471" i="1"/>
  <c r="D471" i="1"/>
  <c r="F471" i="1" s="1"/>
  <c r="AB471" i="1" s="1"/>
  <c r="AA470" i="1"/>
  <c r="Y470" i="1"/>
  <c r="F470" i="1"/>
  <c r="AB470" i="1" s="1"/>
  <c r="E470" i="1"/>
  <c r="D470" i="1"/>
  <c r="AA469" i="1"/>
  <c r="Y469" i="1"/>
  <c r="E469" i="1"/>
  <c r="D469" i="1"/>
  <c r="AA468" i="1"/>
  <c r="Y468" i="1"/>
  <c r="E468" i="1"/>
  <c r="F468" i="1" s="1"/>
  <c r="AB468" i="1" s="1"/>
  <c r="D468" i="1"/>
  <c r="AB467" i="1"/>
  <c r="AA467" i="1"/>
  <c r="Y467" i="1"/>
  <c r="E467" i="1"/>
  <c r="D467" i="1"/>
  <c r="F467" i="1" s="1"/>
  <c r="AB466" i="1"/>
  <c r="AA466" i="1"/>
  <c r="Y466" i="1"/>
  <c r="F466" i="1"/>
  <c r="E466" i="1"/>
  <c r="D466" i="1"/>
  <c r="AA465" i="1"/>
  <c r="Y465" i="1"/>
  <c r="F465" i="1"/>
  <c r="AB465" i="1" s="1"/>
  <c r="E465" i="1"/>
  <c r="D465" i="1"/>
  <c r="AA464" i="1"/>
  <c r="Y464" i="1"/>
  <c r="E464" i="1"/>
  <c r="D464" i="1"/>
  <c r="F464" i="1" s="1"/>
  <c r="AB464" i="1" s="1"/>
  <c r="AA463" i="1"/>
  <c r="Y463" i="1"/>
  <c r="E463" i="1"/>
  <c r="D463" i="1"/>
  <c r="AA462" i="1"/>
  <c r="Y462" i="1"/>
  <c r="E462" i="1"/>
  <c r="F462" i="1" s="1"/>
  <c r="AB462" i="1" s="1"/>
  <c r="D462" i="1"/>
  <c r="AA461" i="1"/>
  <c r="Y461" i="1"/>
  <c r="E461" i="1"/>
  <c r="F461" i="1" s="1"/>
  <c r="AB461" i="1" s="1"/>
  <c r="D461" i="1"/>
  <c r="AA460" i="1"/>
  <c r="Y460" i="1"/>
  <c r="E460" i="1"/>
  <c r="D460" i="1"/>
  <c r="F460" i="1" s="1"/>
  <c r="AB460" i="1" s="1"/>
  <c r="AB459" i="1"/>
  <c r="AA459" i="1"/>
  <c r="Y459" i="1"/>
  <c r="E459" i="1"/>
  <c r="D459" i="1"/>
  <c r="F459" i="1" s="1"/>
  <c r="AA458" i="1"/>
  <c r="Y458" i="1"/>
  <c r="F458" i="1"/>
  <c r="AB458" i="1" s="1"/>
  <c r="E458" i="1"/>
  <c r="D458" i="1"/>
  <c r="AA457" i="1"/>
  <c r="Y457" i="1"/>
  <c r="E457" i="1"/>
  <c r="D457" i="1"/>
  <c r="F457" i="1" s="1"/>
  <c r="AB457" i="1" s="1"/>
  <c r="AA456" i="1"/>
  <c r="Y456" i="1"/>
  <c r="F456" i="1"/>
  <c r="AB456" i="1" s="1"/>
  <c r="E456" i="1"/>
  <c r="D456" i="1"/>
  <c r="AA455" i="1"/>
  <c r="Y455" i="1"/>
  <c r="E455" i="1"/>
  <c r="D455" i="1"/>
  <c r="AA454" i="1"/>
  <c r="Y454" i="1"/>
  <c r="E454" i="1"/>
  <c r="F454" i="1" s="1"/>
  <c r="AB454" i="1" s="1"/>
  <c r="D454" i="1"/>
  <c r="AA453" i="1"/>
  <c r="Y453" i="1"/>
  <c r="E453" i="1"/>
  <c r="D453" i="1"/>
  <c r="F453" i="1" s="1"/>
  <c r="AB453" i="1" s="1"/>
  <c r="AA452" i="1"/>
  <c r="Y452" i="1"/>
  <c r="E452" i="1"/>
  <c r="F452" i="1" s="1"/>
  <c r="AB452" i="1" s="1"/>
  <c r="D452" i="1"/>
  <c r="AA451" i="1"/>
  <c r="Y451" i="1"/>
  <c r="E451" i="1"/>
  <c r="D451" i="1"/>
  <c r="F451" i="1" s="1"/>
  <c r="AB451" i="1" s="1"/>
  <c r="AA450" i="1"/>
  <c r="Y450" i="1"/>
  <c r="E450" i="1"/>
  <c r="F450" i="1" s="1"/>
  <c r="AB450" i="1" s="1"/>
  <c r="D450" i="1"/>
  <c r="AA449" i="1"/>
  <c r="Y449" i="1"/>
  <c r="F449" i="1"/>
  <c r="AB449" i="1" s="1"/>
  <c r="E449" i="1"/>
  <c r="D449" i="1"/>
  <c r="AA448" i="1"/>
  <c r="Y448" i="1"/>
  <c r="E448" i="1"/>
  <c r="D448" i="1"/>
  <c r="F448" i="1" s="1"/>
  <c r="AB448" i="1" s="1"/>
  <c r="AA447" i="1"/>
  <c r="Y447" i="1"/>
  <c r="E447" i="1"/>
  <c r="D447" i="1"/>
  <c r="AA446" i="1"/>
  <c r="Y446" i="1"/>
  <c r="E446" i="1"/>
  <c r="F446" i="1" s="1"/>
  <c r="AB446" i="1" s="1"/>
  <c r="D446" i="1"/>
  <c r="AB445" i="1"/>
  <c r="AA445" i="1"/>
  <c r="Y445" i="1"/>
  <c r="E445" i="1"/>
  <c r="F445" i="1" s="1"/>
  <c r="D445" i="1"/>
  <c r="AA444" i="1"/>
  <c r="Y444" i="1"/>
  <c r="E444" i="1"/>
  <c r="D444" i="1"/>
  <c r="F444" i="1" s="1"/>
  <c r="AB444" i="1" s="1"/>
  <c r="AA443" i="1"/>
  <c r="Y443" i="1"/>
  <c r="E443" i="1"/>
  <c r="D443" i="1"/>
  <c r="F443" i="1" s="1"/>
  <c r="AB443" i="1" s="1"/>
  <c r="AA442" i="1"/>
  <c r="Y442" i="1"/>
  <c r="F442" i="1"/>
  <c r="AB442" i="1" s="1"/>
  <c r="E442" i="1"/>
  <c r="D442" i="1"/>
  <c r="AA441" i="1"/>
  <c r="Y441" i="1"/>
  <c r="E441" i="1"/>
  <c r="D441" i="1"/>
  <c r="F441" i="1" s="1"/>
  <c r="AB441" i="1" s="1"/>
  <c r="AA440" i="1"/>
  <c r="Y440" i="1"/>
  <c r="F440" i="1"/>
  <c r="AB440" i="1" s="1"/>
  <c r="E440" i="1"/>
  <c r="D440" i="1"/>
  <c r="AA439" i="1"/>
  <c r="Y439" i="1"/>
  <c r="E439" i="1"/>
  <c r="D439" i="1"/>
  <c r="F439" i="1" s="1"/>
  <c r="AB439" i="1" s="1"/>
  <c r="AA438" i="1"/>
  <c r="Y438" i="1"/>
  <c r="E438" i="1"/>
  <c r="F438" i="1" s="1"/>
  <c r="AB438" i="1" s="1"/>
  <c r="D438" i="1"/>
  <c r="AA437" i="1"/>
  <c r="Y437" i="1"/>
  <c r="E437" i="1"/>
  <c r="D437" i="1"/>
  <c r="F437" i="1" s="1"/>
  <c r="AB437" i="1" s="1"/>
  <c r="AA436" i="1"/>
  <c r="Y436" i="1"/>
  <c r="E436" i="1"/>
  <c r="F436" i="1" s="1"/>
  <c r="AB436" i="1" s="1"/>
  <c r="D436" i="1"/>
  <c r="AB435" i="1"/>
  <c r="AA435" i="1"/>
  <c r="Y435" i="1"/>
  <c r="E435" i="1"/>
  <c r="D435" i="1"/>
  <c r="F435" i="1" s="1"/>
  <c r="AB434" i="1"/>
  <c r="AA434" i="1"/>
  <c r="Y434" i="1"/>
  <c r="F434" i="1"/>
  <c r="E434" i="1"/>
  <c r="D434" i="1"/>
  <c r="AA433" i="1"/>
  <c r="Y433" i="1"/>
  <c r="F433" i="1"/>
  <c r="AB433" i="1" s="1"/>
  <c r="E433" i="1"/>
  <c r="D433" i="1"/>
  <c r="AA432" i="1"/>
  <c r="Y432" i="1"/>
  <c r="E432" i="1"/>
  <c r="D432" i="1"/>
  <c r="F432" i="1" s="1"/>
  <c r="AB432" i="1" s="1"/>
  <c r="AA431" i="1"/>
  <c r="Y431" i="1"/>
  <c r="E431" i="1"/>
  <c r="D431" i="1"/>
  <c r="AA430" i="1"/>
  <c r="Y430" i="1"/>
  <c r="E430" i="1"/>
  <c r="F430" i="1" s="1"/>
  <c r="AB430" i="1" s="1"/>
  <c r="D430" i="1"/>
  <c r="AA429" i="1"/>
  <c r="Y429" i="1"/>
  <c r="F429" i="1"/>
  <c r="AB429" i="1" s="1"/>
  <c r="E429" i="1"/>
  <c r="D429" i="1"/>
  <c r="AA428" i="1"/>
  <c r="Y428" i="1"/>
  <c r="E428" i="1"/>
  <c r="D428" i="1"/>
  <c r="F428" i="1" s="1"/>
  <c r="AB428" i="1" s="1"/>
  <c r="AB427" i="1"/>
  <c r="AA427" i="1"/>
  <c r="Y427" i="1"/>
  <c r="E427" i="1"/>
  <c r="D427" i="1"/>
  <c r="F427" i="1" s="1"/>
  <c r="AA426" i="1"/>
  <c r="Y426" i="1"/>
  <c r="F426" i="1"/>
  <c r="AB426" i="1" s="1"/>
  <c r="E426" i="1"/>
  <c r="D426" i="1"/>
  <c r="AA425" i="1"/>
  <c r="Y425" i="1"/>
  <c r="E425" i="1"/>
  <c r="D425" i="1"/>
  <c r="AA424" i="1"/>
  <c r="Y424" i="1"/>
  <c r="F424" i="1"/>
  <c r="AB424" i="1" s="1"/>
  <c r="E424" i="1"/>
  <c r="D424" i="1"/>
  <c r="AA423" i="1"/>
  <c r="Y423" i="1"/>
  <c r="E423" i="1"/>
  <c r="D423" i="1"/>
  <c r="AA422" i="1"/>
  <c r="Y422" i="1"/>
  <c r="E422" i="1"/>
  <c r="F422" i="1" s="1"/>
  <c r="AB422" i="1" s="1"/>
  <c r="D422" i="1"/>
  <c r="AA421" i="1"/>
  <c r="Y421" i="1"/>
  <c r="E421" i="1"/>
  <c r="D421" i="1"/>
  <c r="F421" i="1" s="1"/>
  <c r="AB421" i="1" s="1"/>
  <c r="AB420" i="1"/>
  <c r="AA420" i="1"/>
  <c r="Y420" i="1"/>
  <c r="E420" i="1"/>
  <c r="F420" i="1" s="1"/>
  <c r="D420" i="1"/>
  <c r="AA419" i="1"/>
  <c r="Y419" i="1"/>
  <c r="E419" i="1"/>
  <c r="D419" i="1"/>
  <c r="F419" i="1" s="1"/>
  <c r="AB419" i="1" s="1"/>
  <c r="AA418" i="1"/>
  <c r="Y418" i="1"/>
  <c r="E418" i="1"/>
  <c r="F418" i="1" s="1"/>
  <c r="AB418" i="1" s="1"/>
  <c r="D418" i="1"/>
  <c r="AA417" i="1"/>
  <c r="Y417" i="1"/>
  <c r="F417" i="1"/>
  <c r="AB417" i="1" s="1"/>
  <c r="E417" i="1"/>
  <c r="D417" i="1"/>
  <c r="AA416" i="1"/>
  <c r="Y416" i="1"/>
  <c r="E416" i="1"/>
  <c r="D416" i="1"/>
  <c r="F416" i="1" s="1"/>
  <c r="AB416" i="1" s="1"/>
  <c r="AA415" i="1"/>
  <c r="Y415" i="1"/>
  <c r="E415" i="1"/>
  <c r="D415" i="1"/>
  <c r="AA414" i="1"/>
  <c r="Y414" i="1"/>
  <c r="E414" i="1"/>
  <c r="F414" i="1" s="1"/>
  <c r="AB414" i="1" s="1"/>
  <c r="D414" i="1"/>
  <c r="AA413" i="1"/>
  <c r="Y413" i="1"/>
  <c r="E413" i="1"/>
  <c r="F413" i="1" s="1"/>
  <c r="AB413" i="1" s="1"/>
  <c r="D413" i="1"/>
  <c r="AA412" i="1"/>
  <c r="Y412" i="1"/>
  <c r="E412" i="1"/>
  <c r="D412" i="1"/>
  <c r="F412" i="1" s="1"/>
  <c r="AB412" i="1" s="1"/>
  <c r="AA411" i="1"/>
  <c r="Y411" i="1"/>
  <c r="E411" i="1"/>
  <c r="D411" i="1"/>
  <c r="AA410" i="1"/>
  <c r="Y410" i="1"/>
  <c r="F410" i="1"/>
  <c r="AB410" i="1" s="1"/>
  <c r="E410" i="1"/>
  <c r="D410" i="1"/>
  <c r="AA409" i="1"/>
  <c r="Y409" i="1"/>
  <c r="E409" i="1"/>
  <c r="D409" i="1"/>
  <c r="F409" i="1" s="1"/>
  <c r="AB409" i="1" s="1"/>
  <c r="AA408" i="1"/>
  <c r="Y408" i="1"/>
  <c r="F408" i="1"/>
  <c r="AB408" i="1" s="1"/>
  <c r="E408" i="1"/>
  <c r="D408" i="1"/>
  <c r="AA407" i="1"/>
  <c r="Y407" i="1"/>
  <c r="E407" i="1"/>
  <c r="D407" i="1"/>
  <c r="F407" i="1" s="1"/>
  <c r="AB407" i="1" s="1"/>
  <c r="AB406" i="1"/>
  <c r="AA406" i="1"/>
  <c r="Y406" i="1"/>
  <c r="E406" i="1"/>
  <c r="F406" i="1" s="1"/>
  <c r="D406" i="1"/>
  <c r="AA405" i="1"/>
  <c r="Y405" i="1"/>
  <c r="E405" i="1"/>
  <c r="D405" i="1"/>
  <c r="F405" i="1" s="1"/>
  <c r="AB405" i="1" s="1"/>
  <c r="AA404" i="1"/>
  <c r="Y404" i="1"/>
  <c r="E404" i="1"/>
  <c r="F404" i="1" s="1"/>
  <c r="AB404" i="1" s="1"/>
  <c r="D404" i="1"/>
  <c r="AB403" i="1"/>
  <c r="AA403" i="1"/>
  <c r="Y403" i="1"/>
  <c r="E403" i="1"/>
  <c r="D403" i="1"/>
  <c r="F403" i="1" s="1"/>
  <c r="AB402" i="1"/>
  <c r="AA402" i="1"/>
  <c r="Y402" i="1"/>
  <c r="F402" i="1"/>
  <c r="E402" i="1"/>
  <c r="D402" i="1"/>
  <c r="AA401" i="1"/>
  <c r="Y401" i="1"/>
  <c r="E401" i="1"/>
  <c r="D401" i="1"/>
  <c r="F401" i="1" s="1"/>
  <c r="AB401" i="1" s="1"/>
  <c r="AA400" i="1"/>
  <c r="Y400" i="1"/>
  <c r="E400" i="1"/>
  <c r="D400" i="1"/>
  <c r="AA399" i="1"/>
  <c r="Y399" i="1"/>
  <c r="E399" i="1"/>
  <c r="D399" i="1"/>
  <c r="AA398" i="1"/>
  <c r="Y398" i="1"/>
  <c r="E398" i="1"/>
  <c r="F398" i="1" s="1"/>
  <c r="AB398" i="1" s="1"/>
  <c r="D398" i="1"/>
  <c r="AB397" i="1"/>
  <c r="AA397" i="1"/>
  <c r="Y397" i="1"/>
  <c r="F397" i="1"/>
  <c r="E397" i="1"/>
  <c r="D397" i="1"/>
  <c r="AA396" i="1"/>
  <c r="Y396" i="1"/>
  <c r="E396" i="1"/>
  <c r="D396" i="1"/>
  <c r="F396" i="1" s="1"/>
  <c r="AB396" i="1" s="1"/>
  <c r="AB395" i="1"/>
  <c r="AA395" i="1"/>
  <c r="Y395" i="1"/>
  <c r="E395" i="1"/>
  <c r="D395" i="1"/>
  <c r="F395" i="1" s="1"/>
  <c r="AA394" i="1"/>
  <c r="Y394" i="1"/>
  <c r="F394" i="1"/>
  <c r="AB394" i="1" s="1"/>
  <c r="E394" i="1"/>
  <c r="D394" i="1"/>
  <c r="AA393" i="1"/>
  <c r="Y393" i="1"/>
  <c r="E393" i="1"/>
  <c r="D393" i="1"/>
  <c r="F393" i="1" s="1"/>
  <c r="AB393" i="1" s="1"/>
  <c r="AA392" i="1"/>
  <c r="Y392" i="1"/>
  <c r="F392" i="1"/>
  <c r="AB392" i="1" s="1"/>
  <c r="E392" i="1"/>
  <c r="D392" i="1"/>
  <c r="AA391" i="1"/>
  <c r="Y391" i="1"/>
  <c r="E391" i="1"/>
  <c r="D391" i="1"/>
  <c r="AB390" i="1"/>
  <c r="AA390" i="1"/>
  <c r="Y390" i="1"/>
  <c r="F390" i="1"/>
  <c r="E390" i="1"/>
  <c r="D390" i="1"/>
  <c r="AA389" i="1"/>
  <c r="Y389" i="1"/>
  <c r="E389" i="1"/>
  <c r="D389" i="1"/>
  <c r="F389" i="1" s="1"/>
  <c r="AB389" i="1" s="1"/>
  <c r="AB388" i="1"/>
  <c r="AA388" i="1"/>
  <c r="Y388" i="1"/>
  <c r="E388" i="1"/>
  <c r="F388" i="1" s="1"/>
  <c r="D388" i="1"/>
  <c r="AA387" i="1"/>
  <c r="Y387" i="1"/>
  <c r="E387" i="1"/>
  <c r="D387" i="1"/>
  <c r="F387" i="1" s="1"/>
  <c r="AB387" i="1" s="1"/>
  <c r="AA386" i="1"/>
  <c r="Y386" i="1"/>
  <c r="E386" i="1"/>
  <c r="F386" i="1" s="1"/>
  <c r="AB386" i="1" s="1"/>
  <c r="D386" i="1"/>
  <c r="AA385" i="1"/>
  <c r="Y385" i="1"/>
  <c r="F385" i="1"/>
  <c r="AB385" i="1" s="1"/>
  <c r="E385" i="1"/>
  <c r="D385" i="1"/>
  <c r="AB384" i="1"/>
  <c r="AA384" i="1"/>
  <c r="Y384" i="1"/>
  <c r="E384" i="1"/>
  <c r="D384" i="1"/>
  <c r="F384" i="1" s="1"/>
  <c r="AA383" i="1"/>
  <c r="Y383" i="1"/>
  <c r="E383" i="1"/>
  <c r="D383" i="1"/>
  <c r="AA382" i="1"/>
  <c r="Y382" i="1"/>
  <c r="E382" i="1"/>
  <c r="F382" i="1" s="1"/>
  <c r="AB382" i="1" s="1"/>
  <c r="D382" i="1"/>
  <c r="AA381" i="1"/>
  <c r="Y381" i="1"/>
  <c r="E381" i="1"/>
  <c r="F381" i="1" s="1"/>
  <c r="AB381" i="1" s="1"/>
  <c r="D381" i="1"/>
  <c r="AA380" i="1"/>
  <c r="Y380" i="1"/>
  <c r="E380" i="1"/>
  <c r="D380" i="1"/>
  <c r="AA379" i="1"/>
  <c r="Y379" i="1"/>
  <c r="E379" i="1"/>
  <c r="D379" i="1"/>
  <c r="AA378" i="1"/>
  <c r="Y378" i="1"/>
  <c r="F378" i="1"/>
  <c r="AB378" i="1" s="1"/>
  <c r="E378" i="1"/>
  <c r="D378" i="1"/>
  <c r="AA377" i="1"/>
  <c r="Y377" i="1"/>
  <c r="F377" i="1"/>
  <c r="AB377" i="1" s="1"/>
  <c r="E377" i="1"/>
  <c r="D377" i="1"/>
  <c r="AA376" i="1"/>
  <c r="Y376" i="1"/>
  <c r="F376" i="1"/>
  <c r="AB376" i="1" s="1"/>
  <c r="E376" i="1"/>
  <c r="D376" i="1"/>
  <c r="AA375" i="1"/>
  <c r="Y375" i="1"/>
  <c r="E375" i="1"/>
  <c r="D375" i="1"/>
  <c r="F375" i="1" s="1"/>
  <c r="AB375" i="1" s="1"/>
  <c r="AB374" i="1"/>
  <c r="AA374" i="1"/>
  <c r="Y374" i="1"/>
  <c r="E374" i="1"/>
  <c r="F374" i="1" s="1"/>
  <c r="D374" i="1"/>
  <c r="AA373" i="1"/>
  <c r="Y373" i="1"/>
  <c r="E373" i="1"/>
  <c r="D373" i="1"/>
  <c r="AA372" i="1"/>
  <c r="Y372" i="1"/>
  <c r="F372" i="1"/>
  <c r="AB372" i="1" s="1"/>
  <c r="E372" i="1"/>
  <c r="D372" i="1"/>
  <c r="AB371" i="1"/>
  <c r="AA371" i="1"/>
  <c r="Y371" i="1"/>
  <c r="E371" i="1"/>
  <c r="D371" i="1"/>
  <c r="F371" i="1" s="1"/>
  <c r="AA370" i="1"/>
  <c r="Y370" i="1"/>
  <c r="F370" i="1"/>
  <c r="AB370" i="1" s="1"/>
  <c r="E370" i="1"/>
  <c r="D370" i="1"/>
  <c r="AA369" i="1"/>
  <c r="Y369" i="1"/>
  <c r="F369" i="1"/>
  <c r="AB369" i="1" s="1"/>
  <c r="E369" i="1"/>
  <c r="D369" i="1"/>
  <c r="AA368" i="1"/>
  <c r="Y368" i="1"/>
  <c r="E368" i="1"/>
  <c r="D368" i="1"/>
  <c r="F368" i="1" s="1"/>
  <c r="AB368" i="1" s="1"/>
  <c r="AA367" i="1"/>
  <c r="Y367" i="1"/>
  <c r="E367" i="1"/>
  <c r="D367" i="1"/>
  <c r="AA366" i="1"/>
  <c r="Y366" i="1"/>
  <c r="E366" i="1"/>
  <c r="F366" i="1" s="1"/>
  <c r="AB366" i="1" s="1"/>
  <c r="D366" i="1"/>
  <c r="AA365" i="1"/>
  <c r="Y365" i="1"/>
  <c r="E365" i="1"/>
  <c r="F365" i="1" s="1"/>
  <c r="AB365" i="1" s="1"/>
  <c r="D365" i="1"/>
  <c r="AB364" i="1"/>
  <c r="AA364" i="1"/>
  <c r="Y364" i="1"/>
  <c r="E364" i="1"/>
  <c r="D364" i="1"/>
  <c r="F364" i="1" s="1"/>
  <c r="AA363" i="1"/>
  <c r="Y363" i="1"/>
  <c r="E363" i="1"/>
  <c r="D363" i="1"/>
  <c r="F363" i="1" s="1"/>
  <c r="AB363" i="1" s="1"/>
  <c r="AA362" i="1"/>
  <c r="Y362" i="1"/>
  <c r="F362" i="1"/>
  <c r="AB362" i="1" s="1"/>
  <c r="E362" i="1"/>
  <c r="D362" i="1"/>
  <c r="AA361" i="1"/>
  <c r="Y361" i="1"/>
  <c r="E361" i="1"/>
  <c r="D361" i="1"/>
  <c r="AA360" i="1"/>
  <c r="Y360" i="1"/>
  <c r="F360" i="1"/>
  <c r="AB360" i="1" s="1"/>
  <c r="E360" i="1"/>
  <c r="D360" i="1"/>
  <c r="AA359" i="1"/>
  <c r="Y359" i="1"/>
  <c r="E359" i="1"/>
  <c r="D359" i="1"/>
  <c r="AA358" i="1"/>
  <c r="Y358" i="1"/>
  <c r="E358" i="1"/>
  <c r="F358" i="1" s="1"/>
  <c r="AB358" i="1" s="1"/>
  <c r="D358" i="1"/>
  <c r="AB357" i="1"/>
  <c r="AA357" i="1"/>
  <c r="Y357" i="1"/>
  <c r="E357" i="1"/>
  <c r="D357" i="1"/>
  <c r="F357" i="1" s="1"/>
  <c r="AA356" i="1"/>
  <c r="Y356" i="1"/>
  <c r="E356" i="1"/>
  <c r="F356" i="1" s="1"/>
  <c r="AB356" i="1" s="1"/>
  <c r="D356" i="1"/>
  <c r="AA355" i="1"/>
  <c r="Y355" i="1"/>
  <c r="E355" i="1"/>
  <c r="D355" i="1"/>
  <c r="F355" i="1" s="1"/>
  <c r="AB355" i="1" s="1"/>
  <c r="AA354" i="1"/>
  <c r="Y354" i="1"/>
  <c r="E354" i="1"/>
  <c r="F354" i="1" s="1"/>
  <c r="AB354" i="1" s="1"/>
  <c r="D354" i="1"/>
  <c r="AA353" i="1"/>
  <c r="Y353" i="1"/>
  <c r="F353" i="1"/>
  <c r="AB353" i="1" s="1"/>
  <c r="E353" i="1"/>
  <c r="D353" i="1"/>
  <c r="AA352" i="1"/>
  <c r="Y352" i="1"/>
  <c r="E352" i="1"/>
  <c r="D352" i="1"/>
  <c r="F352" i="1" s="1"/>
  <c r="AB352" i="1" s="1"/>
  <c r="AA351" i="1"/>
  <c r="Y351" i="1"/>
  <c r="E351" i="1"/>
  <c r="D351" i="1"/>
  <c r="AA350" i="1"/>
  <c r="Y350" i="1"/>
  <c r="E350" i="1"/>
  <c r="F350" i="1" s="1"/>
  <c r="AB350" i="1" s="1"/>
  <c r="D350" i="1"/>
  <c r="AA349" i="1"/>
  <c r="Y349" i="1"/>
  <c r="E349" i="1"/>
  <c r="F349" i="1" s="1"/>
  <c r="AB349" i="1" s="1"/>
  <c r="D349" i="1"/>
  <c r="AA348" i="1"/>
  <c r="Y348" i="1"/>
  <c r="E348" i="1"/>
  <c r="D348" i="1"/>
  <c r="AA347" i="1"/>
  <c r="Y347" i="1"/>
  <c r="E347" i="1"/>
  <c r="D347" i="1"/>
  <c r="AA346" i="1"/>
  <c r="Y346" i="1"/>
  <c r="F346" i="1"/>
  <c r="AB346" i="1" s="1"/>
  <c r="E346" i="1"/>
  <c r="D346" i="1"/>
  <c r="AA345" i="1"/>
  <c r="Y345" i="1"/>
  <c r="E345" i="1"/>
  <c r="D345" i="1"/>
  <c r="F345" i="1" s="1"/>
  <c r="AB345" i="1" s="1"/>
  <c r="AA344" i="1"/>
  <c r="Y344" i="1"/>
  <c r="E344" i="1"/>
  <c r="D344" i="1"/>
  <c r="F344" i="1" s="1"/>
  <c r="AB344" i="1" s="1"/>
  <c r="AB343" i="1"/>
  <c r="AA343" i="1"/>
  <c r="Y343" i="1"/>
  <c r="E343" i="1"/>
  <c r="D343" i="1"/>
  <c r="F343" i="1" s="1"/>
  <c r="AA342" i="1"/>
  <c r="Y342" i="1"/>
  <c r="E342" i="1"/>
  <c r="F342" i="1" s="1"/>
  <c r="AB342" i="1" s="1"/>
  <c r="D342" i="1"/>
  <c r="AA341" i="1"/>
  <c r="Y341" i="1"/>
  <c r="E341" i="1"/>
  <c r="D341" i="1"/>
  <c r="F341" i="1" s="1"/>
  <c r="AB341" i="1" s="1"/>
  <c r="AA340" i="1"/>
  <c r="Y340" i="1"/>
  <c r="E340" i="1"/>
  <c r="F340" i="1" s="1"/>
  <c r="AB340" i="1" s="1"/>
  <c r="D340" i="1"/>
  <c r="AA339" i="1"/>
  <c r="Y339" i="1"/>
  <c r="E339" i="1"/>
  <c r="D339" i="1"/>
  <c r="F339" i="1" s="1"/>
  <c r="AB339" i="1" s="1"/>
  <c r="AA338" i="1"/>
  <c r="Y338" i="1"/>
  <c r="E338" i="1"/>
  <c r="F338" i="1" s="1"/>
  <c r="AB338" i="1" s="1"/>
  <c r="D338" i="1"/>
  <c r="AA337" i="1"/>
  <c r="Y337" i="1"/>
  <c r="F337" i="1"/>
  <c r="AB337" i="1" s="1"/>
  <c r="E337" i="1"/>
  <c r="D337" i="1"/>
  <c r="AA336" i="1"/>
  <c r="Y336" i="1"/>
  <c r="E336" i="1"/>
  <c r="D336" i="1"/>
  <c r="F336" i="1" s="1"/>
  <c r="AB336" i="1" s="1"/>
  <c r="AA335" i="1"/>
  <c r="Y335" i="1"/>
  <c r="E335" i="1"/>
  <c r="D335" i="1"/>
  <c r="AA334" i="1"/>
  <c r="Y334" i="1"/>
  <c r="E334" i="1"/>
  <c r="F334" i="1" s="1"/>
  <c r="AB334" i="1" s="1"/>
  <c r="D334" i="1"/>
  <c r="AA333" i="1"/>
  <c r="Y333" i="1"/>
  <c r="F333" i="1"/>
  <c r="AB333" i="1" s="1"/>
  <c r="E333" i="1"/>
  <c r="D333" i="1"/>
  <c r="AA332" i="1"/>
  <c r="Y332" i="1"/>
  <c r="E332" i="1"/>
  <c r="D332" i="1"/>
  <c r="F332" i="1" s="1"/>
  <c r="AB332" i="1" s="1"/>
  <c r="AA331" i="1"/>
  <c r="Y331" i="1"/>
  <c r="E331" i="1"/>
  <c r="D331" i="1"/>
  <c r="F331" i="1" s="1"/>
  <c r="AB331" i="1" s="1"/>
  <c r="AA330" i="1"/>
  <c r="Y330" i="1"/>
  <c r="F330" i="1"/>
  <c r="AB330" i="1" s="1"/>
  <c r="E330" i="1"/>
  <c r="D330" i="1"/>
  <c r="AA329" i="1"/>
  <c r="Y329" i="1"/>
  <c r="E329" i="1"/>
  <c r="D329" i="1"/>
  <c r="F329" i="1" s="1"/>
  <c r="AB329" i="1" s="1"/>
  <c r="AA328" i="1"/>
  <c r="Y328" i="1"/>
  <c r="E328" i="1"/>
  <c r="D328" i="1"/>
  <c r="F328" i="1" s="1"/>
  <c r="AB328" i="1" s="1"/>
  <c r="AA327" i="1"/>
  <c r="Y327" i="1"/>
  <c r="E327" i="1"/>
  <c r="D327" i="1"/>
  <c r="AB326" i="1"/>
  <c r="AA326" i="1"/>
  <c r="Y326" i="1"/>
  <c r="F326" i="1"/>
  <c r="E326" i="1"/>
  <c r="D326" i="1"/>
  <c r="AA325" i="1"/>
  <c r="Y325" i="1"/>
  <c r="E325" i="1"/>
  <c r="D325" i="1"/>
  <c r="F325" i="1" s="1"/>
  <c r="AB325" i="1" s="1"/>
  <c r="AA324" i="1"/>
  <c r="Y324" i="1"/>
  <c r="F324" i="1"/>
  <c r="AB324" i="1" s="1"/>
  <c r="E324" i="1"/>
  <c r="D324" i="1"/>
  <c r="AA323" i="1"/>
  <c r="Y323" i="1"/>
  <c r="E323" i="1"/>
  <c r="D323" i="1"/>
  <c r="F323" i="1" s="1"/>
  <c r="AB323" i="1" s="1"/>
  <c r="AA322" i="1"/>
  <c r="Y322" i="1"/>
  <c r="E322" i="1"/>
  <c r="F322" i="1" s="1"/>
  <c r="AB322" i="1" s="1"/>
  <c r="D322" i="1"/>
  <c r="AA321" i="1"/>
  <c r="Y321" i="1"/>
  <c r="E321" i="1"/>
  <c r="D321" i="1"/>
  <c r="F321" i="1" s="1"/>
  <c r="AB321" i="1" s="1"/>
  <c r="AA320" i="1"/>
  <c r="Y320" i="1"/>
  <c r="E320" i="1"/>
  <c r="F320" i="1" s="1"/>
  <c r="AB320" i="1" s="1"/>
  <c r="D320" i="1"/>
  <c r="AA319" i="1"/>
  <c r="Y319" i="1"/>
  <c r="E319" i="1"/>
  <c r="D319" i="1"/>
  <c r="AA318" i="1"/>
  <c r="Y318" i="1"/>
  <c r="E318" i="1"/>
  <c r="F318" i="1" s="1"/>
  <c r="AB318" i="1" s="1"/>
  <c r="D318" i="1"/>
  <c r="AA317" i="1"/>
  <c r="Y317" i="1"/>
  <c r="E317" i="1"/>
  <c r="D317" i="1"/>
  <c r="AA316" i="1"/>
  <c r="Y316" i="1"/>
  <c r="F316" i="1"/>
  <c r="AB316" i="1" s="1"/>
  <c r="E316" i="1"/>
  <c r="D316" i="1"/>
  <c r="AB315" i="1"/>
  <c r="AA315" i="1"/>
  <c r="Y315" i="1"/>
  <c r="E315" i="1"/>
  <c r="D315" i="1"/>
  <c r="F315" i="1" s="1"/>
  <c r="AB314" i="1"/>
  <c r="AA314" i="1"/>
  <c r="Y314" i="1"/>
  <c r="F314" i="1"/>
  <c r="E314" i="1"/>
  <c r="D314" i="1"/>
  <c r="AA313" i="1"/>
  <c r="Y313" i="1"/>
  <c r="E313" i="1"/>
  <c r="D313" i="1"/>
  <c r="AA312" i="1"/>
  <c r="Y312" i="1"/>
  <c r="E312" i="1"/>
  <c r="F312" i="1" s="1"/>
  <c r="AB312" i="1" s="1"/>
  <c r="D312" i="1"/>
  <c r="AA311" i="1"/>
  <c r="Y311" i="1"/>
  <c r="E311" i="1"/>
  <c r="D311" i="1"/>
  <c r="AB310" i="1"/>
  <c r="AA310" i="1"/>
  <c r="Y310" i="1"/>
  <c r="F310" i="1"/>
  <c r="E310" i="1"/>
  <c r="D310" i="1"/>
  <c r="AA309" i="1"/>
  <c r="Y309" i="1"/>
  <c r="E309" i="1"/>
  <c r="D309" i="1"/>
  <c r="F309" i="1" s="1"/>
  <c r="AB309" i="1" s="1"/>
  <c r="AA308" i="1"/>
  <c r="Y308" i="1"/>
  <c r="E308" i="1"/>
  <c r="F308" i="1" s="1"/>
  <c r="AB308" i="1" s="1"/>
  <c r="D308" i="1"/>
  <c r="AA307" i="1"/>
  <c r="Y307" i="1"/>
  <c r="E307" i="1"/>
  <c r="D307" i="1"/>
  <c r="F307" i="1" s="1"/>
  <c r="AB307" i="1" s="1"/>
  <c r="AA306" i="1"/>
  <c r="Y306" i="1"/>
  <c r="E306" i="1"/>
  <c r="F306" i="1" s="1"/>
  <c r="AB306" i="1" s="1"/>
  <c r="D306" i="1"/>
  <c r="AA305" i="1"/>
  <c r="Y305" i="1"/>
  <c r="E305" i="1"/>
  <c r="D305" i="1"/>
  <c r="F305" i="1" s="1"/>
  <c r="AB305" i="1" s="1"/>
  <c r="AA304" i="1"/>
  <c r="Y304" i="1"/>
  <c r="E304" i="1"/>
  <c r="F304" i="1" s="1"/>
  <c r="AB304" i="1" s="1"/>
  <c r="D304" i="1"/>
  <c r="AA303" i="1"/>
  <c r="Y303" i="1"/>
  <c r="E303" i="1"/>
  <c r="D303" i="1"/>
  <c r="AA302" i="1"/>
  <c r="Y302" i="1"/>
  <c r="E302" i="1"/>
  <c r="F302" i="1" s="1"/>
  <c r="AB302" i="1" s="1"/>
  <c r="D302" i="1"/>
  <c r="AA301" i="1"/>
  <c r="Y301" i="1"/>
  <c r="E301" i="1"/>
  <c r="D301" i="1"/>
  <c r="AA300" i="1"/>
  <c r="Y300" i="1"/>
  <c r="F300" i="1"/>
  <c r="AB300" i="1" s="1"/>
  <c r="E300" i="1"/>
  <c r="D300" i="1"/>
  <c r="AB299" i="1"/>
  <c r="AA299" i="1"/>
  <c r="Y299" i="1"/>
  <c r="E299" i="1"/>
  <c r="D299" i="1"/>
  <c r="F299" i="1" s="1"/>
  <c r="AB298" i="1"/>
  <c r="AA298" i="1"/>
  <c r="Y298" i="1"/>
  <c r="F298" i="1"/>
  <c r="E298" i="1"/>
  <c r="D298" i="1"/>
  <c r="AA297" i="1"/>
  <c r="Y297" i="1"/>
  <c r="E297" i="1"/>
  <c r="D297" i="1"/>
  <c r="AA296" i="1"/>
  <c r="Y296" i="1"/>
  <c r="E296" i="1"/>
  <c r="F296" i="1" s="1"/>
  <c r="AB296" i="1" s="1"/>
  <c r="D296" i="1"/>
  <c r="AA295" i="1"/>
  <c r="Y295" i="1"/>
  <c r="E295" i="1"/>
  <c r="D295" i="1"/>
  <c r="F295" i="1" s="1"/>
  <c r="AB295" i="1" s="1"/>
  <c r="AB294" i="1"/>
  <c r="AA294" i="1"/>
  <c r="Y294" i="1"/>
  <c r="F294" i="1"/>
  <c r="E294" i="1"/>
  <c r="D294" i="1"/>
  <c r="AA293" i="1"/>
  <c r="Y293" i="1"/>
  <c r="E293" i="1"/>
  <c r="D293" i="1"/>
  <c r="F293" i="1" s="1"/>
  <c r="AB293" i="1" s="1"/>
  <c r="AA292" i="1"/>
  <c r="Y292" i="1"/>
  <c r="E292" i="1"/>
  <c r="F292" i="1" s="1"/>
  <c r="AB292" i="1" s="1"/>
  <c r="D292" i="1"/>
  <c r="AA291" i="1"/>
  <c r="Y291" i="1"/>
  <c r="E291" i="1"/>
  <c r="D291" i="1"/>
  <c r="F291" i="1" s="1"/>
  <c r="AB291" i="1" s="1"/>
  <c r="AA290" i="1"/>
  <c r="Y290" i="1"/>
  <c r="E290" i="1"/>
  <c r="F290" i="1" s="1"/>
  <c r="AB290" i="1" s="1"/>
  <c r="D290" i="1"/>
  <c r="AA289" i="1"/>
  <c r="Y289" i="1"/>
  <c r="E289" i="1"/>
  <c r="D289" i="1"/>
  <c r="F289" i="1" s="1"/>
  <c r="AB289" i="1" s="1"/>
  <c r="AA288" i="1"/>
  <c r="Y288" i="1"/>
  <c r="E288" i="1"/>
  <c r="F288" i="1" s="1"/>
  <c r="AB288" i="1" s="1"/>
  <c r="D288" i="1"/>
  <c r="AA287" i="1"/>
  <c r="Y287" i="1"/>
  <c r="E287" i="1"/>
  <c r="D287" i="1"/>
  <c r="AA286" i="1"/>
  <c r="Y286" i="1"/>
  <c r="E286" i="1"/>
  <c r="F286" i="1" s="1"/>
  <c r="AB286" i="1" s="1"/>
  <c r="D286" i="1"/>
  <c r="AA285" i="1"/>
  <c r="Y285" i="1"/>
  <c r="E285" i="1"/>
  <c r="D285" i="1"/>
  <c r="AA284" i="1"/>
  <c r="Y284" i="1"/>
  <c r="F284" i="1"/>
  <c r="AB284" i="1" s="1"/>
  <c r="E284" i="1"/>
  <c r="D284" i="1"/>
  <c r="AB283" i="1"/>
  <c r="AA283" i="1"/>
  <c r="Y283" i="1"/>
  <c r="E283" i="1"/>
  <c r="D283" i="1"/>
  <c r="F283" i="1" s="1"/>
  <c r="AB282" i="1"/>
  <c r="AA282" i="1"/>
  <c r="Y282" i="1"/>
  <c r="F282" i="1"/>
  <c r="E282" i="1"/>
  <c r="D282" i="1"/>
  <c r="AA281" i="1"/>
  <c r="Y281" i="1"/>
  <c r="E281" i="1"/>
  <c r="D281" i="1"/>
  <c r="AA280" i="1"/>
  <c r="Y280" i="1"/>
  <c r="E280" i="1"/>
  <c r="F280" i="1" s="1"/>
  <c r="AB280" i="1" s="1"/>
  <c r="D280" i="1"/>
  <c r="AA279" i="1"/>
  <c r="Y279" i="1"/>
  <c r="E279" i="1"/>
  <c r="D279" i="1"/>
  <c r="F279" i="1" s="1"/>
  <c r="AB279" i="1" s="1"/>
  <c r="AB278" i="1"/>
  <c r="AA278" i="1"/>
  <c r="Y278" i="1"/>
  <c r="F278" i="1"/>
  <c r="E278" i="1"/>
  <c r="D278" i="1"/>
  <c r="AA277" i="1"/>
  <c r="Y277" i="1"/>
  <c r="E277" i="1"/>
  <c r="D277" i="1"/>
  <c r="F277" i="1" s="1"/>
  <c r="AB277" i="1" s="1"/>
  <c r="AA276" i="1"/>
  <c r="Y276" i="1"/>
  <c r="E276" i="1"/>
  <c r="F276" i="1" s="1"/>
  <c r="AB276" i="1" s="1"/>
  <c r="D276" i="1"/>
  <c r="AA275" i="1"/>
  <c r="Y275" i="1"/>
  <c r="E275" i="1"/>
  <c r="D275" i="1"/>
  <c r="F275" i="1" s="1"/>
  <c r="AB275" i="1" s="1"/>
  <c r="AA274" i="1"/>
  <c r="Y274" i="1"/>
  <c r="E274" i="1"/>
  <c r="F274" i="1" s="1"/>
  <c r="AB274" i="1" s="1"/>
  <c r="D274" i="1"/>
  <c r="AA273" i="1"/>
  <c r="Y273" i="1"/>
  <c r="E273" i="1"/>
  <c r="D273" i="1"/>
  <c r="F273" i="1" s="1"/>
  <c r="AB273" i="1" s="1"/>
  <c r="AA272" i="1"/>
  <c r="Y272" i="1"/>
  <c r="E272" i="1"/>
  <c r="F272" i="1" s="1"/>
  <c r="AB272" i="1" s="1"/>
  <c r="D272" i="1"/>
  <c r="AA271" i="1"/>
  <c r="Y271" i="1"/>
  <c r="E271" i="1"/>
  <c r="D271" i="1"/>
  <c r="AA270" i="1"/>
  <c r="Y270" i="1"/>
  <c r="E270" i="1"/>
  <c r="F270" i="1" s="1"/>
  <c r="AB270" i="1" s="1"/>
  <c r="D270" i="1"/>
  <c r="AA269" i="1"/>
  <c r="Y269" i="1"/>
  <c r="E269" i="1"/>
  <c r="D269" i="1"/>
  <c r="AA268" i="1"/>
  <c r="Y268" i="1"/>
  <c r="F268" i="1"/>
  <c r="AB268" i="1" s="1"/>
  <c r="E268" i="1"/>
  <c r="D268" i="1"/>
  <c r="AB267" i="1"/>
  <c r="AA267" i="1"/>
  <c r="Y267" i="1"/>
  <c r="E267" i="1"/>
  <c r="D267" i="1"/>
  <c r="F267" i="1" s="1"/>
  <c r="AB266" i="1"/>
  <c r="AA266" i="1"/>
  <c r="Y266" i="1"/>
  <c r="F266" i="1"/>
  <c r="E266" i="1"/>
  <c r="D266" i="1"/>
  <c r="AA265" i="1"/>
  <c r="Y265" i="1"/>
  <c r="E265" i="1"/>
  <c r="D265" i="1"/>
  <c r="AA264" i="1"/>
  <c r="Y264" i="1"/>
  <c r="E264" i="1"/>
  <c r="F264" i="1" s="1"/>
  <c r="AB264" i="1" s="1"/>
  <c r="D264" i="1"/>
  <c r="AA263" i="1"/>
  <c r="Y263" i="1"/>
  <c r="E263" i="1"/>
  <c r="D263" i="1"/>
  <c r="F263" i="1" s="1"/>
  <c r="AB263" i="1" s="1"/>
  <c r="AB262" i="1"/>
  <c r="AA262" i="1"/>
  <c r="Y262" i="1"/>
  <c r="F262" i="1"/>
  <c r="E262" i="1"/>
  <c r="D262" i="1"/>
  <c r="AA261" i="1"/>
  <c r="Y261" i="1"/>
  <c r="E261" i="1"/>
  <c r="D261" i="1"/>
  <c r="F261" i="1" s="1"/>
  <c r="AB261" i="1" s="1"/>
  <c r="AA260" i="1"/>
  <c r="Y260" i="1"/>
  <c r="E260" i="1"/>
  <c r="F260" i="1" s="1"/>
  <c r="AB260" i="1" s="1"/>
  <c r="D260" i="1"/>
  <c r="AA259" i="1"/>
  <c r="Y259" i="1"/>
  <c r="E259" i="1"/>
  <c r="D259" i="1"/>
  <c r="F259" i="1" s="1"/>
  <c r="AB259" i="1" s="1"/>
  <c r="AA258" i="1"/>
  <c r="Y258" i="1"/>
  <c r="E258" i="1"/>
  <c r="F258" i="1" s="1"/>
  <c r="AB258" i="1" s="1"/>
  <c r="D258" i="1"/>
  <c r="AA257" i="1"/>
  <c r="Y257" i="1"/>
  <c r="E257" i="1"/>
  <c r="D257" i="1"/>
  <c r="F257" i="1" s="1"/>
  <c r="AB257" i="1" s="1"/>
  <c r="AA256" i="1"/>
  <c r="Y256" i="1"/>
  <c r="E256" i="1"/>
  <c r="F256" i="1" s="1"/>
  <c r="AB256" i="1" s="1"/>
  <c r="D256" i="1"/>
  <c r="AA255" i="1"/>
  <c r="Y255" i="1"/>
  <c r="E255" i="1"/>
  <c r="D255" i="1"/>
  <c r="AA254" i="1"/>
  <c r="Y254" i="1"/>
  <c r="E254" i="1"/>
  <c r="F254" i="1" s="1"/>
  <c r="AB254" i="1" s="1"/>
  <c r="D254" i="1"/>
  <c r="AA253" i="1"/>
  <c r="Y253" i="1"/>
  <c r="E253" i="1"/>
  <c r="D253" i="1"/>
  <c r="AA252" i="1"/>
  <c r="Y252" i="1"/>
  <c r="F252" i="1"/>
  <c r="AB252" i="1" s="1"/>
  <c r="E252" i="1"/>
  <c r="D252" i="1"/>
  <c r="AB251" i="1"/>
  <c r="AA251" i="1"/>
  <c r="Y251" i="1"/>
  <c r="E251" i="1"/>
  <c r="D251" i="1"/>
  <c r="F251" i="1" s="1"/>
  <c r="AB250" i="1"/>
  <c r="AA250" i="1"/>
  <c r="Y250" i="1"/>
  <c r="F250" i="1"/>
  <c r="E250" i="1"/>
  <c r="D250" i="1"/>
  <c r="AA249" i="1"/>
  <c r="Y249" i="1"/>
  <c r="E249" i="1"/>
  <c r="D249" i="1"/>
  <c r="AA248" i="1"/>
  <c r="Y248" i="1"/>
  <c r="E248" i="1"/>
  <c r="F248" i="1" s="1"/>
  <c r="AB248" i="1" s="1"/>
  <c r="D248" i="1"/>
  <c r="AA247" i="1"/>
  <c r="Y247" i="1"/>
  <c r="E247" i="1"/>
  <c r="D247" i="1"/>
  <c r="F247" i="1" s="1"/>
  <c r="AB247" i="1" s="1"/>
  <c r="AB246" i="1"/>
  <c r="AA246" i="1"/>
  <c r="Y246" i="1"/>
  <c r="F246" i="1"/>
  <c r="E246" i="1"/>
  <c r="D246" i="1"/>
  <c r="AA245" i="1"/>
  <c r="Y245" i="1"/>
  <c r="E245" i="1"/>
  <c r="D245" i="1"/>
  <c r="F245" i="1" s="1"/>
  <c r="AB245" i="1" s="1"/>
  <c r="AA244" i="1"/>
  <c r="Y244" i="1"/>
  <c r="E244" i="1"/>
  <c r="F244" i="1" s="1"/>
  <c r="AB244" i="1" s="1"/>
  <c r="D244" i="1"/>
  <c r="AA243" i="1"/>
  <c r="Y243" i="1"/>
  <c r="E243" i="1"/>
  <c r="D243" i="1"/>
  <c r="F243" i="1" s="1"/>
  <c r="AB243" i="1" s="1"/>
  <c r="AA242" i="1"/>
  <c r="Y242" i="1"/>
  <c r="E242" i="1"/>
  <c r="F242" i="1" s="1"/>
  <c r="AB242" i="1" s="1"/>
  <c r="D242" i="1"/>
  <c r="AA241" i="1"/>
  <c r="Y241" i="1"/>
  <c r="E241" i="1"/>
  <c r="D241" i="1"/>
  <c r="F241" i="1" s="1"/>
  <c r="AB241" i="1" s="1"/>
  <c r="AA240" i="1"/>
  <c r="Y240" i="1"/>
  <c r="E240" i="1"/>
  <c r="F240" i="1" s="1"/>
  <c r="AB240" i="1" s="1"/>
  <c r="D240" i="1"/>
  <c r="AA239" i="1"/>
  <c r="Y239" i="1"/>
  <c r="E239" i="1"/>
  <c r="D239" i="1"/>
  <c r="AA238" i="1"/>
  <c r="Y238" i="1"/>
  <c r="E238" i="1"/>
  <c r="F238" i="1" s="1"/>
  <c r="AB238" i="1" s="1"/>
  <c r="D238" i="1"/>
  <c r="AA237" i="1"/>
  <c r="Y237" i="1"/>
  <c r="E237" i="1"/>
  <c r="D237" i="1"/>
  <c r="AA236" i="1"/>
  <c r="Y236" i="1"/>
  <c r="F236" i="1"/>
  <c r="AB236" i="1" s="1"/>
  <c r="E236" i="1"/>
  <c r="D236" i="1"/>
  <c r="AB235" i="1"/>
  <c r="AA235" i="1"/>
  <c r="Y235" i="1"/>
  <c r="E235" i="1"/>
  <c r="D235" i="1"/>
  <c r="F235" i="1" s="1"/>
  <c r="AB234" i="1"/>
  <c r="AA234" i="1"/>
  <c r="Y234" i="1"/>
  <c r="F234" i="1"/>
  <c r="E234" i="1"/>
  <c r="D234" i="1"/>
  <c r="AA233" i="1"/>
  <c r="Y233" i="1"/>
  <c r="E233" i="1"/>
  <c r="D233" i="1"/>
  <c r="AA232" i="1"/>
  <c r="Y232" i="1"/>
  <c r="E232" i="1"/>
  <c r="F232" i="1" s="1"/>
  <c r="AB232" i="1" s="1"/>
  <c r="D232" i="1"/>
  <c r="AA231" i="1"/>
  <c r="Y231" i="1"/>
  <c r="E231" i="1"/>
  <c r="D231" i="1"/>
  <c r="F231" i="1" s="1"/>
  <c r="AB231" i="1" s="1"/>
  <c r="AB230" i="1"/>
  <c r="AA230" i="1"/>
  <c r="Y230" i="1"/>
  <c r="F230" i="1"/>
  <c r="E230" i="1"/>
  <c r="D230" i="1"/>
  <c r="AA229" i="1"/>
  <c r="Y229" i="1"/>
  <c r="E229" i="1"/>
  <c r="D229" i="1"/>
  <c r="F229" i="1" s="1"/>
  <c r="AB229" i="1" s="1"/>
  <c r="AA228" i="1"/>
  <c r="Y228" i="1"/>
  <c r="E228" i="1"/>
  <c r="F228" i="1" s="1"/>
  <c r="AB228" i="1" s="1"/>
  <c r="D228" i="1"/>
  <c r="AA227" i="1"/>
  <c r="Y227" i="1"/>
  <c r="E227" i="1"/>
  <c r="D227" i="1"/>
  <c r="F227" i="1" s="1"/>
  <c r="AB227" i="1" s="1"/>
  <c r="AA226" i="1"/>
  <c r="Y226" i="1"/>
  <c r="E226" i="1"/>
  <c r="F226" i="1" s="1"/>
  <c r="AB226" i="1" s="1"/>
  <c r="D226" i="1"/>
  <c r="AA225" i="1"/>
  <c r="Y225" i="1"/>
  <c r="E225" i="1"/>
  <c r="D225" i="1"/>
  <c r="F225" i="1" s="1"/>
  <c r="AB225" i="1" s="1"/>
  <c r="AA224" i="1"/>
  <c r="Y224" i="1"/>
  <c r="E224" i="1"/>
  <c r="F224" i="1" s="1"/>
  <c r="AB224" i="1" s="1"/>
  <c r="D224" i="1"/>
  <c r="AA223" i="1"/>
  <c r="Y223" i="1"/>
  <c r="E223" i="1"/>
  <c r="D223" i="1"/>
  <c r="AA222" i="1"/>
  <c r="Y222" i="1"/>
  <c r="E222" i="1"/>
  <c r="D222" i="1"/>
  <c r="F222" i="1" s="1"/>
  <c r="AB222" i="1" s="1"/>
  <c r="AA221" i="1"/>
  <c r="Y221" i="1"/>
  <c r="E221" i="1"/>
  <c r="D221" i="1"/>
  <c r="AA220" i="1"/>
  <c r="Y220" i="1"/>
  <c r="F220" i="1"/>
  <c r="AB220" i="1" s="1"/>
  <c r="E220" i="1"/>
  <c r="D220" i="1"/>
  <c r="AA219" i="1"/>
  <c r="Y219" i="1"/>
  <c r="E219" i="1"/>
  <c r="D219" i="1"/>
  <c r="F219" i="1" s="1"/>
  <c r="AB219" i="1" s="1"/>
  <c r="AA218" i="1"/>
  <c r="Y218" i="1"/>
  <c r="E218" i="1"/>
  <c r="D218" i="1"/>
  <c r="F218" i="1" s="1"/>
  <c r="AB218" i="1" s="1"/>
  <c r="AA217" i="1"/>
  <c r="Y217" i="1"/>
  <c r="E217" i="1"/>
  <c r="D217" i="1"/>
  <c r="F217" i="1" s="1"/>
  <c r="AB217" i="1" s="1"/>
  <c r="AA216" i="1"/>
  <c r="Y216" i="1"/>
  <c r="E216" i="1"/>
  <c r="F216" i="1" s="1"/>
  <c r="AB216" i="1" s="1"/>
  <c r="D216" i="1"/>
  <c r="AA215" i="1"/>
  <c r="Y215" i="1"/>
  <c r="E215" i="1"/>
  <c r="D215" i="1"/>
  <c r="F215" i="1" s="1"/>
  <c r="AB215" i="1" s="1"/>
  <c r="AA214" i="1"/>
  <c r="Y214" i="1"/>
  <c r="F214" i="1"/>
  <c r="AB214" i="1" s="1"/>
  <c r="E214" i="1"/>
  <c r="D214" i="1"/>
  <c r="AA213" i="1"/>
  <c r="Y213" i="1"/>
  <c r="E213" i="1"/>
  <c r="D213" i="1"/>
  <c r="AA212" i="1"/>
  <c r="Y212" i="1"/>
  <c r="E212" i="1"/>
  <c r="F212" i="1" s="1"/>
  <c r="AB212" i="1" s="1"/>
  <c r="D212" i="1"/>
  <c r="AA211" i="1"/>
  <c r="Y211" i="1"/>
  <c r="E211" i="1"/>
  <c r="D211" i="1"/>
  <c r="F211" i="1" s="1"/>
  <c r="AB211" i="1" s="1"/>
  <c r="AA210" i="1"/>
  <c r="Y210" i="1"/>
  <c r="E210" i="1"/>
  <c r="D210" i="1"/>
  <c r="AA209" i="1"/>
  <c r="Y209" i="1"/>
  <c r="E209" i="1"/>
  <c r="D209" i="1"/>
  <c r="AA208" i="1"/>
  <c r="Y208" i="1"/>
  <c r="E208" i="1"/>
  <c r="F208" i="1" s="1"/>
  <c r="AB208" i="1" s="1"/>
  <c r="D208" i="1"/>
  <c r="AA207" i="1"/>
  <c r="Y207" i="1"/>
  <c r="F207" i="1"/>
  <c r="AB207" i="1" s="1"/>
  <c r="E207" i="1"/>
  <c r="D207" i="1"/>
  <c r="AA206" i="1"/>
  <c r="Y206" i="1"/>
  <c r="E206" i="1"/>
  <c r="D206" i="1"/>
  <c r="F206" i="1" s="1"/>
  <c r="AB206" i="1" s="1"/>
  <c r="AA205" i="1"/>
  <c r="Y205" i="1"/>
  <c r="E205" i="1"/>
  <c r="D205" i="1"/>
  <c r="F205" i="1" s="1"/>
  <c r="AB205" i="1" s="1"/>
  <c r="AA204" i="1"/>
  <c r="Y204" i="1"/>
  <c r="E204" i="1"/>
  <c r="F204" i="1" s="1"/>
  <c r="AB204" i="1" s="1"/>
  <c r="D204" i="1"/>
  <c r="AA203" i="1"/>
  <c r="Y203" i="1"/>
  <c r="E203" i="1"/>
  <c r="D203" i="1"/>
  <c r="AA202" i="1"/>
  <c r="Y202" i="1"/>
  <c r="F202" i="1"/>
  <c r="AB202" i="1" s="1"/>
  <c r="E202" i="1"/>
  <c r="D202" i="1"/>
  <c r="AB201" i="1"/>
  <c r="AA201" i="1"/>
  <c r="Y201" i="1"/>
  <c r="E201" i="1"/>
  <c r="D201" i="1"/>
  <c r="F201" i="1" s="1"/>
  <c r="AA200" i="1"/>
  <c r="Y200" i="1"/>
  <c r="F200" i="1"/>
  <c r="AB200" i="1" s="1"/>
  <c r="E200" i="1"/>
  <c r="D200" i="1"/>
  <c r="AA199" i="1"/>
  <c r="Y199" i="1"/>
  <c r="E199" i="1"/>
  <c r="D199" i="1"/>
  <c r="F199" i="1" s="1"/>
  <c r="AB199" i="1" s="1"/>
  <c r="AA198" i="1"/>
  <c r="Y198" i="1"/>
  <c r="F198" i="1"/>
  <c r="AB198" i="1" s="1"/>
  <c r="E198" i="1"/>
  <c r="D198" i="1"/>
  <c r="AA197" i="1"/>
  <c r="Y197" i="1"/>
  <c r="E197" i="1"/>
  <c r="D197" i="1"/>
  <c r="F197" i="1" s="1"/>
  <c r="AB197" i="1" s="1"/>
  <c r="AA196" i="1"/>
  <c r="Y196" i="1"/>
  <c r="E196" i="1"/>
  <c r="F196" i="1" s="1"/>
  <c r="AB196" i="1" s="1"/>
  <c r="D196" i="1"/>
  <c r="AA195" i="1"/>
  <c r="Y195" i="1"/>
  <c r="F195" i="1"/>
  <c r="AB195" i="1" s="1"/>
  <c r="E195" i="1"/>
  <c r="D195" i="1"/>
  <c r="AB194" i="1"/>
  <c r="AA194" i="1"/>
  <c r="Y194" i="1"/>
  <c r="E194" i="1"/>
  <c r="D194" i="1"/>
  <c r="F194" i="1" s="1"/>
  <c r="AA193" i="1"/>
  <c r="Y193" i="1"/>
  <c r="E193" i="1"/>
  <c r="D193" i="1"/>
  <c r="F193" i="1" s="1"/>
  <c r="AB193" i="1" s="1"/>
  <c r="AB192" i="1"/>
  <c r="AA192" i="1"/>
  <c r="Y192" i="1"/>
  <c r="F192" i="1"/>
  <c r="E192" i="1"/>
  <c r="D192" i="1"/>
  <c r="AA191" i="1"/>
  <c r="Y191" i="1"/>
  <c r="F191" i="1"/>
  <c r="AB191" i="1" s="1"/>
  <c r="E191" i="1"/>
  <c r="D191" i="1"/>
  <c r="AA190" i="1"/>
  <c r="Y190" i="1"/>
  <c r="E190" i="1"/>
  <c r="D190" i="1"/>
  <c r="F190" i="1" s="1"/>
  <c r="AB190" i="1" s="1"/>
  <c r="AA189" i="1"/>
  <c r="Y189" i="1"/>
  <c r="E189" i="1"/>
  <c r="D189" i="1"/>
  <c r="AA188" i="1"/>
  <c r="Y188" i="1"/>
  <c r="F188" i="1"/>
  <c r="AB188" i="1" s="1"/>
  <c r="E188" i="1"/>
  <c r="D188" i="1"/>
  <c r="AA187" i="1"/>
  <c r="Y187" i="1"/>
  <c r="E187" i="1"/>
  <c r="D187" i="1"/>
  <c r="AA186" i="1"/>
  <c r="Y186" i="1"/>
  <c r="E186" i="1"/>
  <c r="D186" i="1"/>
  <c r="F186" i="1" s="1"/>
  <c r="AB186" i="1" s="1"/>
  <c r="AA185" i="1"/>
  <c r="Y185" i="1"/>
  <c r="E185" i="1"/>
  <c r="D185" i="1"/>
  <c r="F185" i="1" s="1"/>
  <c r="AB185" i="1" s="1"/>
  <c r="AA184" i="1"/>
  <c r="Y184" i="1"/>
  <c r="F184" i="1"/>
  <c r="AB184" i="1" s="1"/>
  <c r="E184" i="1"/>
  <c r="D184" i="1"/>
  <c r="AA183" i="1"/>
  <c r="Y183" i="1"/>
  <c r="E183" i="1"/>
  <c r="D183" i="1"/>
  <c r="F183" i="1" s="1"/>
  <c r="AB183" i="1" s="1"/>
  <c r="AA182" i="1"/>
  <c r="Y182" i="1"/>
  <c r="F182" i="1"/>
  <c r="AB182" i="1" s="1"/>
  <c r="E182" i="1"/>
  <c r="D182" i="1"/>
  <c r="AA181" i="1"/>
  <c r="Y181" i="1"/>
  <c r="E181" i="1"/>
  <c r="D181" i="1"/>
  <c r="F181" i="1" s="1"/>
  <c r="AB181" i="1" s="1"/>
  <c r="AA180" i="1"/>
  <c r="Y180" i="1"/>
  <c r="F180" i="1"/>
  <c r="AB180" i="1" s="1"/>
  <c r="E180" i="1"/>
  <c r="D180" i="1"/>
  <c r="AA179" i="1"/>
  <c r="Y179" i="1"/>
  <c r="E179" i="1"/>
  <c r="D179" i="1"/>
  <c r="F179" i="1" s="1"/>
  <c r="AB179" i="1" s="1"/>
  <c r="AA178" i="1"/>
  <c r="Y178" i="1"/>
  <c r="F178" i="1"/>
  <c r="AB178" i="1" s="1"/>
  <c r="E178" i="1"/>
  <c r="D178" i="1"/>
  <c r="AA177" i="1"/>
  <c r="Y177" i="1"/>
  <c r="E177" i="1"/>
  <c r="D177" i="1"/>
  <c r="F177" i="1" s="1"/>
  <c r="AB177" i="1" s="1"/>
  <c r="AA176" i="1"/>
  <c r="Y176" i="1"/>
  <c r="F176" i="1"/>
  <c r="AB176" i="1" s="1"/>
  <c r="E176" i="1"/>
  <c r="D176" i="1"/>
  <c r="AA175" i="1"/>
  <c r="Y175" i="1"/>
  <c r="E175" i="1"/>
  <c r="D175" i="1"/>
  <c r="F175" i="1" s="1"/>
  <c r="AB175" i="1" s="1"/>
  <c r="AB174" i="1"/>
  <c r="AA174" i="1"/>
  <c r="Y174" i="1"/>
  <c r="F174" i="1"/>
  <c r="E174" i="1"/>
  <c r="D174" i="1"/>
  <c r="AA173" i="1"/>
  <c r="Y173" i="1"/>
  <c r="E173" i="1"/>
  <c r="D173" i="1"/>
  <c r="F173" i="1" s="1"/>
  <c r="AB173" i="1" s="1"/>
  <c r="AA172" i="1"/>
  <c r="Y172" i="1"/>
  <c r="E172" i="1"/>
  <c r="F172" i="1" s="1"/>
  <c r="AB172" i="1" s="1"/>
  <c r="D172" i="1"/>
  <c r="AA171" i="1"/>
  <c r="Y171" i="1"/>
  <c r="E171" i="1"/>
  <c r="D171" i="1"/>
  <c r="AA170" i="1"/>
  <c r="Y170" i="1"/>
  <c r="F170" i="1"/>
  <c r="AB170" i="1" s="1"/>
  <c r="E170" i="1"/>
  <c r="D170" i="1"/>
  <c r="AB169" i="1"/>
  <c r="AA169" i="1"/>
  <c r="Y169" i="1"/>
  <c r="E169" i="1"/>
  <c r="D169" i="1"/>
  <c r="F169" i="1" s="1"/>
  <c r="AA168" i="1"/>
  <c r="Y168" i="1"/>
  <c r="F168" i="1"/>
  <c r="AB168" i="1" s="1"/>
  <c r="E168" i="1"/>
  <c r="D168" i="1"/>
  <c r="AA167" i="1"/>
  <c r="Y167" i="1"/>
  <c r="E167" i="1"/>
  <c r="D167" i="1"/>
  <c r="F167" i="1" s="1"/>
  <c r="AB167" i="1" s="1"/>
  <c r="AB166" i="1"/>
  <c r="AA166" i="1"/>
  <c r="Y166" i="1"/>
  <c r="F166" i="1"/>
  <c r="E166" i="1"/>
  <c r="D166" i="1"/>
  <c r="AA165" i="1"/>
  <c r="Y165" i="1"/>
  <c r="E165" i="1"/>
  <c r="D165" i="1"/>
  <c r="F165" i="1" s="1"/>
  <c r="AB165" i="1" s="1"/>
  <c r="AA164" i="1"/>
  <c r="Y164" i="1"/>
  <c r="E164" i="1"/>
  <c r="F164" i="1" s="1"/>
  <c r="AB164" i="1" s="1"/>
  <c r="D164" i="1"/>
  <c r="AA163" i="1"/>
  <c r="Y163" i="1"/>
  <c r="E163" i="1"/>
  <c r="D163" i="1"/>
  <c r="AA162" i="1"/>
  <c r="Y162" i="1"/>
  <c r="F162" i="1"/>
  <c r="AB162" i="1" s="1"/>
  <c r="E162" i="1"/>
  <c r="D162" i="1"/>
  <c r="AB161" i="1"/>
  <c r="AA161" i="1"/>
  <c r="Y161" i="1"/>
  <c r="E161" i="1"/>
  <c r="D161" i="1"/>
  <c r="F161" i="1" s="1"/>
  <c r="AA160" i="1"/>
  <c r="Y160" i="1"/>
  <c r="F160" i="1"/>
  <c r="AB160" i="1" s="1"/>
  <c r="E160" i="1"/>
  <c r="D160" i="1"/>
  <c r="AA159" i="1"/>
  <c r="Y159" i="1"/>
  <c r="E159" i="1"/>
  <c r="D159" i="1"/>
  <c r="F159" i="1" s="1"/>
  <c r="AB159" i="1" s="1"/>
  <c r="AB158" i="1"/>
  <c r="AA158" i="1"/>
  <c r="Y158" i="1"/>
  <c r="F158" i="1"/>
  <c r="E158" i="1"/>
  <c r="D158" i="1"/>
  <c r="AA157" i="1"/>
  <c r="Y157" i="1"/>
  <c r="E157" i="1"/>
  <c r="D157" i="1"/>
  <c r="F157" i="1" s="1"/>
  <c r="AB157" i="1" s="1"/>
  <c r="AA156" i="1"/>
  <c r="Y156" i="1"/>
  <c r="E156" i="1"/>
  <c r="F156" i="1" s="1"/>
  <c r="AB156" i="1" s="1"/>
  <c r="D156" i="1"/>
  <c r="AA155" i="1"/>
  <c r="Y155" i="1"/>
  <c r="E155" i="1"/>
  <c r="D155" i="1"/>
  <c r="AA154" i="1"/>
  <c r="Y154" i="1"/>
  <c r="F154" i="1"/>
  <c r="AB154" i="1" s="1"/>
  <c r="E154" i="1"/>
  <c r="D154" i="1"/>
  <c r="AB153" i="1"/>
  <c r="AA153" i="1"/>
  <c r="Y153" i="1"/>
  <c r="E153" i="1"/>
  <c r="D153" i="1"/>
  <c r="F153" i="1" s="1"/>
  <c r="AA152" i="1"/>
  <c r="Y152" i="1"/>
  <c r="F152" i="1"/>
  <c r="AB152" i="1" s="1"/>
  <c r="E152" i="1"/>
  <c r="D152" i="1"/>
  <c r="AA151" i="1"/>
  <c r="Y151" i="1"/>
  <c r="E151" i="1"/>
  <c r="D151" i="1"/>
  <c r="F151" i="1" s="1"/>
  <c r="AB151" i="1" s="1"/>
  <c r="AA150" i="1"/>
  <c r="Y150" i="1"/>
  <c r="E150" i="1"/>
  <c r="F150" i="1" s="1"/>
  <c r="AB150" i="1" s="1"/>
  <c r="D150" i="1"/>
  <c r="AA149" i="1"/>
  <c r="Y149" i="1"/>
  <c r="E149" i="1"/>
  <c r="D149" i="1"/>
  <c r="F149" i="1" s="1"/>
  <c r="AB149" i="1" s="1"/>
  <c r="AA148" i="1"/>
  <c r="Y148" i="1"/>
  <c r="E148" i="1"/>
  <c r="F148" i="1" s="1"/>
  <c r="AB148" i="1" s="1"/>
  <c r="D148" i="1"/>
  <c r="AA147" i="1"/>
  <c r="Y147" i="1"/>
  <c r="E147" i="1"/>
  <c r="D147" i="1"/>
  <c r="F147" i="1" s="1"/>
  <c r="AB147" i="1" s="1"/>
  <c r="AA146" i="1"/>
  <c r="Y146" i="1"/>
  <c r="F146" i="1"/>
  <c r="AB146" i="1" s="1"/>
  <c r="E146" i="1"/>
  <c r="D146" i="1"/>
  <c r="AA145" i="1"/>
  <c r="Y145" i="1"/>
  <c r="E145" i="1"/>
  <c r="D145" i="1"/>
  <c r="F145" i="1" s="1"/>
  <c r="AB145" i="1" s="1"/>
  <c r="AA144" i="1"/>
  <c r="Y144" i="1"/>
  <c r="E144" i="1"/>
  <c r="F144" i="1" s="1"/>
  <c r="AB144" i="1" s="1"/>
  <c r="D144" i="1"/>
  <c r="AA143" i="1"/>
  <c r="Y143" i="1"/>
  <c r="E143" i="1"/>
  <c r="D143" i="1"/>
  <c r="AA142" i="1"/>
  <c r="Y142" i="1"/>
  <c r="E142" i="1"/>
  <c r="F142" i="1" s="1"/>
  <c r="AB142" i="1" s="1"/>
  <c r="D142" i="1"/>
  <c r="AB141" i="1"/>
  <c r="AA141" i="1"/>
  <c r="Y141" i="1"/>
  <c r="E141" i="1"/>
  <c r="D141" i="1"/>
  <c r="F141" i="1" s="1"/>
  <c r="AA140" i="1"/>
  <c r="Y140" i="1"/>
  <c r="F140" i="1"/>
  <c r="AB140" i="1" s="1"/>
  <c r="E140" i="1"/>
  <c r="D140" i="1"/>
  <c r="AA139" i="1"/>
  <c r="Y139" i="1"/>
  <c r="E139" i="1"/>
  <c r="D139" i="1"/>
  <c r="F139" i="1" s="1"/>
  <c r="AB139" i="1" s="1"/>
  <c r="AA138" i="1"/>
  <c r="Y138" i="1"/>
  <c r="F138" i="1"/>
  <c r="AB138" i="1" s="1"/>
  <c r="E138" i="1"/>
  <c r="D138" i="1"/>
  <c r="AA137" i="1"/>
  <c r="Y137" i="1"/>
  <c r="E137" i="1"/>
  <c r="D137" i="1"/>
  <c r="F137" i="1" s="1"/>
  <c r="AB137" i="1" s="1"/>
  <c r="AA136" i="1"/>
  <c r="Y136" i="1"/>
  <c r="E136" i="1"/>
  <c r="F136" i="1" s="1"/>
  <c r="AB136" i="1" s="1"/>
  <c r="D136" i="1"/>
  <c r="AA135" i="1"/>
  <c r="Y135" i="1"/>
  <c r="E135" i="1"/>
  <c r="D135" i="1"/>
  <c r="AA134" i="1"/>
  <c r="Y134" i="1"/>
  <c r="E134" i="1"/>
  <c r="F134" i="1" s="1"/>
  <c r="AB134" i="1" s="1"/>
  <c r="D134" i="1"/>
  <c r="AB133" i="1"/>
  <c r="AA133" i="1"/>
  <c r="Y133" i="1"/>
  <c r="E133" i="1"/>
  <c r="D133" i="1"/>
  <c r="F133" i="1" s="1"/>
  <c r="AA132" i="1"/>
  <c r="Y132" i="1"/>
  <c r="F132" i="1"/>
  <c r="AB132" i="1" s="1"/>
  <c r="E132" i="1"/>
  <c r="D132" i="1"/>
  <c r="AA131" i="1"/>
  <c r="Y131" i="1"/>
  <c r="E131" i="1"/>
  <c r="D131" i="1"/>
  <c r="F131" i="1" s="1"/>
  <c r="AB131" i="1" s="1"/>
  <c r="AB130" i="1"/>
  <c r="AA130" i="1"/>
  <c r="Y130" i="1"/>
  <c r="F130" i="1"/>
  <c r="E130" i="1"/>
  <c r="D130" i="1"/>
  <c r="AB129" i="1"/>
  <c r="AA129" i="1"/>
  <c r="Y129" i="1"/>
  <c r="E129" i="1"/>
  <c r="D129" i="1"/>
  <c r="F129" i="1" s="1"/>
  <c r="AA128" i="1"/>
  <c r="Y128" i="1"/>
  <c r="E128" i="1"/>
  <c r="F128" i="1" s="1"/>
  <c r="AB128" i="1" s="1"/>
  <c r="D128" i="1"/>
  <c r="AA127" i="1"/>
  <c r="Y127" i="1"/>
  <c r="E127" i="1"/>
  <c r="D127" i="1"/>
  <c r="AA126" i="1"/>
  <c r="Y126" i="1"/>
  <c r="F126" i="1"/>
  <c r="AB126" i="1" s="1"/>
  <c r="E126" i="1"/>
  <c r="D126" i="1"/>
  <c r="AA125" i="1"/>
  <c r="Y125" i="1"/>
  <c r="E125" i="1"/>
  <c r="D125" i="1"/>
  <c r="F125" i="1" s="1"/>
  <c r="AB125" i="1" s="1"/>
  <c r="AB124" i="1"/>
  <c r="AA124" i="1"/>
  <c r="Y124" i="1"/>
  <c r="F124" i="1"/>
  <c r="E124" i="1"/>
  <c r="D124" i="1"/>
  <c r="AA123" i="1"/>
  <c r="Y123" i="1"/>
  <c r="E123" i="1"/>
  <c r="D123" i="1"/>
  <c r="AA122" i="1"/>
  <c r="Y122" i="1"/>
  <c r="E122" i="1"/>
  <c r="F122" i="1" s="1"/>
  <c r="AB122" i="1" s="1"/>
  <c r="D122" i="1"/>
  <c r="AB121" i="1"/>
  <c r="AA121" i="1"/>
  <c r="Y121" i="1"/>
  <c r="E121" i="1"/>
  <c r="D121" i="1"/>
  <c r="F121" i="1" s="1"/>
  <c r="AA120" i="1"/>
  <c r="Y120" i="1"/>
  <c r="F120" i="1"/>
  <c r="AB120" i="1" s="1"/>
  <c r="E120" i="1"/>
  <c r="D120" i="1"/>
  <c r="AA119" i="1"/>
  <c r="Y119" i="1"/>
  <c r="E119" i="1"/>
  <c r="D119" i="1"/>
  <c r="F119" i="1" s="1"/>
  <c r="AB119" i="1" s="1"/>
  <c r="AA118" i="1"/>
  <c r="Y118" i="1"/>
  <c r="E118" i="1"/>
  <c r="F118" i="1" s="1"/>
  <c r="AB118" i="1" s="1"/>
  <c r="D118" i="1"/>
  <c r="AB117" i="1"/>
  <c r="AA117" i="1"/>
  <c r="Y117" i="1"/>
  <c r="E117" i="1"/>
  <c r="D117" i="1"/>
  <c r="F117" i="1" s="1"/>
  <c r="AA116" i="1"/>
  <c r="Y116" i="1"/>
  <c r="E116" i="1"/>
  <c r="F116" i="1" s="1"/>
  <c r="AB116" i="1" s="1"/>
  <c r="D116" i="1"/>
  <c r="AA115" i="1"/>
  <c r="Y115" i="1"/>
  <c r="E115" i="1"/>
  <c r="D115" i="1"/>
  <c r="F115" i="1" s="1"/>
  <c r="AB115" i="1" s="1"/>
  <c r="AA114" i="1"/>
  <c r="Y114" i="1"/>
  <c r="E114" i="1"/>
  <c r="F114" i="1" s="1"/>
  <c r="AB114" i="1" s="1"/>
  <c r="D114" i="1"/>
  <c r="AA113" i="1"/>
  <c r="Y113" i="1"/>
  <c r="E113" i="1"/>
  <c r="D113" i="1"/>
  <c r="AA112" i="1"/>
  <c r="Y112" i="1"/>
  <c r="E112" i="1"/>
  <c r="F112" i="1" s="1"/>
  <c r="AB112" i="1" s="1"/>
  <c r="D112" i="1"/>
  <c r="AA111" i="1"/>
  <c r="Y111" i="1"/>
  <c r="E111" i="1"/>
  <c r="D111" i="1"/>
  <c r="AA110" i="1"/>
  <c r="Y110" i="1"/>
  <c r="F110" i="1"/>
  <c r="AB110" i="1" s="1"/>
  <c r="E110" i="1"/>
  <c r="D110" i="1"/>
  <c r="AA109" i="1"/>
  <c r="Y109" i="1"/>
  <c r="E109" i="1"/>
  <c r="D109" i="1"/>
  <c r="F109" i="1" s="1"/>
  <c r="AB109" i="1" s="1"/>
  <c r="AB108" i="1"/>
  <c r="AA108" i="1"/>
  <c r="Y108" i="1"/>
  <c r="F108" i="1"/>
  <c r="E108" i="1"/>
  <c r="D108" i="1"/>
  <c r="AA107" i="1"/>
  <c r="Y107" i="1"/>
  <c r="E107" i="1"/>
  <c r="D107" i="1"/>
  <c r="AA106" i="1"/>
  <c r="Y106" i="1"/>
  <c r="E106" i="1"/>
  <c r="F106" i="1" s="1"/>
  <c r="AB106" i="1" s="1"/>
  <c r="D106" i="1"/>
  <c r="AB105" i="1"/>
  <c r="AA105" i="1"/>
  <c r="Y105" i="1"/>
  <c r="E105" i="1"/>
  <c r="D105" i="1"/>
  <c r="F105" i="1" s="1"/>
  <c r="AA104" i="1"/>
  <c r="Y104" i="1"/>
  <c r="F104" i="1"/>
  <c r="AB104" i="1" s="1"/>
  <c r="E104" i="1"/>
  <c r="D104" i="1"/>
  <c r="AA103" i="1"/>
  <c r="Y103" i="1"/>
  <c r="E103" i="1"/>
  <c r="D103" i="1"/>
  <c r="F103" i="1" s="1"/>
  <c r="AB103" i="1" s="1"/>
  <c r="AA102" i="1"/>
  <c r="Y102" i="1"/>
  <c r="E102" i="1"/>
  <c r="F102" i="1" s="1"/>
  <c r="AB102" i="1" s="1"/>
  <c r="D102" i="1"/>
  <c r="AB101" i="1"/>
  <c r="AA101" i="1"/>
  <c r="Y101" i="1"/>
  <c r="E101" i="1"/>
  <c r="D101" i="1"/>
  <c r="F101" i="1" s="1"/>
  <c r="AA100" i="1"/>
  <c r="Y100" i="1"/>
  <c r="E100" i="1"/>
  <c r="F100" i="1" s="1"/>
  <c r="AB100" i="1" s="1"/>
  <c r="D100" i="1"/>
  <c r="AA99" i="1"/>
  <c r="Y99" i="1"/>
  <c r="E99" i="1"/>
  <c r="D99" i="1"/>
  <c r="F99" i="1" s="1"/>
  <c r="AB99" i="1" s="1"/>
  <c r="AA98" i="1"/>
  <c r="Y98" i="1"/>
  <c r="E98" i="1"/>
  <c r="F98" i="1" s="1"/>
  <c r="AB98" i="1" s="1"/>
  <c r="D98" i="1"/>
  <c r="AA97" i="1"/>
  <c r="Y97" i="1"/>
  <c r="E97" i="1"/>
  <c r="D97" i="1"/>
  <c r="AA96" i="1"/>
  <c r="Y96" i="1"/>
  <c r="E96" i="1"/>
  <c r="F96" i="1" s="1"/>
  <c r="AB96" i="1" s="1"/>
  <c r="D96" i="1"/>
  <c r="AA95" i="1"/>
  <c r="Y95" i="1"/>
  <c r="E95" i="1"/>
  <c r="D95" i="1"/>
  <c r="AA94" i="1"/>
  <c r="Y94" i="1"/>
  <c r="F94" i="1"/>
  <c r="AB94" i="1" s="1"/>
  <c r="E94" i="1"/>
  <c r="D94" i="1"/>
  <c r="AA93" i="1"/>
  <c r="Y93" i="1"/>
  <c r="E93" i="1"/>
  <c r="D93" i="1"/>
  <c r="F93" i="1" s="1"/>
  <c r="AB93" i="1" s="1"/>
  <c r="AB92" i="1"/>
  <c r="AA92" i="1"/>
  <c r="Y92" i="1"/>
  <c r="F92" i="1"/>
  <c r="E92" i="1"/>
  <c r="D92" i="1"/>
  <c r="AA91" i="1"/>
  <c r="Y91" i="1"/>
  <c r="E91" i="1"/>
  <c r="D91" i="1"/>
  <c r="AA90" i="1"/>
  <c r="Y90" i="1"/>
  <c r="E90" i="1"/>
  <c r="F90" i="1" s="1"/>
  <c r="AB90" i="1" s="1"/>
  <c r="D90" i="1"/>
  <c r="AB89" i="1"/>
  <c r="AA89" i="1"/>
  <c r="Y89" i="1"/>
  <c r="E89" i="1"/>
  <c r="D89" i="1"/>
  <c r="F89" i="1" s="1"/>
  <c r="AA88" i="1"/>
  <c r="Y88" i="1"/>
  <c r="F88" i="1"/>
  <c r="AB88" i="1" s="1"/>
  <c r="E88" i="1"/>
  <c r="D88" i="1"/>
  <c r="AA87" i="1"/>
  <c r="Y87" i="1"/>
  <c r="E87" i="1"/>
  <c r="D87" i="1"/>
  <c r="F87" i="1" s="1"/>
  <c r="AB87" i="1" s="1"/>
  <c r="AA86" i="1"/>
  <c r="Y86" i="1"/>
  <c r="E86" i="1"/>
  <c r="F86" i="1" s="1"/>
  <c r="AB86" i="1" s="1"/>
  <c r="D86" i="1"/>
  <c r="AB85" i="1"/>
  <c r="AA85" i="1"/>
  <c r="Y85" i="1"/>
  <c r="E85" i="1"/>
  <c r="D85" i="1"/>
  <c r="F85" i="1" s="1"/>
  <c r="AA84" i="1"/>
  <c r="Y84" i="1"/>
  <c r="E84" i="1"/>
  <c r="F84" i="1" s="1"/>
  <c r="AB84" i="1" s="1"/>
  <c r="D84" i="1"/>
  <c r="AA83" i="1"/>
  <c r="Y83" i="1"/>
  <c r="E83" i="1"/>
  <c r="D83" i="1"/>
  <c r="F83" i="1" s="1"/>
  <c r="AB83" i="1" s="1"/>
  <c r="AA82" i="1"/>
  <c r="Y82" i="1"/>
  <c r="E82" i="1"/>
  <c r="F82" i="1" s="1"/>
  <c r="AB82" i="1" s="1"/>
  <c r="D82" i="1"/>
  <c r="AA81" i="1"/>
  <c r="Y81" i="1"/>
  <c r="E81" i="1"/>
  <c r="D81" i="1"/>
  <c r="AA80" i="1"/>
  <c r="Y80" i="1"/>
  <c r="E80" i="1"/>
  <c r="F80" i="1" s="1"/>
  <c r="AB80" i="1" s="1"/>
  <c r="D80" i="1"/>
  <c r="AA79" i="1"/>
  <c r="Y79" i="1"/>
  <c r="E79" i="1"/>
  <c r="D79" i="1"/>
  <c r="AA78" i="1"/>
  <c r="Y78" i="1"/>
  <c r="F78" i="1"/>
  <c r="AB78" i="1" s="1"/>
  <c r="E78" i="1"/>
  <c r="D78" i="1"/>
  <c r="AA77" i="1"/>
  <c r="Y77" i="1"/>
  <c r="E77" i="1"/>
  <c r="D77" i="1"/>
  <c r="F77" i="1" s="1"/>
  <c r="AB77" i="1" s="1"/>
  <c r="AB76" i="1"/>
  <c r="AA76" i="1"/>
  <c r="Y76" i="1"/>
  <c r="F76" i="1"/>
  <c r="E76" i="1"/>
  <c r="D76" i="1"/>
  <c r="AA75" i="1"/>
  <c r="Y75" i="1"/>
  <c r="E75" i="1"/>
  <c r="D75" i="1"/>
  <c r="AA74" i="1"/>
  <c r="Y74" i="1"/>
  <c r="E74" i="1"/>
  <c r="F74" i="1" s="1"/>
  <c r="AB74" i="1" s="1"/>
  <c r="D74" i="1"/>
  <c r="AB73" i="1"/>
  <c r="AA73" i="1"/>
  <c r="Y73" i="1"/>
  <c r="E73" i="1"/>
  <c r="D73" i="1"/>
  <c r="F73" i="1" s="1"/>
  <c r="AA72" i="1"/>
  <c r="Y72" i="1"/>
  <c r="F72" i="1"/>
  <c r="AB72" i="1" s="1"/>
  <c r="E72" i="1"/>
  <c r="D72" i="1"/>
  <c r="AA71" i="1"/>
  <c r="Y71" i="1"/>
  <c r="E71" i="1"/>
  <c r="F71" i="1" s="1"/>
  <c r="AB71" i="1" s="1"/>
  <c r="D71" i="1"/>
  <c r="AA70" i="1"/>
  <c r="Y70" i="1"/>
  <c r="E70" i="1"/>
  <c r="D70" i="1"/>
  <c r="F70" i="1" s="1"/>
  <c r="AB70" i="1" s="1"/>
  <c r="AA69" i="1"/>
  <c r="Y69" i="1"/>
  <c r="E69" i="1"/>
  <c r="D69" i="1"/>
  <c r="AA68" i="1"/>
  <c r="Y68" i="1"/>
  <c r="F68" i="1"/>
  <c r="AB68" i="1" s="1"/>
  <c r="E68" i="1"/>
  <c r="D68" i="1"/>
  <c r="AA67" i="1"/>
  <c r="Y67" i="1"/>
  <c r="E67" i="1"/>
  <c r="D67" i="1"/>
  <c r="F67" i="1" s="1"/>
  <c r="AB67" i="1" s="1"/>
  <c r="AA66" i="1"/>
  <c r="Y66" i="1"/>
  <c r="E66" i="1"/>
  <c r="D66" i="1"/>
  <c r="F66" i="1" s="1"/>
  <c r="AB66" i="1" s="1"/>
  <c r="AB65" i="1"/>
  <c r="AA65" i="1"/>
  <c r="Y65" i="1"/>
  <c r="E65" i="1"/>
  <c r="D65" i="1"/>
  <c r="F65" i="1" s="1"/>
  <c r="AA64" i="1"/>
  <c r="Y64" i="1"/>
  <c r="E64" i="1"/>
  <c r="F64" i="1" s="1"/>
  <c r="AB64" i="1" s="1"/>
  <c r="D64" i="1"/>
  <c r="AA63" i="1"/>
  <c r="Y63" i="1"/>
  <c r="E63" i="1"/>
  <c r="D63" i="1"/>
  <c r="F63" i="1" s="1"/>
  <c r="AB63" i="1" s="1"/>
  <c r="AB62" i="1"/>
  <c r="AA62" i="1"/>
  <c r="Y62" i="1"/>
  <c r="F62" i="1"/>
  <c r="E62" i="1"/>
  <c r="D62" i="1"/>
  <c r="AA61" i="1"/>
  <c r="Y61" i="1"/>
  <c r="E61" i="1"/>
  <c r="D61" i="1"/>
  <c r="AA60" i="1"/>
  <c r="Y60" i="1"/>
  <c r="F60" i="1"/>
  <c r="AB60" i="1" s="1"/>
  <c r="E60" i="1"/>
  <c r="D60" i="1"/>
  <c r="AA59" i="1"/>
  <c r="Y59" i="1"/>
  <c r="E59" i="1"/>
  <c r="D59" i="1"/>
  <c r="F59" i="1" s="1"/>
  <c r="AB59" i="1" s="1"/>
  <c r="AA58" i="1"/>
  <c r="Y58" i="1"/>
  <c r="E58" i="1"/>
  <c r="F58" i="1" s="1"/>
  <c r="AB58" i="1" s="1"/>
  <c r="D58" i="1"/>
  <c r="AA57" i="1"/>
  <c r="Y57" i="1"/>
  <c r="E57" i="1"/>
  <c r="D57" i="1"/>
  <c r="AA56" i="1"/>
  <c r="Y56" i="1"/>
  <c r="E56" i="1"/>
  <c r="F56" i="1" s="1"/>
  <c r="AB56" i="1" s="1"/>
  <c r="D56" i="1"/>
  <c r="AB55" i="1"/>
  <c r="AA55" i="1"/>
  <c r="Y55" i="1"/>
  <c r="F55" i="1"/>
  <c r="E55" i="1"/>
  <c r="D55" i="1"/>
  <c r="AB54" i="1"/>
  <c r="AA54" i="1"/>
  <c r="Y54" i="1"/>
  <c r="F54" i="1"/>
  <c r="E54" i="1"/>
  <c r="D54" i="1"/>
  <c r="AA53" i="1"/>
  <c r="Y53" i="1"/>
  <c r="E53" i="1"/>
  <c r="D53" i="1"/>
  <c r="F53" i="1" s="1"/>
  <c r="AB53" i="1" s="1"/>
  <c r="AA52" i="1"/>
  <c r="Y52" i="1"/>
  <c r="E52" i="1"/>
  <c r="F52" i="1" s="1"/>
  <c r="AB52" i="1" s="1"/>
  <c r="D52" i="1"/>
  <c r="AA51" i="1"/>
  <c r="Y51" i="1"/>
  <c r="E51" i="1"/>
  <c r="F51" i="1" s="1"/>
  <c r="AB51" i="1" s="1"/>
  <c r="D51" i="1"/>
  <c r="AA50" i="1"/>
  <c r="Y50" i="1"/>
  <c r="F50" i="1"/>
  <c r="AB50" i="1" s="1"/>
  <c r="E50" i="1"/>
  <c r="D50" i="1"/>
  <c r="AA49" i="1"/>
  <c r="Y49" i="1"/>
  <c r="E49" i="1"/>
  <c r="D49" i="1"/>
  <c r="F49" i="1" s="1"/>
  <c r="AB49" i="1" s="1"/>
  <c r="AB48" i="1"/>
  <c r="AA48" i="1"/>
  <c r="Y48" i="1"/>
  <c r="F48" i="1"/>
  <c r="E48" i="1"/>
  <c r="D48" i="1"/>
  <c r="AB47" i="1"/>
  <c r="AA47" i="1"/>
  <c r="Y47" i="1"/>
  <c r="F47" i="1"/>
  <c r="E47" i="1"/>
  <c r="D47" i="1"/>
  <c r="AA46" i="1"/>
  <c r="Y46" i="1"/>
  <c r="E46" i="1"/>
  <c r="F46" i="1" s="1"/>
  <c r="AB46" i="1" s="1"/>
  <c r="D46" i="1"/>
  <c r="AA45" i="1"/>
  <c r="Y45" i="1"/>
  <c r="E45" i="1"/>
  <c r="D45" i="1"/>
  <c r="F45" i="1" s="1"/>
  <c r="AB45" i="1" s="1"/>
  <c r="AA44" i="1"/>
  <c r="Y44" i="1"/>
  <c r="E44" i="1"/>
  <c r="F44" i="1" s="1"/>
  <c r="AB44" i="1" s="1"/>
  <c r="D44" i="1"/>
  <c r="AA43" i="1"/>
  <c r="Y43" i="1"/>
  <c r="F43" i="1"/>
  <c r="AB43" i="1" s="1"/>
  <c r="E43" i="1"/>
  <c r="D43" i="1"/>
  <c r="AA42" i="1"/>
  <c r="Y42" i="1"/>
  <c r="E42" i="1"/>
  <c r="D42" i="1"/>
  <c r="F42" i="1" s="1"/>
  <c r="AB42" i="1" s="1"/>
  <c r="AB41" i="1"/>
  <c r="AA41" i="1"/>
  <c r="Y41" i="1"/>
  <c r="E41" i="1"/>
  <c r="D41" i="1"/>
  <c r="F41" i="1" s="1"/>
  <c r="AB40" i="1"/>
  <c r="AA40" i="1"/>
  <c r="Y40" i="1"/>
  <c r="F40" i="1"/>
  <c r="E40" i="1"/>
  <c r="D40" i="1"/>
  <c r="AA39" i="1"/>
  <c r="Y39" i="1"/>
  <c r="E39" i="1"/>
  <c r="F39" i="1" s="1"/>
  <c r="AB39" i="1" s="1"/>
  <c r="D39" i="1"/>
  <c r="AA38" i="1"/>
  <c r="Y38" i="1"/>
  <c r="E38" i="1"/>
  <c r="D38" i="1"/>
  <c r="F38" i="1" s="1"/>
  <c r="AB38" i="1" s="1"/>
  <c r="AA37" i="1"/>
  <c r="Y37" i="1"/>
  <c r="E37" i="1"/>
  <c r="D37" i="1"/>
  <c r="AA36" i="1"/>
  <c r="Y36" i="1"/>
  <c r="F36" i="1"/>
  <c r="AB36" i="1" s="1"/>
  <c r="E36" i="1"/>
  <c r="D36" i="1"/>
  <c r="AA35" i="1"/>
  <c r="Y35" i="1"/>
  <c r="E35" i="1"/>
  <c r="D35" i="1"/>
  <c r="F35" i="1" s="1"/>
  <c r="AB35" i="1" s="1"/>
  <c r="AA34" i="1"/>
  <c r="Y34" i="1"/>
  <c r="E34" i="1"/>
  <c r="D34" i="1"/>
  <c r="F34" i="1" s="1"/>
  <c r="AB34" i="1" s="1"/>
  <c r="AB33" i="1"/>
  <c r="AA33" i="1"/>
  <c r="Y33" i="1"/>
  <c r="E33" i="1"/>
  <c r="D33" i="1"/>
  <c r="F33" i="1" s="1"/>
  <c r="AA32" i="1"/>
  <c r="Y32" i="1"/>
  <c r="E32" i="1"/>
  <c r="F32" i="1" s="1"/>
  <c r="AB32" i="1" s="1"/>
  <c r="D32" i="1"/>
  <c r="AA31" i="1"/>
  <c r="Y31" i="1"/>
  <c r="E31" i="1"/>
  <c r="D31" i="1"/>
  <c r="F31" i="1" s="1"/>
  <c r="AB31" i="1" s="1"/>
  <c r="AB30" i="1"/>
  <c r="AA30" i="1"/>
  <c r="Y30" i="1"/>
  <c r="F30" i="1"/>
  <c r="E30" i="1"/>
  <c r="D30" i="1"/>
  <c r="AA29" i="1"/>
  <c r="Y29" i="1"/>
  <c r="E29" i="1"/>
  <c r="D29" i="1"/>
  <c r="AA28" i="1"/>
  <c r="Y28" i="1"/>
  <c r="E28" i="1"/>
  <c r="F28" i="1" s="1"/>
  <c r="AB28" i="1" s="1"/>
  <c r="D28" i="1"/>
  <c r="AA27" i="1"/>
  <c r="Y27" i="1"/>
  <c r="E27" i="1"/>
  <c r="D27" i="1"/>
  <c r="F27" i="1" s="1"/>
  <c r="AB27" i="1" s="1"/>
  <c r="AA26" i="1"/>
  <c r="Y26" i="1"/>
  <c r="E26" i="1"/>
  <c r="F26" i="1" s="1"/>
  <c r="AB26" i="1" s="1"/>
  <c r="D26" i="1"/>
  <c r="AA25" i="1"/>
  <c r="Y25" i="1"/>
  <c r="E25" i="1"/>
  <c r="D25" i="1"/>
  <c r="AA24" i="1"/>
  <c r="Y24" i="1"/>
  <c r="E24" i="1"/>
  <c r="F24" i="1" s="1"/>
  <c r="AB24" i="1" s="1"/>
  <c r="D24" i="1"/>
  <c r="AB23" i="1"/>
  <c r="AA23" i="1"/>
  <c r="Y23" i="1"/>
  <c r="F23" i="1"/>
  <c r="E23" i="1"/>
  <c r="D23" i="1"/>
  <c r="AA22" i="1"/>
  <c r="Y22" i="1"/>
  <c r="F22" i="1"/>
  <c r="AB22" i="1" s="1"/>
  <c r="E22" i="1"/>
  <c r="D22" i="1"/>
  <c r="AA21" i="1"/>
  <c r="Y21" i="1"/>
  <c r="E21" i="1"/>
  <c r="D21" i="1"/>
  <c r="F21" i="1" s="1"/>
  <c r="AB21" i="1" s="1"/>
  <c r="AA20" i="1"/>
  <c r="Y20" i="1"/>
  <c r="E20" i="1"/>
  <c r="F20" i="1" s="1"/>
  <c r="AB20" i="1" s="1"/>
  <c r="D20" i="1"/>
  <c r="AA19" i="1"/>
  <c r="Y19" i="1"/>
  <c r="E19" i="1"/>
  <c r="F19" i="1" s="1"/>
  <c r="AB19" i="1" s="1"/>
  <c r="D19" i="1"/>
  <c r="AA18" i="1"/>
  <c r="Y18" i="1"/>
  <c r="F18" i="1"/>
  <c r="AB18" i="1" s="1"/>
  <c r="E18" i="1"/>
  <c r="D18" i="1"/>
  <c r="AA17" i="1"/>
  <c r="Y17" i="1"/>
  <c r="E17" i="1"/>
  <c r="D17" i="1"/>
  <c r="F17" i="1" s="1"/>
  <c r="AB17" i="1" s="1"/>
  <c r="AB16" i="1"/>
  <c r="AA16" i="1"/>
  <c r="Y16" i="1"/>
  <c r="F16" i="1"/>
  <c r="E16" i="1"/>
  <c r="D16" i="1"/>
  <c r="AA15" i="1"/>
  <c r="Y15" i="1"/>
  <c r="F15" i="1"/>
  <c r="AB15" i="1" s="1"/>
  <c r="E15" i="1"/>
  <c r="D15" i="1"/>
  <c r="AA14" i="1"/>
  <c r="Y14" i="1"/>
  <c r="E14" i="1"/>
  <c r="D14" i="1"/>
  <c r="F14" i="1" s="1"/>
  <c r="AB14" i="1" s="1"/>
  <c r="AA13" i="1"/>
  <c r="Y13" i="1"/>
  <c r="E13" i="1"/>
  <c r="D13" i="1"/>
  <c r="F13" i="1" s="1"/>
  <c r="AB13" i="1" s="1"/>
  <c r="AA12" i="1"/>
  <c r="Y12" i="1"/>
  <c r="E12" i="1"/>
  <c r="F12" i="1" s="1"/>
  <c r="AB12" i="1" s="1"/>
  <c r="D12" i="1"/>
  <c r="AA11" i="1"/>
  <c r="Y11" i="1"/>
  <c r="E11" i="1"/>
  <c r="F11" i="1" s="1"/>
  <c r="AB11" i="1" s="1"/>
  <c r="D11" i="1"/>
  <c r="AA10" i="1"/>
  <c r="Y10" i="1"/>
  <c r="E10" i="1"/>
  <c r="D10" i="1"/>
  <c r="F10" i="1" s="1"/>
  <c r="AB10" i="1" s="1"/>
  <c r="AB9" i="1"/>
  <c r="AA9" i="1"/>
  <c r="Y9" i="1"/>
  <c r="E9" i="1"/>
  <c r="D9" i="1"/>
  <c r="F9" i="1" s="1"/>
  <c r="AB8" i="1"/>
  <c r="AA8" i="1"/>
  <c r="Y8" i="1"/>
  <c r="F8" i="1"/>
  <c r="E8" i="1"/>
  <c r="D8" i="1"/>
  <c r="AA7" i="1"/>
  <c r="Y7" i="1"/>
  <c r="E7" i="1"/>
  <c r="F7" i="1" s="1"/>
  <c r="AB7" i="1" s="1"/>
  <c r="D7" i="1"/>
  <c r="AA6" i="1"/>
  <c r="Y6" i="1"/>
  <c r="E6" i="1"/>
  <c r="D6" i="1"/>
  <c r="F6" i="1" s="1"/>
  <c r="AB6" i="1" s="1"/>
  <c r="AB5" i="1"/>
  <c r="AA5" i="1"/>
  <c r="Y5" i="1"/>
  <c r="F5" i="1"/>
  <c r="E5" i="1"/>
  <c r="D5" i="1"/>
  <c r="AA4" i="1"/>
  <c r="Y4" i="1"/>
  <c r="F4" i="1"/>
  <c r="AB4" i="1" s="1"/>
  <c r="E4" i="1"/>
  <c r="D4" i="1"/>
  <c r="AA3" i="1"/>
  <c r="Y3" i="1"/>
  <c r="E3" i="1"/>
  <c r="F3" i="1" s="1"/>
  <c r="AB3" i="1" s="1"/>
  <c r="D3" i="1"/>
  <c r="AA2" i="1"/>
  <c r="Y2" i="1"/>
  <c r="E2" i="1"/>
  <c r="D2" i="1"/>
  <c r="F2" i="1" s="1"/>
  <c r="AB2" i="1" s="1"/>
  <c r="F29" i="1" l="1"/>
  <c r="AB29" i="1" s="1"/>
  <c r="F61" i="1"/>
  <c r="AB61" i="1" s="1"/>
  <c r="F75" i="1"/>
  <c r="AB75" i="1" s="1"/>
  <c r="F91" i="1"/>
  <c r="AB91" i="1" s="1"/>
  <c r="F107" i="1"/>
  <c r="AB107" i="1" s="1"/>
  <c r="F123" i="1"/>
  <c r="AB123" i="1" s="1"/>
  <c r="F135" i="1"/>
  <c r="AB135" i="1" s="1"/>
  <c r="F155" i="1"/>
  <c r="AB155" i="1" s="1"/>
  <c r="F163" i="1"/>
  <c r="AB163" i="1" s="1"/>
  <c r="F171" i="1"/>
  <c r="AB171" i="1" s="1"/>
  <c r="F210" i="1"/>
  <c r="AB210" i="1" s="1"/>
  <c r="F25" i="1"/>
  <c r="AB25" i="1" s="1"/>
  <c r="F57" i="1"/>
  <c r="AB57" i="1" s="1"/>
  <c r="F81" i="1"/>
  <c r="AB81" i="1" s="1"/>
  <c r="F97" i="1"/>
  <c r="AB97" i="1" s="1"/>
  <c r="F113" i="1"/>
  <c r="AB113" i="1" s="1"/>
  <c r="F203" i="1"/>
  <c r="AB203" i="1" s="1"/>
  <c r="F143" i="1"/>
  <c r="AB143" i="1" s="1"/>
  <c r="F187" i="1"/>
  <c r="AB187" i="1" s="1"/>
  <c r="F37" i="1"/>
  <c r="AB37" i="1" s="1"/>
  <c r="F69" i="1"/>
  <c r="AB69" i="1" s="1"/>
  <c r="F79" i="1"/>
  <c r="AB79" i="1" s="1"/>
  <c r="F95" i="1"/>
  <c r="AB95" i="1" s="1"/>
  <c r="F111" i="1"/>
  <c r="AB111" i="1" s="1"/>
  <c r="F127" i="1"/>
  <c r="AB127" i="1" s="1"/>
  <c r="F213" i="1"/>
  <c r="AB213" i="1" s="1"/>
  <c r="F233" i="1"/>
  <c r="AB233" i="1" s="1"/>
  <c r="F249" i="1"/>
  <c r="AB249" i="1" s="1"/>
  <c r="F265" i="1"/>
  <c r="AB265" i="1" s="1"/>
  <c r="F281" i="1"/>
  <c r="AB281" i="1" s="1"/>
  <c r="F297" i="1"/>
  <c r="AB297" i="1" s="1"/>
  <c r="F313" i="1"/>
  <c r="AB313" i="1" s="1"/>
  <c r="F380" i="1"/>
  <c r="AB380" i="1" s="1"/>
  <c r="F400" i="1"/>
  <c r="AB400" i="1" s="1"/>
  <c r="F209" i="1"/>
  <c r="AB209" i="1" s="1"/>
  <c r="F223" i="1"/>
  <c r="AB223" i="1" s="1"/>
  <c r="F239" i="1"/>
  <c r="AB239" i="1" s="1"/>
  <c r="F255" i="1"/>
  <c r="AB255" i="1" s="1"/>
  <c r="F271" i="1"/>
  <c r="AB271" i="1" s="1"/>
  <c r="F287" i="1"/>
  <c r="AB287" i="1" s="1"/>
  <c r="F303" i="1"/>
  <c r="AB303" i="1" s="1"/>
  <c r="F319" i="1"/>
  <c r="AB319" i="1" s="1"/>
  <c r="F348" i="1"/>
  <c r="AB348" i="1" s="1"/>
  <c r="F361" i="1"/>
  <c r="AB361" i="1" s="1"/>
  <c r="F379" i="1"/>
  <c r="AB379" i="1" s="1"/>
  <c r="F311" i="1"/>
  <c r="AB311" i="1" s="1"/>
  <c r="F327" i="1"/>
  <c r="AB327" i="1" s="1"/>
  <c r="F189" i="1"/>
  <c r="AB189" i="1" s="1"/>
  <c r="F221" i="1"/>
  <c r="AB221" i="1" s="1"/>
  <c r="F237" i="1"/>
  <c r="AB237" i="1" s="1"/>
  <c r="F253" i="1"/>
  <c r="AB253" i="1" s="1"/>
  <c r="F269" i="1"/>
  <c r="AB269" i="1" s="1"/>
  <c r="F285" i="1"/>
  <c r="AB285" i="1" s="1"/>
  <c r="F301" i="1"/>
  <c r="AB301" i="1" s="1"/>
  <c r="F317" i="1"/>
  <c r="AB317" i="1" s="1"/>
  <c r="F347" i="1"/>
  <c r="AB347" i="1" s="1"/>
  <c r="F373" i="1"/>
  <c r="AB373" i="1" s="1"/>
  <c r="F411" i="1"/>
  <c r="AB411" i="1" s="1"/>
  <c r="F425" i="1"/>
  <c r="AB425" i="1" s="1"/>
  <c r="F335" i="1"/>
  <c r="AB335" i="1" s="1"/>
  <c r="F367" i="1"/>
  <c r="AB367" i="1" s="1"/>
  <c r="F399" i="1"/>
  <c r="AB399" i="1" s="1"/>
  <c r="F431" i="1"/>
  <c r="AB431" i="1" s="1"/>
  <c r="F463" i="1"/>
  <c r="AB463" i="1" s="1"/>
  <c r="F473" i="1"/>
  <c r="AB473" i="1" s="1"/>
  <c r="F489" i="1"/>
  <c r="AB489" i="1" s="1"/>
  <c r="F505" i="1"/>
  <c r="AB505" i="1" s="1"/>
  <c r="F521" i="1"/>
  <c r="AB521" i="1" s="1"/>
  <c r="F537" i="1"/>
  <c r="AB537" i="1" s="1"/>
  <c r="F731" i="1"/>
  <c r="AB731" i="1" s="1"/>
  <c r="F359" i="1"/>
  <c r="AB359" i="1" s="1"/>
  <c r="F391" i="1"/>
  <c r="AB391" i="1" s="1"/>
  <c r="F423" i="1"/>
  <c r="AB423" i="1" s="1"/>
  <c r="F455" i="1"/>
  <c r="AB455" i="1" s="1"/>
  <c r="F469" i="1"/>
  <c r="AB469" i="1" s="1"/>
  <c r="F485" i="1"/>
  <c r="AB485" i="1" s="1"/>
  <c r="F501" i="1"/>
  <c r="AB501" i="1" s="1"/>
  <c r="F517" i="1"/>
  <c r="AB517" i="1" s="1"/>
  <c r="F533" i="1"/>
  <c r="AB533" i="1" s="1"/>
  <c r="F539" i="1"/>
  <c r="AB539" i="1" s="1"/>
  <c r="F545" i="1"/>
  <c r="AB545" i="1" s="1"/>
  <c r="F351" i="1"/>
  <c r="AB351" i="1" s="1"/>
  <c r="F383" i="1"/>
  <c r="AB383" i="1" s="1"/>
  <c r="F415" i="1"/>
  <c r="AB415" i="1" s="1"/>
  <c r="F447" i="1"/>
  <c r="AB447" i="1" s="1"/>
  <c r="F481" i="1"/>
  <c r="AB481" i="1" s="1"/>
  <c r="F497" i="1"/>
  <c r="AB497" i="1" s="1"/>
  <c r="F513" i="1"/>
  <c r="AB513" i="1" s="1"/>
  <c r="F529" i="1"/>
  <c r="AB529" i="1" s="1"/>
  <c r="F547" i="1"/>
  <c r="AB547" i="1" s="1"/>
  <c r="F723" i="1"/>
  <c r="AB723" i="1" s="1"/>
  <c r="F525" i="1"/>
  <c r="AB525" i="1" s="1"/>
  <c r="F592" i="1"/>
  <c r="AB592" i="1" s="1"/>
  <c r="F613" i="1"/>
  <c r="AB613" i="1" s="1"/>
  <c r="F621" i="1"/>
  <c r="AB621" i="1" s="1"/>
  <c r="F588" i="1"/>
  <c r="AB588" i="1" s="1"/>
  <c r="F626" i="1"/>
  <c r="AB626" i="1" s="1"/>
  <c r="F634" i="1"/>
  <c r="AB634" i="1" s="1"/>
  <c r="F642" i="1"/>
  <c r="AB642" i="1" s="1"/>
  <c r="F658" i="1"/>
  <c r="AB658" i="1" s="1"/>
  <c r="F584" i="1"/>
  <c r="AB584" i="1" s="1"/>
  <c r="F604" i="1"/>
  <c r="AB604" i="1" s="1"/>
  <c r="F679" i="1"/>
  <c r="AB679" i="1" s="1"/>
  <c r="F687" i="1"/>
  <c r="AB687" i="1" s="1"/>
  <c r="F695" i="1"/>
  <c r="AB695" i="1" s="1"/>
  <c r="F703" i="1"/>
  <c r="AB703" i="1" s="1"/>
  <c r="F711" i="1"/>
  <c r="AB711" i="1" s="1"/>
  <c r="F719" i="1"/>
  <c r="AB719" i="1" s="1"/>
  <c r="F727" i="1"/>
  <c r="AB727" i="1" s="1"/>
  <c r="F735" i="1"/>
  <c r="AB735" i="1" s="1"/>
  <c r="F743" i="1"/>
  <c r="AB743" i="1" s="1"/>
  <c r="F751" i="1"/>
  <c r="AB751" i="1" s="1"/>
  <c r="F759" i="1"/>
  <c r="AB759" i="1" s="1"/>
  <c r="F767" i="1"/>
  <c r="AB767" i="1" s="1"/>
  <c r="F775" i="1"/>
  <c r="AB775" i="1" s="1"/>
  <c r="F783" i="1"/>
  <c r="AB783" i="1" s="1"/>
  <c r="F791" i="1"/>
  <c r="AB791" i="1" s="1"/>
  <c r="F799" i="1"/>
  <c r="AB799" i="1" s="1"/>
  <c r="F807" i="1"/>
  <c r="AB807" i="1" s="1"/>
  <c r="F815" i="1"/>
  <c r="AB815" i="1" s="1"/>
  <c r="F823" i="1"/>
  <c r="AB823" i="1" s="1"/>
  <c r="F831" i="1"/>
  <c r="AB831" i="1" s="1"/>
  <c r="F839" i="1"/>
  <c r="AB839" i="1" s="1"/>
  <c r="F863" i="1"/>
  <c r="AB863" i="1" s="1"/>
  <c r="F871" i="1"/>
  <c r="AB871" i="1" s="1"/>
  <c r="F883" i="1"/>
  <c r="AB883" i="1" s="1"/>
  <c r="F622" i="1"/>
  <c r="AB622" i="1" s="1"/>
  <c r="F630" i="1"/>
  <c r="AB630" i="1" s="1"/>
  <c r="F638" i="1"/>
  <c r="AB638" i="1" s="1"/>
  <c r="F646" i="1"/>
  <c r="AB646" i="1" s="1"/>
  <c r="F875" i="1"/>
  <c r="AB875" i="1" s="1"/>
  <c r="F867" i="1"/>
  <c r="AB867" i="1" s="1"/>
  <c r="F891" i="1"/>
  <c r="AB891" i="1" s="1"/>
</calcChain>
</file>

<file path=xl/sharedStrings.xml><?xml version="1.0" encoding="utf-8"?>
<sst xmlns="http://schemas.openxmlformats.org/spreadsheetml/2006/main" count="13838" uniqueCount="4117">
  <si>
    <t>order_id</t>
  </si>
  <si>
    <t>order_date</t>
  </si>
  <si>
    <t>ship_date</t>
  </si>
  <si>
    <t>ship_date_clean</t>
  </si>
  <si>
    <t>order_date_clean</t>
  </si>
  <si>
    <t xml:space="preserve">shipping_delay_days
</t>
  </si>
  <si>
    <t>customer_id</t>
  </si>
  <si>
    <t>customer_name</t>
  </si>
  <si>
    <t>segment</t>
  </si>
  <si>
    <t>region</t>
  </si>
  <si>
    <t>state</t>
  </si>
  <si>
    <t>city</t>
  </si>
  <si>
    <t>category</t>
  </si>
  <si>
    <t>sub_category</t>
  </si>
  <si>
    <t>product_name</t>
  </si>
  <si>
    <t>ship_mode</t>
  </si>
  <si>
    <t>quantity</t>
  </si>
  <si>
    <t>unit_price</t>
  </si>
  <si>
    <t>discount</t>
  </si>
  <si>
    <t>sales</t>
  </si>
  <si>
    <t>cost</t>
  </si>
  <si>
    <t>profit</t>
  </si>
  <si>
    <t>payment_status</t>
  </si>
  <si>
    <t>order_status</t>
  </si>
  <si>
    <t>duplicate/unique I'D</t>
  </si>
  <si>
    <t>Review flag</t>
  </si>
  <si>
    <t>Discount check</t>
  </si>
  <si>
    <t>Ship date before order date</t>
  </si>
  <si>
    <t>cleaned_discount</t>
  </si>
  <si>
    <t>ORD-2024-10001</t>
  </si>
  <si>
    <t>21 Jul 2024</t>
  </si>
  <si>
    <t>07/27/2024</t>
  </si>
  <si>
    <t>CUST-4655</t>
  </si>
  <si>
    <t>Karan Malhotra</t>
  </si>
  <si>
    <t>Consumer</t>
  </si>
  <si>
    <t>North</t>
  </si>
  <si>
    <t>Rajasthan</t>
  </si>
  <si>
    <t>Jaipur</t>
  </si>
  <si>
    <t>Office Supplies</t>
  </si>
  <si>
    <t>Paper</t>
  </si>
  <si>
    <t>Pro Paper 122</t>
  </si>
  <si>
    <t>Second Class</t>
  </si>
  <si>
    <t>Paid</t>
  </si>
  <si>
    <t>Completed</t>
  </si>
  <si>
    <t>ORD-2024-10002</t>
  </si>
  <si>
    <t>08/31/2024</t>
  </si>
  <si>
    <t>05 Sep 2024</t>
  </si>
  <si>
    <t>CUST-2054</t>
  </si>
  <si>
    <t>Mira Das</t>
  </si>
  <si>
    <t>Small Business</t>
  </si>
  <si>
    <t>East</t>
  </si>
  <si>
    <t>Odisha</t>
  </si>
  <si>
    <t>Bhubaneswar</t>
  </si>
  <si>
    <t>Furniture</t>
  </si>
  <si>
    <t>Tables</t>
  </si>
  <si>
    <t>Pro Tables 258</t>
  </si>
  <si>
    <t>Same Day</t>
  </si>
  <si>
    <t>ORD-2024-10003</t>
  </si>
  <si>
    <t>06/08/2024</t>
  </si>
  <si>
    <t>15 Jun 2024</t>
  </si>
  <si>
    <t>CUST-6843</t>
  </si>
  <si>
    <t>Isha Nair</t>
  </si>
  <si>
    <t>Art</t>
  </si>
  <si>
    <t>Elite Art 525</t>
  </si>
  <si>
    <t>First Class</t>
  </si>
  <si>
    <t>ORD-2024-10004</t>
  </si>
  <si>
    <t>28-11-2024</t>
  </si>
  <si>
    <t>11/29/2024</t>
  </si>
  <si>
    <t>CUST-3722</t>
  </si>
  <si>
    <t>Arjun Bose</t>
  </si>
  <si>
    <t>South</t>
  </si>
  <si>
    <t>Telangana</t>
  </si>
  <si>
    <t>Hyderabad</t>
  </si>
  <si>
    <t>Furnishings</t>
  </si>
  <si>
    <t>Smart Furnishings 294</t>
  </si>
  <si>
    <t>Standard Class</t>
  </si>
  <si>
    <t>ORD-2025-10005</t>
  </si>
  <si>
    <t>29 Aug 2025</t>
  </si>
  <si>
    <t>2025-09-01</t>
  </si>
  <si>
    <t>CUST-8130</t>
  </si>
  <si>
    <t>Ananya Rao</t>
  </si>
  <si>
    <t>West</t>
  </si>
  <si>
    <t>Maharashtra</t>
  </si>
  <si>
    <t>Mumbai</t>
  </si>
  <si>
    <t>Chairs</t>
  </si>
  <si>
    <t>Elite Chairs 543</t>
  </si>
  <si>
    <t>Cancelled</t>
  </si>
  <si>
    <t>ORD-2024-10006</t>
  </si>
  <si>
    <t>2024-05-24</t>
  </si>
  <si>
    <t>28-05-2024</t>
  </si>
  <si>
    <t>CUST-6056</t>
  </si>
  <si>
    <t>Vikram Iyer</t>
  </si>
  <si>
    <t>Madhya Pradesh</t>
  </si>
  <si>
    <t>Indore</t>
  </si>
  <si>
    <t>Technology</t>
  </si>
  <si>
    <t>Accessories</t>
  </si>
  <si>
    <t>Pro Accessories 821</t>
  </si>
  <si>
    <t>ORD-2025-10007</t>
  </si>
  <si>
    <t>04/10/2025</t>
  </si>
  <si>
    <t>04/16/2025</t>
  </si>
  <si>
    <t>CUST-3656</t>
  </si>
  <si>
    <t>Neha Gupta</t>
  </si>
  <si>
    <t>Copiers</t>
  </si>
  <si>
    <t>Eco Copiers 790</t>
  </si>
  <si>
    <t>ORD-2025-10008</t>
  </si>
  <si>
    <t>2025-02-23</t>
  </si>
  <si>
    <t>26-02-2025</t>
  </si>
  <si>
    <t>CUST-4683</t>
  </si>
  <si>
    <t>Andhra Pradesh</t>
  </si>
  <si>
    <t>Vijayawada</t>
  </si>
  <si>
    <t>Eco Art 848</t>
  </si>
  <si>
    <t>ORD-2024-10009</t>
  </si>
  <si>
    <t>11/05/2024</t>
  </si>
  <si>
    <t>11/10/2024</t>
  </si>
  <si>
    <t>CUST-2598</t>
  </si>
  <si>
    <t>Aditi Sen</t>
  </si>
  <si>
    <t>Corporate</t>
  </si>
  <si>
    <t>Labels</t>
  </si>
  <si>
    <t>Classic Labels 815</t>
  </si>
  <si>
    <t>ORD-2025-10010</t>
  </si>
  <si>
    <t>07-09-2025</t>
  </si>
  <si>
    <t>09/12/2025</t>
  </si>
  <si>
    <t>CUST-2483</t>
  </si>
  <si>
    <t>Home Office</t>
  </si>
  <si>
    <t>Pro Paper 622</t>
  </si>
  <si>
    <t>ORD-2025-10011</t>
  </si>
  <si>
    <t>20 May 2025</t>
  </si>
  <si>
    <t>05/20/2025</t>
  </si>
  <si>
    <t>CUST-8092</t>
  </si>
  <si>
    <t>West Bengal</t>
  </si>
  <si>
    <t>Kolkata</t>
  </si>
  <si>
    <t>Prime Labels 644</t>
  </si>
  <si>
    <t>Refunded</t>
  </si>
  <si>
    <t>Returned</t>
  </si>
  <si>
    <t>ORD-2024-10012</t>
  </si>
  <si>
    <t>2024-07-22</t>
  </si>
  <si>
    <t>23-07-2024</t>
  </si>
  <si>
    <t>CUST-6528</t>
  </si>
  <si>
    <t>Smart Accessories 603</t>
  </si>
  <si>
    <t>ORD-2024-10013</t>
  </si>
  <si>
    <t>20 Dec 2024</t>
  </si>
  <si>
    <t>12/21/2024</t>
  </si>
  <si>
    <t>CUST-2648</t>
  </si>
  <si>
    <t>Udaipur</t>
  </si>
  <si>
    <t>Pro Paper 481</t>
  </si>
  <si>
    <t>Pending</t>
  </si>
  <si>
    <t>ORD-2025-10014</t>
  </si>
  <si>
    <t>2025-10-12</t>
  </si>
  <si>
    <t>16-10-2025</t>
  </si>
  <si>
    <t>CUST-7482</t>
  </si>
  <si>
    <t>Priya Menon</t>
  </si>
  <si>
    <t>Smart Art 795</t>
  </si>
  <si>
    <t>ORD-2024-10015</t>
  </si>
  <si>
    <t>27 Dec 2024</t>
  </si>
  <si>
    <t>12/28/2024</t>
  </si>
  <si>
    <t>CUST-4912</t>
  </si>
  <si>
    <t>Rahul Verma</t>
  </si>
  <si>
    <t>Max Copiers 983</t>
  </si>
  <si>
    <t>ORD-2024-10016</t>
  </si>
  <si>
    <t>07/09/2024</t>
  </si>
  <si>
    <t>09 Jul 2024</t>
  </si>
  <si>
    <t>CUST-7656</t>
  </si>
  <si>
    <t>Punjab</t>
  </si>
  <si>
    <t>Ludhiana</t>
  </si>
  <si>
    <t>Storage</t>
  </si>
  <si>
    <t>Classic Storage 198</t>
  </si>
  <si>
    <t>ORD-2024-10017</t>
  </si>
  <si>
    <t>05/08/2024</t>
  </si>
  <si>
    <t>15-05-2024</t>
  </si>
  <si>
    <t>CUST-6214</t>
  </si>
  <si>
    <t>Aarav Sharma</t>
  </si>
  <si>
    <t>Basic Art 204</t>
  </si>
  <si>
    <t>ORD-2024-10018</t>
  </si>
  <si>
    <t>01/07/2024</t>
  </si>
  <si>
    <t>2024-01-08</t>
  </si>
  <si>
    <t>CUST-1626</t>
  </si>
  <si>
    <t>Sneha Kapoor</t>
  </si>
  <si>
    <t>Basic Furnishings 434</t>
  </si>
  <si>
    <t>ORD-2025-10019</t>
  </si>
  <si>
    <t>07/15/2025</t>
  </si>
  <si>
    <t>17-07-2025</t>
  </si>
  <si>
    <t>CUST-2110</t>
  </si>
  <si>
    <t>Uttar Pradesh</t>
  </si>
  <si>
    <t>Noida</t>
  </si>
  <si>
    <t>Eco Copiers 755</t>
  </si>
  <si>
    <t>ORD-2024-10020</t>
  </si>
  <si>
    <t>31 Jul 2024</t>
  </si>
  <si>
    <t>CUST-3186</t>
  </si>
  <si>
    <t>Rohan Mehta</t>
  </si>
  <si>
    <t>Prime Storage 121</t>
  </si>
  <si>
    <t>ORD-2025-10021</t>
  </si>
  <si>
    <t>21-01-2025</t>
  </si>
  <si>
    <t>23 Jan 2025</t>
  </si>
  <si>
    <t>CUST-3190</t>
  </si>
  <si>
    <t>Bihar</t>
  </si>
  <si>
    <t>Patna</t>
  </si>
  <si>
    <t>Elite Copiers 233</t>
  </si>
  <si>
    <t>ORD-2025-10022</t>
  </si>
  <si>
    <t>24-01-2025</t>
  </si>
  <si>
    <t>01/30/2025</t>
  </si>
  <si>
    <t>CUST-3036</t>
  </si>
  <si>
    <t>Eco Furnishings 897</t>
  </si>
  <si>
    <t>ORD-2025-10023</t>
  </si>
  <si>
    <t>19 Jan 2025</t>
  </si>
  <si>
    <t>2025-01-21</t>
  </si>
  <si>
    <t>CUST-3588</t>
  </si>
  <si>
    <t>Binders</t>
  </si>
  <si>
    <t>Max Binders 355</t>
  </si>
  <si>
    <t>Failed</t>
  </si>
  <si>
    <t>ORD-2025-10024</t>
  </si>
  <si>
    <t>31-08-2025</t>
  </si>
  <si>
    <t>CUST-7098</t>
  </si>
  <si>
    <t>Bookcases</t>
  </si>
  <si>
    <t>Pro Bookcases 394</t>
  </si>
  <si>
    <t>ORD-2024-10025</t>
  </si>
  <si>
    <t>2024-03-04</t>
  </si>
  <si>
    <t>03/01/2024</t>
  </si>
  <si>
    <t>CUST-1747</t>
  </si>
  <si>
    <t>Diya Patel</t>
  </si>
  <si>
    <t>Max Art 215</t>
  </si>
  <si>
    <t>ORD-2024-10026</t>
  </si>
  <si>
    <t>11-10-2024</t>
  </si>
  <si>
    <t>2024-10-19</t>
  </si>
  <si>
    <t>CUST-1731</t>
  </si>
  <si>
    <t>Assam</t>
  </si>
  <si>
    <t>Guwahati</t>
  </si>
  <si>
    <t>Classic Accessories 478</t>
  </si>
  <si>
    <t>ORD-2024-10027</t>
  </si>
  <si>
    <t>23-11-2024</t>
  </si>
  <si>
    <t>23 Nov 2024</t>
  </si>
  <si>
    <t>CUST-4401</t>
  </si>
  <si>
    <t>Phones</t>
  </si>
  <si>
    <t>Pro Phones 243</t>
  </si>
  <si>
    <t>ORD-2025-10028</t>
  </si>
  <si>
    <t>29 Sep 2025</t>
  </si>
  <si>
    <t>05-10-2025</t>
  </si>
  <si>
    <t>CUST-9875</t>
  </si>
  <si>
    <t>Karnataka</t>
  </si>
  <si>
    <t>Bengaluru</t>
  </si>
  <si>
    <t>Basic Paper 613</t>
  </si>
  <si>
    <t>ORD-2024-10029</t>
  </si>
  <si>
    <t>18-10-2024</t>
  </si>
  <si>
    <t>CUST-1569</t>
  </si>
  <si>
    <t>Gujarat</t>
  </si>
  <si>
    <t>Ahmedabad</t>
  </si>
  <si>
    <t>Prime Phones 698</t>
  </si>
  <si>
    <t>ORD-2025-10030</t>
  </si>
  <si>
    <t>13 Aug 2025</t>
  </si>
  <si>
    <t>13-08-2025</t>
  </si>
  <si>
    <t>CUST-5936</t>
  </si>
  <si>
    <t>Kerala</t>
  </si>
  <si>
    <t>Kochi</t>
  </si>
  <si>
    <t>Pro Phones 442</t>
  </si>
  <si>
    <t>ORD-2024-10031</t>
  </si>
  <si>
    <t>09 Feb 2024</t>
  </si>
  <si>
    <t>02/12/2024</t>
  </si>
  <si>
    <t>CUST-8759</t>
  </si>
  <si>
    <t>Goa</t>
  </si>
  <si>
    <t>Panaji</t>
  </si>
  <si>
    <t>Pro Labels 355</t>
  </si>
  <si>
    <t>ORD-2025-10032</t>
  </si>
  <si>
    <t>15-06-2025</t>
  </si>
  <si>
    <t>19-06-2025</t>
  </si>
  <si>
    <t>CUST-7867</t>
  </si>
  <si>
    <t>Pro Paper 959</t>
  </si>
  <si>
    <t>ORD-2024-10033</t>
  </si>
  <si>
    <t>22-11-2024</t>
  </si>
  <si>
    <t>2024-11-26</t>
  </si>
  <si>
    <t>CUST-6509</t>
  </si>
  <si>
    <t>Basic Phones 242</t>
  </si>
  <si>
    <t>ORD-2024-10034</t>
  </si>
  <si>
    <t>07/22/2024</t>
  </si>
  <si>
    <t>27-07-2024</t>
  </si>
  <si>
    <t>CUST-6660</t>
  </si>
  <si>
    <t>Max Tables 836</t>
  </si>
  <si>
    <t>ORD-2025-10035</t>
  </si>
  <si>
    <t>2025-01-31</t>
  </si>
  <si>
    <t>2025-02-05</t>
  </si>
  <si>
    <t>CUST-2392</t>
  </si>
  <si>
    <t>Elite Chairs 862</t>
  </si>
  <si>
    <t>Unknown</t>
  </si>
  <si>
    <t>ORD-2024-10036</t>
  </si>
  <si>
    <t>29-05-2024</t>
  </si>
  <si>
    <t>29 May 2024</t>
  </si>
  <si>
    <t>CUST-1611</t>
  </si>
  <si>
    <t>Prime Bookcases 414</t>
  </si>
  <si>
    <t>ORD-2024-10037</t>
  </si>
  <si>
    <t>2024-10-25</t>
  </si>
  <si>
    <t>28 Oct 2024</t>
  </si>
  <si>
    <t>CUST-8296</t>
  </si>
  <si>
    <t>Eco Bookcases 220</t>
  </si>
  <si>
    <t>ORD-2025-10038</t>
  </si>
  <si>
    <t>29-07-2025</t>
  </si>
  <si>
    <t>CUST-4646</t>
  </si>
  <si>
    <t>Pro Copiers 830</t>
  </si>
  <si>
    <t>ORD-2024-10039</t>
  </si>
  <si>
    <t>2024-06-17</t>
  </si>
  <si>
    <t>22-06-2024</t>
  </si>
  <si>
    <t>CUST-8235</t>
  </si>
  <si>
    <t>Prime Phones 507</t>
  </si>
  <si>
    <t>ORD-2024-10040</t>
  </si>
  <si>
    <t>12/11/2024</t>
  </si>
  <si>
    <t>2024-12-11</t>
  </si>
  <si>
    <t>CUST-5830</t>
  </si>
  <si>
    <t>Classic Copiers 590</t>
  </si>
  <si>
    <t>ORD-2024-10041</t>
  </si>
  <si>
    <t>10-10-2024</t>
  </si>
  <si>
    <t>16 Oct 2024</t>
  </si>
  <si>
    <t>CUST-7178</t>
  </si>
  <si>
    <t>Eco Copiers 865</t>
  </si>
  <si>
    <t>ORD-2024-10042</t>
  </si>
  <si>
    <t>03/12/2024</t>
  </si>
  <si>
    <t>17-03-2024</t>
  </si>
  <si>
    <t>CUST-3829</t>
  </si>
  <si>
    <t>Classic Bookcases 835</t>
  </si>
  <si>
    <t>ORD-2025-10043</t>
  </si>
  <si>
    <t>2025-10-10</t>
  </si>
  <si>
    <t>15 Oct 2025</t>
  </si>
  <si>
    <t>CUST-6708</t>
  </si>
  <si>
    <t>Jharkhand</t>
  </si>
  <si>
    <t>Ranchi</t>
  </si>
  <si>
    <t>Eco Phones 702</t>
  </si>
  <si>
    <t>ORD-2024-10044</t>
  </si>
  <si>
    <t>07/08/2024</t>
  </si>
  <si>
    <t>07/14/2024</t>
  </si>
  <si>
    <t>CUST-7119</t>
  </si>
  <si>
    <t>Smart Furnishings 956</t>
  </si>
  <si>
    <t>ORD-2024-10045</t>
  </si>
  <si>
    <t>06/22/2024</t>
  </si>
  <si>
    <t>25-06-2024</t>
  </si>
  <si>
    <t>CUST-3373</t>
  </si>
  <si>
    <t>Haryana</t>
  </si>
  <si>
    <t>Gurugram</t>
  </si>
  <si>
    <t>Max Chairs 393</t>
  </si>
  <si>
    <t>ORD-2024-10046</t>
  </si>
  <si>
    <t>18 Jan 2024</t>
  </si>
  <si>
    <t>24-01-2024</t>
  </si>
  <si>
    <t>CUST-8896</t>
  </si>
  <si>
    <t>Prime Art 221</t>
  </si>
  <si>
    <t>ORD-2024-10047</t>
  </si>
  <si>
    <t>19-07-2024</t>
  </si>
  <si>
    <t>CUST-8517</t>
  </si>
  <si>
    <t>Elite Bookcases 671</t>
  </si>
  <si>
    <t>ORD-2024-10048</t>
  </si>
  <si>
    <t>12-08-2024</t>
  </si>
  <si>
    <t>2024-08-12</t>
  </si>
  <si>
    <t>CUST-1987</t>
  </si>
  <si>
    <t>Tamil Nadu</t>
  </si>
  <si>
    <t>Chennai</t>
  </si>
  <si>
    <t>Max Storage 432</t>
  </si>
  <si>
    <t>ORD-2025-10049</t>
  </si>
  <si>
    <t>30 Jan 2025</t>
  </si>
  <si>
    <t>05 Feb 2025</t>
  </si>
  <si>
    <t>CUST-8183</t>
  </si>
  <si>
    <t>Basic Chairs 837</t>
  </si>
  <si>
    <t>ORD-2024-10050</t>
  </si>
  <si>
    <t>2024-04-06</t>
  </si>
  <si>
    <t>13 Apr 2024</t>
  </si>
  <si>
    <t>CUST-2380</t>
  </si>
  <si>
    <t>Classic Copiers 295</t>
  </si>
  <si>
    <t>ORD-2025-10051</t>
  </si>
  <si>
    <t>05/11/2025</t>
  </si>
  <si>
    <t>19 May 2025</t>
  </si>
  <si>
    <t>CUST-8787</t>
  </si>
  <si>
    <t>Pro Copiers 963</t>
  </si>
  <si>
    <t>ORD-2024-10052</t>
  </si>
  <si>
    <t>24 Apr 2024</t>
  </si>
  <si>
    <t>29 Apr 2024</t>
  </si>
  <si>
    <t>CUST-3557</t>
  </si>
  <si>
    <t xml:space="preserve">Ananya Rao </t>
  </si>
  <si>
    <t>Pro Art 907</t>
  </si>
  <si>
    <t>ORD-2024-10053</t>
  </si>
  <si>
    <t>26-10-2024</t>
  </si>
  <si>
    <t>2024-10-28</t>
  </si>
  <si>
    <t>CUST-2778</t>
  </si>
  <si>
    <t>Kabir Singh</t>
  </si>
  <si>
    <t>Pro Chairs 526</t>
  </si>
  <si>
    <t>ORD-2025-10054</t>
  </si>
  <si>
    <t>31 Mar 2025</t>
  </si>
  <si>
    <t>2025-03-31</t>
  </si>
  <si>
    <t>CUST-7195</t>
  </si>
  <si>
    <t>Elite Storage 924</t>
  </si>
  <si>
    <t>ORD-2025-10055</t>
  </si>
  <si>
    <t>30 May 2025</t>
  </si>
  <si>
    <t>2025-06-02</t>
  </si>
  <si>
    <t>CUST-9039</t>
  </si>
  <si>
    <t>Pro Labels 957</t>
  </si>
  <si>
    <t>ORD-2025-10056</t>
  </si>
  <si>
    <t>01-07-2025</t>
  </si>
  <si>
    <t>03-07-2025</t>
  </si>
  <si>
    <t>CUST-9821</t>
  </si>
  <si>
    <t>Machines</t>
  </si>
  <si>
    <t>Classic Machines 310</t>
  </si>
  <si>
    <t>ORD-2025-10057</t>
  </si>
  <si>
    <t>2025-01-05</t>
  </si>
  <si>
    <t>06-01-2025</t>
  </si>
  <si>
    <t>CUST-8701</t>
  </si>
  <si>
    <t>Smart Binders 393</t>
  </si>
  <si>
    <t>ORD-2024-10058</t>
  </si>
  <si>
    <t>2024-02-07</t>
  </si>
  <si>
    <t>15 Feb 2024</t>
  </si>
  <si>
    <t>CUST-9941</t>
  </si>
  <si>
    <t>Max Chairs 813</t>
  </si>
  <si>
    <t>ORD-2024-10059</t>
  </si>
  <si>
    <t>2024-09-01</t>
  </si>
  <si>
    <t>2024-09-07</t>
  </si>
  <si>
    <t>CUST-3983</t>
  </si>
  <si>
    <t>Basic Storage 872</t>
  </si>
  <si>
    <t>ORD-2024-10060</t>
  </si>
  <si>
    <t>20-07-2024</t>
  </si>
  <si>
    <t>25 Jul 2024</t>
  </si>
  <si>
    <t>CUST-2418</t>
  </si>
  <si>
    <t>Smart Labels 655</t>
  </si>
  <si>
    <t>ORD-2024-10061</t>
  </si>
  <si>
    <t>07/13/2024</t>
  </si>
  <si>
    <t>2024-07-19</t>
  </si>
  <si>
    <t>CUST-2892</t>
  </si>
  <si>
    <t>Eco Labels 210</t>
  </si>
  <si>
    <t>ORD-2024-10062</t>
  </si>
  <si>
    <t>16 Apr 2024</t>
  </si>
  <si>
    <t>04/16/2024</t>
  </si>
  <si>
    <t>CUST-7008</t>
  </si>
  <si>
    <t>Classic Bookcases 296</t>
  </si>
  <si>
    <t>ORD-2024-10063</t>
  </si>
  <si>
    <t>30 Oct 2024</t>
  </si>
  <si>
    <t>02-11-2024</t>
  </si>
  <si>
    <t>CUST-4900</t>
  </si>
  <si>
    <t>Basic Phones 230</t>
  </si>
  <si>
    <t>ORD-2024-10064</t>
  </si>
  <si>
    <t>2024-01-25</t>
  </si>
  <si>
    <t>01-02-2024</t>
  </si>
  <si>
    <t>CUST-5382</t>
  </si>
  <si>
    <t>Pro Binders 690</t>
  </si>
  <si>
    <t>ORD-2024-10065</t>
  </si>
  <si>
    <t>2024-12-23</t>
  </si>
  <si>
    <t>12/29/2024</t>
  </si>
  <si>
    <t>CUST-2749</t>
  </si>
  <si>
    <t>Classic Paper 458</t>
  </si>
  <si>
    <t>ORD-2024-10066</t>
  </si>
  <si>
    <t>22 Apr 2024</t>
  </si>
  <si>
    <t>2024-04-27</t>
  </si>
  <si>
    <t>CUST-2463</t>
  </si>
  <si>
    <t>Pro Paper 552</t>
  </si>
  <si>
    <t>ORD-2025-10067</t>
  </si>
  <si>
    <t>08/28/2025</t>
  </si>
  <si>
    <t>01 Sep 2025</t>
  </si>
  <si>
    <t>CUST-1504</t>
  </si>
  <si>
    <t>Elite Accessories 187</t>
  </si>
  <si>
    <t>ORD-2025-10068</t>
  </si>
  <si>
    <t>03 Feb 2025</t>
  </si>
  <si>
    <t>07-02-2025</t>
  </si>
  <si>
    <t>CUST-8282</t>
  </si>
  <si>
    <t>Eco Paper 922</t>
  </si>
  <si>
    <t>ORD-2024-10069</t>
  </si>
  <si>
    <t>13 Nov 2024</t>
  </si>
  <si>
    <t>CUST-6054</t>
  </si>
  <si>
    <t>Pro Storage 975</t>
  </si>
  <si>
    <t>ORD-2024-10070</t>
  </si>
  <si>
    <t>09 Apr 2024</t>
  </si>
  <si>
    <t>04/14/2024</t>
  </si>
  <si>
    <t>CUST-5979</t>
  </si>
  <si>
    <t>Prime Machines 782</t>
  </si>
  <si>
    <t>ORD-2025-10071</t>
  </si>
  <si>
    <t>2025-08-22</t>
  </si>
  <si>
    <t>27 Aug 2025</t>
  </si>
  <si>
    <t>CUST-5582</t>
  </si>
  <si>
    <t>Max Phones 661</t>
  </si>
  <si>
    <t>ORD-2025-10072</t>
  </si>
  <si>
    <t>2025-04-23</t>
  </si>
  <si>
    <t>CUST-3308</t>
  </si>
  <si>
    <t>Elite Machines 836</t>
  </si>
  <si>
    <t>ORD-2024-10073</t>
  </si>
  <si>
    <t>2024-02-11</t>
  </si>
  <si>
    <t>07 Feb 2024</t>
  </si>
  <si>
    <t>CUST-5018</t>
  </si>
  <si>
    <t>Prime Tables 902</t>
  </si>
  <si>
    <t>ORD-2025-10074</t>
  </si>
  <si>
    <t>29-03-2025</t>
  </si>
  <si>
    <t>04/03/2025</t>
  </si>
  <si>
    <t>CUST-2342</t>
  </si>
  <si>
    <t>Smart Bookcases 167</t>
  </si>
  <si>
    <t>ORD-2025-10075</t>
  </si>
  <si>
    <t>02/27/2025</t>
  </si>
  <si>
    <t>2025-03-01</t>
  </si>
  <si>
    <t>CUST-6201</t>
  </si>
  <si>
    <t>Max Chairs 244</t>
  </si>
  <si>
    <t>ORD-2025-10076</t>
  </si>
  <si>
    <t>22-08-2025</t>
  </si>
  <si>
    <t>08/27/2025</t>
  </si>
  <si>
    <t>CUST-5808</t>
  </si>
  <si>
    <t>Eco Labels 653</t>
  </si>
  <si>
    <t>ORD-2024-10077</t>
  </si>
  <si>
    <t>03 Nov 2024</t>
  </si>
  <si>
    <t>11-11-2024</t>
  </si>
  <si>
    <t>CUST-2642</t>
  </si>
  <si>
    <t>Max Labels 617</t>
  </si>
  <si>
    <t>ORD-2025-10078</t>
  </si>
  <si>
    <t>07/08/2025</t>
  </si>
  <si>
    <t>12-07-2025</t>
  </si>
  <si>
    <t>CUST-4385</t>
  </si>
  <si>
    <t>Pro Furnishings 529</t>
  </si>
  <si>
    <t>ORD-2025-10079</t>
  </si>
  <si>
    <t>07/16/2025</t>
  </si>
  <si>
    <t>21-07-2025</t>
  </si>
  <si>
    <t>CUST-8043</t>
  </si>
  <si>
    <t>Smart Tables 561</t>
  </si>
  <si>
    <t>ORD-2025-10080</t>
  </si>
  <si>
    <t>2025-09-27</t>
  </si>
  <si>
    <t>2025-10-03</t>
  </si>
  <si>
    <t>CUST-9978</t>
  </si>
  <si>
    <t>Prime Chairs 838</t>
  </si>
  <si>
    <t>ORD-2024-10081</t>
  </si>
  <si>
    <t>2024-08-10</t>
  </si>
  <si>
    <t>2024-08-14</t>
  </si>
  <si>
    <t>CUST-2094</t>
  </si>
  <si>
    <t>Delhi</t>
  </si>
  <si>
    <t>New Delhi</t>
  </si>
  <si>
    <t>Elite Storage 371</t>
  </si>
  <si>
    <t>ORD-2025-10082</t>
  </si>
  <si>
    <t>2025-03-16</t>
  </si>
  <si>
    <t>17-03-2025</t>
  </si>
  <si>
    <t>CUST-7907</t>
  </si>
  <si>
    <t>Eco Labels 662</t>
  </si>
  <si>
    <t>ORD-2024-10083</t>
  </si>
  <si>
    <t>2024-08-03</t>
  </si>
  <si>
    <t>04-08-2024</t>
  </si>
  <si>
    <t>CUST-6516</t>
  </si>
  <si>
    <t>Smart Copiers 702</t>
  </si>
  <si>
    <t>ORD-2024-10084</t>
  </si>
  <si>
    <t>29-10-2024</t>
  </si>
  <si>
    <t>CUST-4989</t>
  </si>
  <si>
    <t>Elite Tables 362</t>
  </si>
  <si>
    <t>ORD-2024-10085</t>
  </si>
  <si>
    <t>01 Oct 2024</t>
  </si>
  <si>
    <t>2024-10-03</t>
  </si>
  <si>
    <t>CUST-3758</t>
  </si>
  <si>
    <t>Elite Phones 781</t>
  </si>
  <si>
    <t>ORD-2024-10086</t>
  </si>
  <si>
    <t>2024-07-30</t>
  </si>
  <si>
    <t>08/05/2024</t>
  </si>
  <si>
    <t>CUST-6702</t>
  </si>
  <si>
    <t>Eco Binders 456</t>
  </si>
  <si>
    <t>ORD-2024-10087</t>
  </si>
  <si>
    <t>01 Jul 2024</t>
  </si>
  <si>
    <t>CUST-9148</t>
  </si>
  <si>
    <t>Basic Copiers 525</t>
  </si>
  <si>
    <t>ORD-2024-10088</t>
  </si>
  <si>
    <t>02-08-2024</t>
  </si>
  <si>
    <t>CUST-5829</t>
  </si>
  <si>
    <t>Eco Binders 258</t>
  </si>
  <si>
    <t>ORD-2024-10089</t>
  </si>
  <si>
    <t>03/24/2024</t>
  </si>
  <si>
    <t>27 Mar 2024</t>
  </si>
  <si>
    <t>CUST-6059</t>
  </si>
  <si>
    <t>Max Bookcases 398</t>
  </si>
  <si>
    <t>ORD-2024-10090</t>
  </si>
  <si>
    <t>CUST-7744</t>
  </si>
  <si>
    <t>Smart Bookcases 857</t>
  </si>
  <si>
    <t>ORD-2025-10091</t>
  </si>
  <si>
    <t>08/24/2025</t>
  </si>
  <si>
    <t>CUST-5909</t>
  </si>
  <si>
    <t>Smart Copiers 556</t>
  </si>
  <si>
    <t>FLAG  FOR REVIEW</t>
  </si>
  <si>
    <t>ORD-2025-10092</t>
  </si>
  <si>
    <t>02-03-2025</t>
  </si>
  <si>
    <t>03/08/2025</t>
  </si>
  <si>
    <t>CUST-6409</t>
  </si>
  <si>
    <t>Prime Copiers 575</t>
  </si>
  <si>
    <t>ORD-2025-10093</t>
  </si>
  <si>
    <t>01/26/2025</t>
  </si>
  <si>
    <t>CUST-3014</t>
  </si>
  <si>
    <t>Elite Paper 669</t>
  </si>
  <si>
    <t>ORD-2024-10094</t>
  </si>
  <si>
    <t>13-01-2024</t>
  </si>
  <si>
    <t>CUST-6106</t>
  </si>
  <si>
    <t>Eco Binders 780</t>
  </si>
  <si>
    <t>ORD-2024-10095</t>
  </si>
  <si>
    <t>09/06/2024</t>
  </si>
  <si>
    <t>09 Sep 2024</t>
  </si>
  <si>
    <t>CUST-1926</t>
  </si>
  <si>
    <t>Elite Phones 723</t>
  </si>
  <si>
    <t>ORD-2025-10096</t>
  </si>
  <si>
    <t>05-09-2025</t>
  </si>
  <si>
    <t>09/10/2025</t>
  </si>
  <si>
    <t>CUST-2687</t>
  </si>
  <si>
    <t>Classic Bookcases 988</t>
  </si>
  <si>
    <t>ORD-2024-10097</t>
  </si>
  <si>
    <t>05 Jun 2024</t>
  </si>
  <si>
    <t>07-06-2024</t>
  </si>
  <si>
    <t>CUST-7283</t>
  </si>
  <si>
    <t>Smart Copiers 547</t>
  </si>
  <si>
    <t>ORD-2025-10098</t>
  </si>
  <si>
    <t>08 Aug 2025</t>
  </si>
  <si>
    <t>2025-08-11</t>
  </si>
  <si>
    <t>CUST-8111</t>
  </si>
  <si>
    <t>Basic Storage 656</t>
  </si>
  <si>
    <t>ORD-2024-10099</t>
  </si>
  <si>
    <t>2024-01-26</t>
  </si>
  <si>
    <t>02/01/2024</t>
  </si>
  <si>
    <t>CUST-5434</t>
  </si>
  <si>
    <t>Elite Copiers 785</t>
  </si>
  <si>
    <t>ORD-2025-10100</t>
  </si>
  <si>
    <t>11-01-2025</t>
  </si>
  <si>
    <t>CUST-3865</t>
  </si>
  <si>
    <t>Smart Accessories 542</t>
  </si>
  <si>
    <t>ORD-2025-10101</t>
  </si>
  <si>
    <t>12 Sep 2025</t>
  </si>
  <si>
    <t>18 Sep 2025</t>
  </si>
  <si>
    <t>CUST-6015</t>
  </si>
  <si>
    <t>Eco Storage 936</t>
  </si>
  <si>
    <t>ORD-2024-10102</t>
  </si>
  <si>
    <t>26-06-2024</t>
  </si>
  <si>
    <t>CUST-7909</t>
  </si>
  <si>
    <t>Classic Furnishings 682</t>
  </si>
  <si>
    <t>ORD-2025-10103</t>
  </si>
  <si>
    <t>12 Jul 2025</t>
  </si>
  <si>
    <t>2025-07-16</t>
  </si>
  <si>
    <t>CUST-9603</t>
  </si>
  <si>
    <t>Classic Chairs 604</t>
  </si>
  <si>
    <t>ORD-2025-10104</t>
  </si>
  <si>
    <t>05/02/2025</t>
  </si>
  <si>
    <t>05/10/2025</t>
  </si>
  <si>
    <t>CUST-6263</t>
  </si>
  <si>
    <t>Prime Tables 377</t>
  </si>
  <si>
    <t>ORD-2025-10105</t>
  </si>
  <si>
    <t>2025-02-01</t>
  </si>
  <si>
    <t>02/08/2025</t>
  </si>
  <si>
    <t>CUST-1576</t>
  </si>
  <si>
    <t>Prime Labels 807</t>
  </si>
  <si>
    <t>ORD-2024-10106</t>
  </si>
  <si>
    <t>06/24/2024</t>
  </si>
  <si>
    <t>29-06-2024</t>
  </si>
  <si>
    <t>CUST-6540</t>
  </si>
  <si>
    <t>Eco Tables 575</t>
  </si>
  <si>
    <t>ORD-2024-10107</t>
  </si>
  <si>
    <t>20-02-2024</t>
  </si>
  <si>
    <t>28 Feb 2024</t>
  </si>
  <si>
    <t>CUST-4008</t>
  </si>
  <si>
    <t>Eco Paper 918</t>
  </si>
  <si>
    <t>ORD-2024-10108</t>
  </si>
  <si>
    <t>29 Oct 2024</t>
  </si>
  <si>
    <t>2024-11-04</t>
  </si>
  <si>
    <t>CUST-6604</t>
  </si>
  <si>
    <t>Prime Furnishings 952</t>
  </si>
  <si>
    <t>ORD-2024-10109</t>
  </si>
  <si>
    <t>15 Aug 2024</t>
  </si>
  <si>
    <t>08/23/2024</t>
  </si>
  <si>
    <t>CUST-4337</t>
  </si>
  <si>
    <t>Prime Bookcases 631</t>
  </si>
  <si>
    <t>ORD-2025-10110</t>
  </si>
  <si>
    <t>23-08-2025</t>
  </si>
  <si>
    <t>CUST-3740</t>
  </si>
  <si>
    <t>Classic Binders 660</t>
  </si>
  <si>
    <t>ORD-2024-10111</t>
  </si>
  <si>
    <t>10/18/2024</t>
  </si>
  <si>
    <t>2024-10-24</t>
  </si>
  <si>
    <t>CUST-7128</t>
  </si>
  <si>
    <t>Pro Labels 255</t>
  </si>
  <si>
    <t>ORD-2025-10112</t>
  </si>
  <si>
    <t>06/27/2025</t>
  </si>
  <si>
    <t>2025-06-30</t>
  </si>
  <si>
    <t>CUST-4743</t>
  </si>
  <si>
    <t>Basic Accessories 187</t>
  </si>
  <si>
    <t>ORD-2024-10113</t>
  </si>
  <si>
    <t>10 Jan 2024</t>
  </si>
  <si>
    <t>14-01-2024</t>
  </si>
  <si>
    <t>CUST-5213</t>
  </si>
  <si>
    <t>Max Accessories 451</t>
  </si>
  <si>
    <t>ORD-2024-10114</t>
  </si>
  <si>
    <t>12-02-2024</t>
  </si>
  <si>
    <t>Classic Tables 752</t>
  </si>
  <si>
    <t>ORD-2024-10115</t>
  </si>
  <si>
    <t>2024-09-25</t>
  </si>
  <si>
    <t>30 Sep 2024</t>
  </si>
  <si>
    <t>CUST-2927</t>
  </si>
  <si>
    <t>Eco Accessories 452</t>
  </si>
  <si>
    <t>ORD-2024-10116</t>
  </si>
  <si>
    <t>2024-12-27</t>
  </si>
  <si>
    <t>01-01-2025</t>
  </si>
  <si>
    <t>CUST-7764</t>
  </si>
  <si>
    <t>Classic Binders 203</t>
  </si>
  <si>
    <t>ORD-2025-10117</t>
  </si>
  <si>
    <t>2025-02-15</t>
  </si>
  <si>
    <t>19 Feb 2025</t>
  </si>
  <si>
    <t>CUST-3632</t>
  </si>
  <si>
    <t>Basic Binders 859</t>
  </si>
  <si>
    <t>ORD-2024-10118</t>
  </si>
  <si>
    <t>2024-02-15</t>
  </si>
  <si>
    <t>17 Feb 2024</t>
  </si>
  <si>
    <t>CUST-9608</t>
  </si>
  <si>
    <t>Elite Machines 705</t>
  </si>
  <si>
    <t>70%</t>
  </si>
  <si>
    <t>ORD-2024-10119</t>
  </si>
  <si>
    <t>06/10/2024</t>
  </si>
  <si>
    <t>2024-06-18</t>
  </si>
  <si>
    <t>CUST-9135</t>
  </si>
  <si>
    <t>Vikram  Iyer</t>
  </si>
  <si>
    <t>Pro Copiers 208</t>
  </si>
  <si>
    <t>ORD-2024-10120</t>
  </si>
  <si>
    <t>12 Jun 2024</t>
  </si>
  <si>
    <t>19 Jun 2024</t>
  </si>
  <si>
    <t>CUST-7861</t>
  </si>
  <si>
    <t>Elite Chairs 921</t>
  </si>
  <si>
    <t>ORD-2024-10121</t>
  </si>
  <si>
    <t>2024-08-18</t>
  </si>
  <si>
    <t>CUST-6096</t>
  </si>
  <si>
    <t>Prime Phones 540</t>
  </si>
  <si>
    <t>ORD-2025-10122</t>
  </si>
  <si>
    <t>08/22/2025</t>
  </si>
  <si>
    <t>08/26/2025</t>
  </si>
  <si>
    <t>CUST-2044</t>
  </si>
  <si>
    <t>Max Machines 948</t>
  </si>
  <si>
    <t>ORD-2024-10123</t>
  </si>
  <si>
    <t>11/30/2024</t>
  </si>
  <si>
    <t>04-12-2024</t>
  </si>
  <si>
    <t>CUST-1721</t>
  </si>
  <si>
    <t>Max Chairs 786</t>
  </si>
  <si>
    <t>ORD-2024-10124</t>
  </si>
  <si>
    <t>05/24/2024</t>
  </si>
  <si>
    <t>25 May 2024</t>
  </si>
  <si>
    <t>CUST-1007</t>
  </si>
  <si>
    <t>Max Copiers 970</t>
  </si>
  <si>
    <t>FLAG FOR REVIEW</t>
  </si>
  <si>
    <t>ORD-2024-10125</t>
  </si>
  <si>
    <t>07/24/2024</t>
  </si>
  <si>
    <t>CUST-4450</t>
  </si>
  <si>
    <t>Pro Copiers 769</t>
  </si>
  <si>
    <t>ORD-2025-10126</t>
  </si>
  <si>
    <t>2025-07-17</t>
  </si>
  <si>
    <t>18-07-2025</t>
  </si>
  <si>
    <t>CUST-7924</t>
  </si>
  <si>
    <t>Basic Tables 753</t>
  </si>
  <si>
    <t>ORD-2025-10127</t>
  </si>
  <si>
    <t>24-09-2025</t>
  </si>
  <si>
    <t>26 Sep 2025</t>
  </si>
  <si>
    <t>CUST-1715</t>
  </si>
  <si>
    <t>Prime Copiers 651</t>
  </si>
  <si>
    <t>ORD-2025-10128</t>
  </si>
  <si>
    <t>26-01-2025</t>
  </si>
  <si>
    <t>CUST-6802</t>
  </si>
  <si>
    <t>Basic Storage 321</t>
  </si>
  <si>
    <t>ORD-2024-10129</t>
  </si>
  <si>
    <t>13 Dec 2024</t>
  </si>
  <si>
    <t>16 Dec 2024</t>
  </si>
  <si>
    <t>CUST-9328</t>
  </si>
  <si>
    <t>Prime Furnishings 710</t>
  </si>
  <si>
    <t>ORD-2024-10130</t>
  </si>
  <si>
    <t>25-07-2024</t>
  </si>
  <si>
    <t>CUST-2588</t>
  </si>
  <si>
    <t>Elite Binders 723</t>
  </si>
  <si>
    <t>ORD-2024-10131</t>
  </si>
  <si>
    <t>2024-01-27</t>
  </si>
  <si>
    <t>02 Feb 2024</t>
  </si>
  <si>
    <t>CUST-5435</t>
  </si>
  <si>
    <t>Smart Labels 878</t>
  </si>
  <si>
    <t>ORD-2025-10132</t>
  </si>
  <si>
    <t>09/29/2025</t>
  </si>
  <si>
    <t>2025-10-04</t>
  </si>
  <si>
    <t>CUST-7637</t>
  </si>
  <si>
    <t>Pro Paper 934</t>
  </si>
  <si>
    <t>ORD-2024-10133</t>
  </si>
  <si>
    <t>04 Nov 2024</t>
  </si>
  <si>
    <t>CUST-3602</t>
  </si>
  <si>
    <t>Classic Machines 886</t>
  </si>
  <si>
    <t>ORD-2024-10134</t>
  </si>
  <si>
    <t>2024-12-13</t>
  </si>
  <si>
    <t>12/18/2024</t>
  </si>
  <si>
    <t>CUST-9441</t>
  </si>
  <si>
    <t>Prime Phones 419</t>
  </si>
  <si>
    <t>ORD-2025-10135</t>
  </si>
  <si>
    <t>07/14/2025</t>
  </si>
  <si>
    <t>2025-07-14</t>
  </si>
  <si>
    <t>CUST-7361</t>
  </si>
  <si>
    <t>Elite Bookcases 266</t>
  </si>
  <si>
    <t>ORD-2025-10136</t>
  </si>
  <si>
    <t>2025-08-24</t>
  </si>
  <si>
    <t>CUST-1148</t>
  </si>
  <si>
    <t>Prime Bookcases 954</t>
  </si>
  <si>
    <t>ORD-2025-10137</t>
  </si>
  <si>
    <t>09-02-2025</t>
  </si>
  <si>
    <t>15-02-2025</t>
  </si>
  <si>
    <t>CUST-3350</t>
  </si>
  <si>
    <t>Max Binders 362</t>
  </si>
  <si>
    <t>ORD-2025-10138</t>
  </si>
  <si>
    <t>01/09/2025</t>
  </si>
  <si>
    <t>2025-01-09</t>
  </si>
  <si>
    <t>CUST-7932</t>
  </si>
  <si>
    <t>Prime Chairs 261</t>
  </si>
  <si>
    <t>ORD-2024-10139</t>
  </si>
  <si>
    <t>2024-01-20</t>
  </si>
  <si>
    <t>26-01-2024</t>
  </si>
  <si>
    <t>CUST-7173</t>
  </si>
  <si>
    <t>Basic Machines 185</t>
  </si>
  <si>
    <t>ORD-2025-10140</t>
  </si>
  <si>
    <t>03/02/2025</t>
  </si>
  <si>
    <t>07-03-2025</t>
  </si>
  <si>
    <t>CUST-4225</t>
  </si>
  <si>
    <t>Basic Labels 509</t>
  </si>
  <si>
    <t>ORD-2024-10141</t>
  </si>
  <si>
    <t>31-05-2024</t>
  </si>
  <si>
    <t>01 Jun 2024</t>
  </si>
  <si>
    <t>CUST-2149</t>
  </si>
  <si>
    <t>Elite Bookcases 696</t>
  </si>
  <si>
    <t>ORD-2024-10142</t>
  </si>
  <si>
    <t>03/23/2024</t>
  </si>
  <si>
    <t>2024-03-29</t>
  </si>
  <si>
    <t>CUST-3314</t>
  </si>
  <si>
    <t>Elite Bookcases 772</t>
  </si>
  <si>
    <t>ORD-2024-10143</t>
  </si>
  <si>
    <t>30 Mar 2024</t>
  </si>
  <si>
    <t>26 Mar 2024</t>
  </si>
  <si>
    <t>CUST-8944</t>
  </si>
  <si>
    <t>Classic Phones 142</t>
  </si>
  <si>
    <t>ORD-2024-10144</t>
  </si>
  <si>
    <t>2024-03-26</t>
  </si>
  <si>
    <t>CUST-3144</t>
  </si>
  <si>
    <t>Pro Paper 575</t>
  </si>
  <si>
    <t>ORD-2024-10145</t>
  </si>
  <si>
    <t>2024-06-15</t>
  </si>
  <si>
    <t>CUST-6747</t>
  </si>
  <si>
    <t>Elite Accessories 905</t>
  </si>
  <si>
    <t>ORD-2025-10146</t>
  </si>
  <si>
    <t>11-04-2025</t>
  </si>
  <si>
    <t>04/13/2025</t>
  </si>
  <si>
    <t>CUST-6161</t>
  </si>
  <si>
    <t>Smart Paper 899</t>
  </si>
  <si>
    <t>ORD-2025-10147</t>
  </si>
  <si>
    <t>30 Jul 2025</t>
  </si>
  <si>
    <t>08/01/2025</t>
  </si>
  <si>
    <t>CUST-1460</t>
  </si>
  <si>
    <t>Classic Storage 423</t>
  </si>
  <si>
    <t>ORD-2024-10148</t>
  </si>
  <si>
    <t>23-12-2024</t>
  </si>
  <si>
    <t>2024-12-30</t>
  </si>
  <si>
    <t>CUST-2692</t>
  </si>
  <si>
    <t>Classic Furnishings 743</t>
  </si>
  <si>
    <t>ORD-2025-10149</t>
  </si>
  <si>
    <t>09 Feb 2025</t>
  </si>
  <si>
    <t>13-02-2025</t>
  </si>
  <si>
    <t>CUST-2822</t>
  </si>
  <si>
    <t>Smart Phones 336</t>
  </si>
  <si>
    <t>ORD-2024-10150</t>
  </si>
  <si>
    <t>30-01-2024</t>
  </si>
  <si>
    <t>CUST-5876</t>
  </si>
  <si>
    <t>Eco Copiers 381</t>
  </si>
  <si>
    <t>ORD-2024-10151</t>
  </si>
  <si>
    <t>04-03-2024</t>
  </si>
  <si>
    <t>2024-03-12</t>
  </si>
  <si>
    <t>CUST-4661</t>
  </si>
  <si>
    <t>Max Bookcases 595</t>
  </si>
  <si>
    <t>ORD-2024-10152</t>
  </si>
  <si>
    <t>27 Jun 2024</t>
  </si>
  <si>
    <t>06/27/2024</t>
  </si>
  <si>
    <t>CUST-6011</t>
  </si>
  <si>
    <t>Max Copiers 992</t>
  </si>
  <si>
    <t>ORD-2024-10153</t>
  </si>
  <si>
    <t>14 Jun 2024</t>
  </si>
  <si>
    <t>06/17/2024</t>
  </si>
  <si>
    <t>CUST-6160</t>
  </si>
  <si>
    <t>Pro Tables 407</t>
  </si>
  <si>
    <t>ORD-2025-10154</t>
  </si>
  <si>
    <t>23 Sep 2025</t>
  </si>
  <si>
    <t>2025-09-25</t>
  </si>
  <si>
    <t>CUST-6971</t>
  </si>
  <si>
    <t>Prime Labels 559</t>
  </si>
  <si>
    <t>ORD-2024-10155</t>
  </si>
  <si>
    <t>12 Feb 2024</t>
  </si>
  <si>
    <t>02/11/2024</t>
  </si>
  <si>
    <t>Classic Bookcases 847</t>
  </si>
  <si>
    <t>ORD-2025-10156</t>
  </si>
  <si>
    <t>CUST-8327</t>
  </si>
  <si>
    <t>Classic Furnishings 655</t>
  </si>
  <si>
    <t>ORD-2025-10157</t>
  </si>
  <si>
    <t>27-03-2025</t>
  </si>
  <si>
    <t>27 Mar 2025</t>
  </si>
  <si>
    <t>CUST-4058</t>
  </si>
  <si>
    <t>Eco Machines 657</t>
  </si>
  <si>
    <t>ORD-2024-10158</t>
  </si>
  <si>
    <t>10/22/2024</t>
  </si>
  <si>
    <t>24-10-2024</t>
  </si>
  <si>
    <t>CUST-1142</t>
  </si>
  <si>
    <t>Pro Bookcases 430</t>
  </si>
  <si>
    <t>ORD-2024-10159</t>
  </si>
  <si>
    <t>2024-09-09</t>
  </si>
  <si>
    <t>09/11/2024</t>
  </si>
  <si>
    <t>CUST-2324</t>
  </si>
  <si>
    <t>Max Bookcases 881</t>
  </si>
  <si>
    <t>ORD-2025-10160</t>
  </si>
  <si>
    <t>2025-01-30</t>
  </si>
  <si>
    <t>04-02-2025</t>
  </si>
  <si>
    <t>CUST-7717</t>
  </si>
  <si>
    <t>Elite Chairs 998</t>
  </si>
  <si>
    <t>ORD-2025-10161</t>
  </si>
  <si>
    <t>08-10-2025</t>
  </si>
  <si>
    <t>10/06/2025</t>
  </si>
  <si>
    <t>CUST-4932</t>
  </si>
  <si>
    <t>Max Paper 113</t>
  </si>
  <si>
    <t>ORD-2025-10162</t>
  </si>
  <si>
    <t>2025-07-24</t>
  </si>
  <si>
    <t>30-07-2025</t>
  </si>
  <si>
    <t>CUST-2367</t>
  </si>
  <si>
    <t>Smart Binders 267</t>
  </si>
  <si>
    <t>ORD-2024-10163</t>
  </si>
  <si>
    <t>2024-03-09</t>
  </si>
  <si>
    <t>14 Mar 2024</t>
  </si>
  <si>
    <t>CUST-4830</t>
  </si>
  <si>
    <t>Pro Furnishings 108</t>
  </si>
  <si>
    <t>ORD-2025-10164</t>
  </si>
  <si>
    <t>09/21/2025</t>
  </si>
  <si>
    <t>CUST-2548</t>
  </si>
  <si>
    <t>Elite Tables 389</t>
  </si>
  <si>
    <t>ORD-2025-10165</t>
  </si>
  <si>
    <t>09 Sep 2025</t>
  </si>
  <si>
    <t>09/14/2025</t>
  </si>
  <si>
    <t>CUST-3833</t>
  </si>
  <si>
    <t>Pro Bookcases 595</t>
  </si>
  <si>
    <t>ORD-2024-10166</t>
  </si>
  <si>
    <t>11/22/2024</t>
  </si>
  <si>
    <t>29-11-2024</t>
  </si>
  <si>
    <t>CUST-4598</t>
  </si>
  <si>
    <t>Max Chairs 148</t>
  </si>
  <si>
    <t>ORD-2025-10167</t>
  </si>
  <si>
    <t>20-02-2025</t>
  </si>
  <si>
    <t>CUST-7215</t>
  </si>
  <si>
    <t>Basic Labels 671</t>
  </si>
  <si>
    <t>ORD-2025-10168</t>
  </si>
  <si>
    <t>2025-08-18</t>
  </si>
  <si>
    <t>08/18/2025</t>
  </si>
  <si>
    <t>CUST-7770</t>
  </si>
  <si>
    <t>Elite Storage 628</t>
  </si>
  <si>
    <t>ORD-2025-10169</t>
  </si>
  <si>
    <t>01/20/2025</t>
  </si>
  <si>
    <t>CUST-9756</t>
  </si>
  <si>
    <t>Eco Accessories 590</t>
  </si>
  <si>
    <t>ORD-2025-10170</t>
  </si>
  <si>
    <t>2025-09-13</t>
  </si>
  <si>
    <t>09/13/2025</t>
  </si>
  <si>
    <t>CUST-2261</t>
  </si>
  <si>
    <t>Pro Art 734</t>
  </si>
  <si>
    <t>ORD-2025-10171</t>
  </si>
  <si>
    <t>09/15/2025</t>
  </si>
  <si>
    <t>CUST-3734</t>
  </si>
  <si>
    <t>Eco Copiers 102</t>
  </si>
  <si>
    <t>ORD-2025-10172</t>
  </si>
  <si>
    <t>02/25/2025</t>
  </si>
  <si>
    <t>CUST-3436</t>
  </si>
  <si>
    <t>Basic Labels 876</t>
  </si>
  <si>
    <t>ORD-2025-10173</t>
  </si>
  <si>
    <t>02-08-2025</t>
  </si>
  <si>
    <t>10-08-2025</t>
  </si>
  <si>
    <t>CUST-4845</t>
  </si>
  <si>
    <t>Prime Furnishings 381</t>
  </si>
  <si>
    <t>ORD-2024-10174</t>
  </si>
  <si>
    <t>02-05-2024</t>
  </si>
  <si>
    <t>08 May 2024</t>
  </si>
  <si>
    <t>CUST-6153</t>
  </si>
  <si>
    <t>PRIYA MENON</t>
  </si>
  <si>
    <t>Prime Copiers 440</t>
  </si>
  <si>
    <t>ORD-2025-10175</t>
  </si>
  <si>
    <t>28 Sep 2025</t>
  </si>
  <si>
    <t>04-10-2025</t>
  </si>
  <si>
    <t>CUST-5475</t>
  </si>
  <si>
    <t>Pro Bookcases 319</t>
  </si>
  <si>
    <t>ORD-2024-10176</t>
  </si>
  <si>
    <t>2024-02-03</t>
  </si>
  <si>
    <t>CUST-5580</t>
  </si>
  <si>
    <t>Basic Machines 584</t>
  </si>
  <si>
    <t>ORD-2025-10177</t>
  </si>
  <si>
    <t>18-03-2025</t>
  </si>
  <si>
    <t>03/26/2025</t>
  </si>
  <si>
    <t>CUST-3027</t>
  </si>
  <si>
    <t>Pro Bookcases 612</t>
  </si>
  <si>
    <t>ORD-2024-10178</t>
  </si>
  <si>
    <t>01-06-2024</t>
  </si>
  <si>
    <t>06/03/2024</t>
  </si>
  <si>
    <t>CUST-4399</t>
  </si>
  <si>
    <t>Classic Art 573</t>
  </si>
  <si>
    <t>ORD-2024-10179</t>
  </si>
  <si>
    <t>30-09-2024</t>
  </si>
  <si>
    <t>2024-09-30</t>
  </si>
  <si>
    <t>CUST-3092</t>
  </si>
  <si>
    <t>Eco Art 854</t>
  </si>
  <si>
    <t>ORD-2024-10180</t>
  </si>
  <si>
    <t>2024-03-15</t>
  </si>
  <si>
    <t>03/19/2024</t>
  </si>
  <si>
    <t>CUST-1778</t>
  </si>
  <si>
    <t>Classic Furnishings 996</t>
  </si>
  <si>
    <t>ORD-2024-10181</t>
  </si>
  <si>
    <t>2024-08-26</t>
  </si>
  <si>
    <t>26-08-2024</t>
  </si>
  <si>
    <t>CUST-3787</t>
  </si>
  <si>
    <t>Prime Binders 735</t>
  </si>
  <si>
    <t>ORD-2025-10182</t>
  </si>
  <si>
    <t>09/09/2025</t>
  </si>
  <si>
    <t>10-09-2025</t>
  </si>
  <si>
    <t>CUST-5119</t>
  </si>
  <si>
    <t>Pro Art 587</t>
  </si>
  <si>
    <t>ORD-2024-10183</t>
  </si>
  <si>
    <t>CUST-4121</t>
  </si>
  <si>
    <t>Basic Machines 575</t>
  </si>
  <si>
    <t>ORD-2025-10184</t>
  </si>
  <si>
    <t>2025-06-24</t>
  </si>
  <si>
    <t>27-06-2025</t>
  </si>
  <si>
    <t>CUST-3366</t>
  </si>
  <si>
    <t>Elite Copiers 788</t>
  </si>
  <si>
    <t>ORD-2024-10185</t>
  </si>
  <si>
    <t>2024-04-02</t>
  </si>
  <si>
    <t>CUST-1358</t>
  </si>
  <si>
    <t>Max Bookcases 472</t>
  </si>
  <si>
    <t>ORD-2024-10186</t>
  </si>
  <si>
    <t>2024-11-13</t>
  </si>
  <si>
    <t>CUST-4968</t>
  </si>
  <si>
    <t>Smart Labels 475</t>
  </si>
  <si>
    <t>ORD-2024-10187</t>
  </si>
  <si>
    <t>20 Jul 2024</t>
  </si>
  <si>
    <t>Basic Tables 417</t>
  </si>
  <si>
    <t>ORD-2025-10188</t>
  </si>
  <si>
    <t>2025-05-01</t>
  </si>
  <si>
    <t>02 May 2025</t>
  </si>
  <si>
    <t>CUST-3109</t>
  </si>
  <si>
    <t>Pro Chairs 844</t>
  </si>
  <si>
    <t>ORD-2025-10189</t>
  </si>
  <si>
    <t>2025-05-21</t>
  </si>
  <si>
    <t>28 May 2025</t>
  </si>
  <si>
    <t>CUST-3422</t>
  </si>
  <si>
    <t>Elite Bookcases 883</t>
  </si>
  <si>
    <t>ORD-2025-10190</t>
  </si>
  <si>
    <t>2025-05-06</t>
  </si>
  <si>
    <t>07 May 2025</t>
  </si>
  <si>
    <t>CUST-3375</t>
  </si>
  <si>
    <t>Basic Bookcases 754</t>
  </si>
  <si>
    <t>ORD-2025-10191</t>
  </si>
  <si>
    <t>20-04-2025</t>
  </si>
  <si>
    <t>04/21/2025</t>
  </si>
  <si>
    <t>CUST-5138</t>
  </si>
  <si>
    <t>Eco Storage 158</t>
  </si>
  <si>
    <t>ORD-2024-10192</t>
  </si>
  <si>
    <t>19-10-2024</t>
  </si>
  <si>
    <t>CUST-7410</t>
  </si>
  <si>
    <t>Prime Bookcases 602</t>
  </si>
  <si>
    <t>ORD-2024-10193</t>
  </si>
  <si>
    <t>2024-12-09</t>
  </si>
  <si>
    <t>12/16/2024</t>
  </si>
  <si>
    <t>CUST-7115</t>
  </si>
  <si>
    <t>Eco Chairs 438</t>
  </si>
  <si>
    <t>ORD-2024-10194</t>
  </si>
  <si>
    <t>2024-06-23</t>
  </si>
  <si>
    <t>28-06-2024</t>
  </si>
  <si>
    <t>CUST-9853</t>
  </si>
  <si>
    <t>Prime Copiers 142</t>
  </si>
  <si>
    <t>ORD-2025-10195</t>
  </si>
  <si>
    <t>2025-01-28</t>
  </si>
  <si>
    <t>01/31/2025</t>
  </si>
  <si>
    <t>CUST-3637</t>
  </si>
  <si>
    <t>Prime Furnishings 433</t>
  </si>
  <si>
    <t>ORD-2025-10196</t>
  </si>
  <si>
    <t>22 Jul 2025</t>
  </si>
  <si>
    <t>07/24/2025</t>
  </si>
  <si>
    <t>CUST-4328</t>
  </si>
  <si>
    <t>Smart Furnishings 685</t>
  </si>
  <si>
    <t>ORD-2024-10197</t>
  </si>
  <si>
    <t>22-01-2024</t>
  </si>
  <si>
    <t>25 Jan 2024</t>
  </si>
  <si>
    <t>CUST-8028</t>
  </si>
  <si>
    <t>Elite Storage 915</t>
  </si>
  <si>
    <t>ORD-2025-10198</t>
  </si>
  <si>
    <t>07-04-2025</t>
  </si>
  <si>
    <t>Basic Storage 961</t>
  </si>
  <si>
    <t>ORD-2024-10199</t>
  </si>
  <si>
    <t>05-06-2024</t>
  </si>
  <si>
    <t>06/06/2024</t>
  </si>
  <si>
    <t>CUST-7820</t>
  </si>
  <si>
    <t>Classic Art 968</t>
  </si>
  <si>
    <t>ORD-2024-10200</t>
  </si>
  <si>
    <t>12-03-2024</t>
  </si>
  <si>
    <t>CUST-4536</t>
  </si>
  <si>
    <t>Prime Machines 806</t>
  </si>
  <si>
    <t>ORD-2025-10201</t>
  </si>
  <si>
    <t>05 Jul 2025</t>
  </si>
  <si>
    <t>CUST-7047</t>
  </si>
  <si>
    <t>Classic Copiers 479</t>
  </si>
  <si>
    <t>ORD-2025-10202</t>
  </si>
  <si>
    <t>26-07-2025</t>
  </si>
  <si>
    <t>08/03/2025</t>
  </si>
  <si>
    <t>CUST-8005</t>
  </si>
  <si>
    <t>Basic Labels 511</t>
  </si>
  <si>
    <t>ORD-2025-10203</t>
  </si>
  <si>
    <t>2025-03-28</t>
  </si>
  <si>
    <t>28 Mar 2025</t>
  </si>
  <si>
    <t>CUST-9378</t>
  </si>
  <si>
    <t>Prime Accessories 733</t>
  </si>
  <si>
    <t>ORD-2024-10204</t>
  </si>
  <si>
    <t>28 Mar 2024</t>
  </si>
  <si>
    <t>2024-03-30</t>
  </si>
  <si>
    <t>CUST-3384</t>
  </si>
  <si>
    <t>Max Accessories 186</t>
  </si>
  <si>
    <t>ORD-2025-10205</t>
  </si>
  <si>
    <t>20-07-2025</t>
  </si>
  <si>
    <t>2025-07-23</t>
  </si>
  <si>
    <t>CUST-1986</t>
  </si>
  <si>
    <t>Elite Tables 318</t>
  </si>
  <si>
    <t>ORD-2025-10206</t>
  </si>
  <si>
    <t>21-04-2025</t>
  </si>
  <si>
    <t>04/26/2025</t>
  </si>
  <si>
    <t>CUST-3338</t>
  </si>
  <si>
    <t>Smart Labels 354</t>
  </si>
  <si>
    <t>ORD-2025-10207</t>
  </si>
  <si>
    <t>05/18/2025</t>
  </si>
  <si>
    <t>CUST-2343</t>
  </si>
  <si>
    <t>Pro Furnishings 981</t>
  </si>
  <si>
    <t>ORD-2024-10208</t>
  </si>
  <si>
    <t>10 Jul 2024</t>
  </si>
  <si>
    <t>2024-07-16</t>
  </si>
  <si>
    <t>CUST-3362</t>
  </si>
  <si>
    <t>Eco Bookcases 671</t>
  </si>
  <si>
    <t>ORD-2025-10209</t>
  </si>
  <si>
    <t>06/29/2025</t>
  </si>
  <si>
    <t>05-07-2025</t>
  </si>
  <si>
    <t>CUST-3662</t>
  </si>
  <si>
    <t>Max Chairs 151</t>
  </si>
  <si>
    <t>ORD-2025-10210</t>
  </si>
  <si>
    <t>08/13/2025</t>
  </si>
  <si>
    <t>08/14/2025</t>
  </si>
  <si>
    <t>CUST-4947</t>
  </si>
  <si>
    <t>Prime Paper 903</t>
  </si>
  <si>
    <t>ORD-2024-10211</t>
  </si>
  <si>
    <t>03/15/2024</t>
  </si>
  <si>
    <t>18-03-2024</t>
  </si>
  <si>
    <t>CUST-3076</t>
  </si>
  <si>
    <t>Classic Machines 944</t>
  </si>
  <si>
    <t>ORD-2024-10212</t>
  </si>
  <si>
    <t>05/16/2024</t>
  </si>
  <si>
    <t>05/17/2024</t>
  </si>
  <si>
    <t>CUST-2222</t>
  </si>
  <si>
    <t>Basic Copiers 222</t>
  </si>
  <si>
    <t>ORD-2024-10213</t>
  </si>
  <si>
    <t>09/21/2024</t>
  </si>
  <si>
    <t>2024-09-21</t>
  </si>
  <si>
    <t>CUST-3610</t>
  </si>
  <si>
    <t>Max Phones 329</t>
  </si>
  <si>
    <t>ORD-2024-10214</t>
  </si>
  <si>
    <t>15 May 2024</t>
  </si>
  <si>
    <t>21-05-2024</t>
  </si>
  <si>
    <t>CUST-9136</t>
  </si>
  <si>
    <t>Classic Accessories 840</t>
  </si>
  <si>
    <t>ORD-2024-10215</t>
  </si>
  <si>
    <t>17 Mar 2024</t>
  </si>
  <si>
    <t>23-03-2024</t>
  </si>
  <si>
    <t>CUST-1301</t>
  </si>
  <si>
    <t>Classic Accessories 757</t>
  </si>
  <si>
    <t>ORD-2024-10216</t>
  </si>
  <si>
    <t>01-03-2024</t>
  </si>
  <si>
    <t>CUST-8603</t>
  </si>
  <si>
    <t>Prime Paper 286</t>
  </si>
  <si>
    <t>ORD-2025-10217</t>
  </si>
  <si>
    <t>15 Apr 2025</t>
  </si>
  <si>
    <t>CUST-4330</t>
  </si>
  <si>
    <t>Basic Tables 400</t>
  </si>
  <si>
    <t>ORD-2025-10218</t>
  </si>
  <si>
    <t>01-04-2025</t>
  </si>
  <si>
    <t>04/08/2025</t>
  </si>
  <si>
    <t>CUST-4533</t>
  </si>
  <si>
    <t>Basic Bookcases 405</t>
  </si>
  <si>
    <t>ORD-2025-10219</t>
  </si>
  <si>
    <t>26 Feb 2025</t>
  </si>
  <si>
    <t>27-02-2025</t>
  </si>
  <si>
    <t>CUST-8270</t>
  </si>
  <si>
    <t>Classic Bookcases 139</t>
  </si>
  <si>
    <t>ORD-2024-10220</t>
  </si>
  <si>
    <t>06/19/2024</t>
  </si>
  <si>
    <t>CUST-1472</t>
  </si>
  <si>
    <t>Elite Machines 290</t>
  </si>
  <si>
    <t>85%</t>
  </si>
  <si>
    <t>ORD-2024-10221</t>
  </si>
  <si>
    <t>09/03/2024</t>
  </si>
  <si>
    <t>CUST-1031</t>
  </si>
  <si>
    <t>Elite Storage 925</t>
  </si>
  <si>
    <t>ORD-2025-10222</t>
  </si>
  <si>
    <t>12-01-2025</t>
  </si>
  <si>
    <t>2025-01-15</t>
  </si>
  <si>
    <t>CUST-2495</t>
  </si>
  <si>
    <t>Classic Chairs 231</t>
  </si>
  <si>
    <t>ORD-2025-10223</t>
  </si>
  <si>
    <t>04/29/2025</t>
  </si>
  <si>
    <t>CUST-4583</t>
  </si>
  <si>
    <t>Prime Storage 818</t>
  </si>
  <si>
    <t>ORD-2025-10224</t>
  </si>
  <si>
    <t>19-02-2025</t>
  </si>
  <si>
    <t>02/26/2025</t>
  </si>
  <si>
    <t>CUST-5319</t>
  </si>
  <si>
    <t>Elite Furnishings 449</t>
  </si>
  <si>
    <t>ORD-2025-10225</t>
  </si>
  <si>
    <t>10/02/2025</t>
  </si>
  <si>
    <t>08 Oct 2025</t>
  </si>
  <si>
    <t>CUST-9871</t>
  </si>
  <si>
    <t>Classic Furnishings 109</t>
  </si>
  <si>
    <t>ORD-2024-10226</t>
  </si>
  <si>
    <t>02 Sep 2024</t>
  </si>
  <si>
    <t>2024-09-10</t>
  </si>
  <si>
    <t>CUST-1266</t>
  </si>
  <si>
    <t>Classic Phones 548</t>
  </si>
  <si>
    <t>ORD-2025-10227</t>
  </si>
  <si>
    <t>10-04-2025</t>
  </si>
  <si>
    <t>CUST-2545</t>
  </si>
  <si>
    <t>Max Copiers 363</t>
  </si>
  <si>
    <t>ORD-2024-10228</t>
  </si>
  <si>
    <t>2024-07-05</t>
  </si>
  <si>
    <t>12 Jul 2024</t>
  </si>
  <si>
    <t>CUST-2819</t>
  </si>
  <si>
    <t>Prime Binders 507</t>
  </si>
  <si>
    <t>ORD-2024-10229</t>
  </si>
  <si>
    <t>24-04-2024</t>
  </si>
  <si>
    <t>28 Apr 2024</t>
  </si>
  <si>
    <t>CUST-1076</t>
  </si>
  <si>
    <t>Smart Labels 914</t>
  </si>
  <si>
    <t>ORD-2025-10230</t>
  </si>
  <si>
    <t>2025-06-28</t>
  </si>
  <si>
    <t>07/04/2025</t>
  </si>
  <si>
    <t>CUST-1943</t>
  </si>
  <si>
    <t>Smart Bookcases 662</t>
  </si>
  <si>
    <t>ORD-2024-10231</t>
  </si>
  <si>
    <t>03-06-2024</t>
  </si>
  <si>
    <t>CUST-3434</t>
  </si>
  <si>
    <t>Eco Paper 937</t>
  </si>
  <si>
    <t>ORD-2024-10232</t>
  </si>
  <si>
    <t>2024-05-02</t>
  </si>
  <si>
    <t>05/02/2024</t>
  </si>
  <si>
    <t>CUST-9139</t>
  </si>
  <si>
    <t>Max Labels 370</t>
  </si>
  <si>
    <t>ORD-2025-10233</t>
  </si>
  <si>
    <t>2025-06-04</t>
  </si>
  <si>
    <t>2025-06-10</t>
  </si>
  <si>
    <t>CUST-5341</t>
  </si>
  <si>
    <t>Classic Phones 530</t>
  </si>
  <si>
    <t>ORD-2024-10234</t>
  </si>
  <si>
    <t>14-10-2024</t>
  </si>
  <si>
    <t>10/14/2024</t>
  </si>
  <si>
    <t>CUST-3710</t>
  </si>
  <si>
    <t>Smart Bookcases 328</t>
  </si>
  <si>
    <t>ORD-2024-10235</t>
  </si>
  <si>
    <t>09/02/2024</t>
  </si>
  <si>
    <t>03 Sep 2024</t>
  </si>
  <si>
    <t>CUST-9754</t>
  </si>
  <si>
    <t>Eco Furnishings 981</t>
  </si>
  <si>
    <t>ORD-2024-10236</t>
  </si>
  <si>
    <t>11/02/2024</t>
  </si>
  <si>
    <t>11/03/2024</t>
  </si>
  <si>
    <t>CUST-6256</t>
  </si>
  <si>
    <t>Basic Storage 195</t>
  </si>
  <si>
    <t>ORD-2024-10237</t>
  </si>
  <si>
    <t>21 Oct 2024</t>
  </si>
  <si>
    <t>CUST-7113</t>
  </si>
  <si>
    <t>Elite Bookcases 907</t>
  </si>
  <si>
    <t>ORD-2024-10238</t>
  </si>
  <si>
    <t>2024-08-27</t>
  </si>
  <si>
    <t>CUST-3827</t>
  </si>
  <si>
    <t>Smart Copiers 471</t>
  </si>
  <si>
    <t>ORD-2024-10239</t>
  </si>
  <si>
    <t>01/12/2024</t>
  </si>
  <si>
    <t>01/17/2024</t>
  </si>
  <si>
    <t>CUST-2375</t>
  </si>
  <si>
    <t>Prime Storage 625</t>
  </si>
  <si>
    <t>ORD-2024-10240</t>
  </si>
  <si>
    <t>21-09-2024</t>
  </si>
  <si>
    <t>CUST-2233</t>
  </si>
  <si>
    <t>Smart Machines 801</t>
  </si>
  <si>
    <t>ORD-2024-10241</t>
  </si>
  <si>
    <t>17 Dec 2024</t>
  </si>
  <si>
    <t>CUST-9778</t>
  </si>
  <si>
    <t>Max Binders 170</t>
  </si>
  <si>
    <t>ORD-2025-10242</t>
  </si>
  <si>
    <t>07/06/2025</t>
  </si>
  <si>
    <t>06-07-2025</t>
  </si>
  <si>
    <t>CUST-6949</t>
  </si>
  <si>
    <t>Basic Storage 737</t>
  </si>
  <si>
    <t>ORD-2025-10243</t>
  </si>
  <si>
    <t>07 Feb 2025</t>
  </si>
  <si>
    <t>2025-02-07</t>
  </si>
  <si>
    <t>CUST-3430</t>
  </si>
  <si>
    <t>Classic Art 126</t>
  </si>
  <si>
    <t>ORD-2025-10244</t>
  </si>
  <si>
    <t>02 Aug 2025</t>
  </si>
  <si>
    <t>CUST-6310</t>
  </si>
  <si>
    <t>Prime Accessories 243</t>
  </si>
  <si>
    <t>ORD-2024-10245</t>
  </si>
  <si>
    <t>2024-08-24</t>
  </si>
  <si>
    <t>CUST-6008</t>
  </si>
  <si>
    <t>Eco Bookcases 768</t>
  </si>
  <si>
    <t>ORD-2024-10246</t>
  </si>
  <si>
    <t>CUST-1704</t>
  </si>
  <si>
    <t>Pro Chairs 316</t>
  </si>
  <si>
    <t>ORD-2024-10247</t>
  </si>
  <si>
    <t>04 May 2024</t>
  </si>
  <si>
    <t>09 May 2024</t>
  </si>
  <si>
    <t>CUST-1827</t>
  </si>
  <si>
    <t>Classic Machines 819</t>
  </si>
  <si>
    <t>ORD-2024-10248</t>
  </si>
  <si>
    <t>07/25/2024</t>
  </si>
  <si>
    <t>01 Aug 2024</t>
  </si>
  <si>
    <t>CUST-6663</t>
  </si>
  <si>
    <t>Smart Accessories 572</t>
  </si>
  <si>
    <t>ORD-2024-10249</t>
  </si>
  <si>
    <t>06/02/2024</t>
  </si>
  <si>
    <t>CUST-6278</t>
  </si>
  <si>
    <t>Basic Labels 432</t>
  </si>
  <si>
    <t>ORD-2025-10250</t>
  </si>
  <si>
    <t>08/02/2025</t>
  </si>
  <si>
    <t>CUST-2305</t>
  </si>
  <si>
    <t>Classic Furnishings 378</t>
  </si>
  <si>
    <t>ORD-2024-10251</t>
  </si>
  <si>
    <t>02/21/2024</t>
  </si>
  <si>
    <t>02/27/2024</t>
  </si>
  <si>
    <t>CUST-5351</t>
  </si>
  <si>
    <t>Prime Furnishings 781</t>
  </si>
  <si>
    <t>ORD-2025-10252</t>
  </si>
  <si>
    <t>2025-04-06</t>
  </si>
  <si>
    <t>CUST-6268</t>
  </si>
  <si>
    <t>Prime Tables 263</t>
  </si>
  <si>
    <t>ORD-2025-10253</t>
  </si>
  <si>
    <t>25-06-2025</t>
  </si>
  <si>
    <t>CUST-2103</t>
  </si>
  <si>
    <t>Basic Storage 269</t>
  </si>
  <si>
    <t>ORD-2024-10254</t>
  </si>
  <si>
    <t>2024-09-12</t>
  </si>
  <si>
    <t>09/13/2024</t>
  </si>
  <si>
    <t>CUST-5394</t>
  </si>
  <si>
    <t>Classic Phones 442</t>
  </si>
  <si>
    <t>ORD-2025-10255</t>
  </si>
  <si>
    <t>01/01/2025</t>
  </si>
  <si>
    <t>03-01-2025</t>
  </si>
  <si>
    <t>CUST-6853</t>
  </si>
  <si>
    <t>Elite Accessories 978</t>
  </si>
  <si>
    <t>ORD-2025-10256</t>
  </si>
  <si>
    <t>2025-02-04</t>
  </si>
  <si>
    <t>02/10/2025</t>
  </si>
  <si>
    <t>CUST-1549</t>
  </si>
  <si>
    <t>Eco Phones 132</t>
  </si>
  <si>
    <t>ORD-2024-10257</t>
  </si>
  <si>
    <t>2024-11-05</t>
  </si>
  <si>
    <t>CUST-8411</t>
  </si>
  <si>
    <t>Prime Tables 481</t>
  </si>
  <si>
    <t>ORD-2025-10258</t>
  </si>
  <si>
    <t>2025-08-09</t>
  </si>
  <si>
    <t>2025-08-12</t>
  </si>
  <si>
    <t>CUST-5615</t>
  </si>
  <si>
    <t>Smart Accessories 180</t>
  </si>
  <si>
    <t>ORD-2024-10259</t>
  </si>
  <si>
    <t>2025-01-04</t>
  </si>
  <si>
    <t>CUST-8467</t>
  </si>
  <si>
    <t>Smart Tables 774</t>
  </si>
  <si>
    <t>ORD-2024-10260</t>
  </si>
  <si>
    <t>06/21/2024</t>
  </si>
  <si>
    <t>29 Jun 2024</t>
  </si>
  <si>
    <t>CUST-5174</t>
  </si>
  <si>
    <t>Prime Machines 793</t>
  </si>
  <si>
    <t>ORD-2025-10261</t>
  </si>
  <si>
    <t>2025-09-23</t>
  </si>
  <si>
    <t>09/27/2025</t>
  </si>
  <si>
    <t>CUST-3543</t>
  </si>
  <si>
    <t>Elite Binders 827</t>
  </si>
  <si>
    <t>ORD-2025-10262</t>
  </si>
  <si>
    <t>06/18/2025</t>
  </si>
  <si>
    <t>06/24/2025</t>
  </si>
  <si>
    <t>CUST-7623</t>
  </si>
  <si>
    <t>Prime Labels 326</t>
  </si>
  <si>
    <t>ORD-2025-10263</t>
  </si>
  <si>
    <t>2025-05-26</t>
  </si>
  <si>
    <t>01 Jun 2025</t>
  </si>
  <si>
    <t>Eco Phones 245</t>
  </si>
  <si>
    <t>ORD-2025-10264</t>
  </si>
  <si>
    <t>06 Aug 2025</t>
  </si>
  <si>
    <t>CUST-8265</t>
  </si>
  <si>
    <t>Smart Binders 905</t>
  </si>
  <si>
    <t>ORD-2024-10265</t>
  </si>
  <si>
    <t>16-05-2024</t>
  </si>
  <si>
    <t>05/21/2024</t>
  </si>
  <si>
    <t>CUST-4750</t>
  </si>
  <si>
    <t>Pro Copiers 599</t>
  </si>
  <si>
    <t>ORD-2024-10266</t>
  </si>
  <si>
    <t>14 Nov 2024</t>
  </si>
  <si>
    <t>CUST-3974</t>
  </si>
  <si>
    <t>Basic Bookcases 570</t>
  </si>
  <si>
    <t>ORD-2025-10267</t>
  </si>
  <si>
    <t>2025-05-03</t>
  </si>
  <si>
    <t>2025-05-10</t>
  </si>
  <si>
    <t>CUST-7114</t>
  </si>
  <si>
    <t>Classic Storage 926</t>
  </si>
  <si>
    <t>ORD-2025-10268</t>
  </si>
  <si>
    <t>04-06-2025</t>
  </si>
  <si>
    <t>CUST-4431</t>
  </si>
  <si>
    <t>Basic Furnishings 372</t>
  </si>
  <si>
    <t>ORD-2025-10269</t>
  </si>
  <si>
    <t>08/17/2025</t>
  </si>
  <si>
    <t>CUST-1488</t>
  </si>
  <si>
    <t>Prime Accessories 367</t>
  </si>
  <si>
    <t>ORD-2025-10270</t>
  </si>
  <si>
    <t>02/12/2025</t>
  </si>
  <si>
    <t>CUST-1586</t>
  </si>
  <si>
    <t>Max Tables 526</t>
  </si>
  <si>
    <t>ORD-2024-10271</t>
  </si>
  <si>
    <t>CUST-2487</t>
  </si>
  <si>
    <t>Prime Machines 794</t>
  </si>
  <si>
    <t>ORD-2024-10272</t>
  </si>
  <si>
    <t>21 Dec 2024</t>
  </si>
  <si>
    <t>25 Dec 2024</t>
  </si>
  <si>
    <t>CUST-8009</t>
  </si>
  <si>
    <t>Max Binders 927</t>
  </si>
  <si>
    <t>ORD-2024-10273</t>
  </si>
  <si>
    <t>08/18/2024</t>
  </si>
  <si>
    <t>24 Aug 2024</t>
  </si>
  <si>
    <t>CUST-7389</t>
  </si>
  <si>
    <t>Eco Chairs 314</t>
  </si>
  <si>
    <t>ORD-2025-10274</t>
  </si>
  <si>
    <t>02/13/2025</t>
  </si>
  <si>
    <t>13 Feb 2025</t>
  </si>
  <si>
    <t>CUST-8249</t>
  </si>
  <si>
    <t>Basic Paper 657</t>
  </si>
  <si>
    <t>ORD-2024-10275</t>
  </si>
  <si>
    <t>07-04-2024</t>
  </si>
  <si>
    <t>14-04-2024</t>
  </si>
  <si>
    <t>CUST-4202</t>
  </si>
  <si>
    <t>Pro Copiers 406</t>
  </si>
  <si>
    <t>ORD-2024-10276</t>
  </si>
  <si>
    <t>02/22/2024</t>
  </si>
  <si>
    <t>CUST-2875</t>
  </si>
  <si>
    <t>Eco Furnishings 678</t>
  </si>
  <si>
    <t>ORD-2024-10277</t>
  </si>
  <si>
    <t>23-01-2024</t>
  </si>
  <si>
    <t>CUST-7039</t>
  </si>
  <si>
    <t>Basic Chairs 141</t>
  </si>
  <si>
    <t>ORD-2025-10278</t>
  </si>
  <si>
    <t>04 Jun 2025</t>
  </si>
  <si>
    <t>Elite Accessories 291</t>
  </si>
  <si>
    <t>ORD-2025-10279</t>
  </si>
  <si>
    <t>2025-03-14</t>
  </si>
  <si>
    <t>CUST-8242</t>
  </si>
  <si>
    <t xml:space="preserve">Priya Menon </t>
  </si>
  <si>
    <t>Pro Accessories 207</t>
  </si>
  <si>
    <t>ORD-2024-10280</t>
  </si>
  <si>
    <t>04/09/2024</t>
  </si>
  <si>
    <t>10 Apr 2024</t>
  </si>
  <si>
    <t>CUST-4571</t>
  </si>
  <si>
    <t>Max Storage 564</t>
  </si>
  <si>
    <t>ORD-2024-10281</t>
  </si>
  <si>
    <t>12/23/2024</t>
  </si>
  <si>
    <t>26-12-2024</t>
  </si>
  <si>
    <t>CUST-4098</t>
  </si>
  <si>
    <t>Prime Copiers 961</t>
  </si>
  <si>
    <t>ORD-2025-10282</t>
  </si>
  <si>
    <t>25-07-2025</t>
  </si>
  <si>
    <t>07/27/2025</t>
  </si>
  <si>
    <t>CUST-2052</t>
  </si>
  <si>
    <t>Basic Binders 637</t>
  </si>
  <si>
    <t>ORD-2024-10283</t>
  </si>
  <si>
    <t>2024-10-01</t>
  </si>
  <si>
    <t>10/02/2024</t>
  </si>
  <si>
    <t>CUST-9445</t>
  </si>
  <si>
    <t>Classic Tables 811</t>
  </si>
  <si>
    <t>ORD-2025-10284</t>
  </si>
  <si>
    <t>03/13/2025</t>
  </si>
  <si>
    <t>20-03-2025</t>
  </si>
  <si>
    <t>CUST-6568</t>
  </si>
  <si>
    <t>Classic Furnishings 819</t>
  </si>
  <si>
    <t>ORD-2024-10285</t>
  </si>
  <si>
    <t>12/08/2024</t>
  </si>
  <si>
    <t>12/14/2024</t>
  </si>
  <si>
    <t>CUST-2076</t>
  </si>
  <si>
    <t>Prime Tables 542</t>
  </si>
  <si>
    <t>ORD-2025-10286</t>
  </si>
  <si>
    <t>2025-08-15</t>
  </si>
  <si>
    <t>2025-08-20</t>
  </si>
  <si>
    <t>CUST-5610</t>
  </si>
  <si>
    <t>Basic Storage 771</t>
  </si>
  <si>
    <t>ORD-2024-10287</t>
  </si>
  <si>
    <t>28-02-2024</t>
  </si>
  <si>
    <t>03/02/2024</t>
  </si>
  <si>
    <t>CUST-5823</t>
  </si>
  <si>
    <t>Pro Furnishings 848</t>
  </si>
  <si>
    <t>ORD-2024-10288</t>
  </si>
  <si>
    <t>09/05/2024</t>
  </si>
  <si>
    <t>07-09-2024</t>
  </si>
  <si>
    <t>CUST-7095</t>
  </si>
  <si>
    <t>Prime Copiers 924</t>
  </si>
  <si>
    <t>ORD-2024-10289</t>
  </si>
  <si>
    <t>2024-06-24</t>
  </si>
  <si>
    <t>CUST-4805</t>
  </si>
  <si>
    <t>Classic Binders 721</t>
  </si>
  <si>
    <t>ORD-2025-10290</t>
  </si>
  <si>
    <t>CUST-9114</t>
  </si>
  <si>
    <t>Basic Bookcases 823</t>
  </si>
  <si>
    <t>ORD-2025-10291</t>
  </si>
  <si>
    <t>22 Aug 2025</t>
  </si>
  <si>
    <t>2025-08-26</t>
  </si>
  <si>
    <t>CUST-8557</t>
  </si>
  <si>
    <t>Classic Tables 178</t>
  </si>
  <si>
    <t>ORD-2024-10292</t>
  </si>
  <si>
    <t>04/05/2024</t>
  </si>
  <si>
    <t>2024-04-10</t>
  </si>
  <si>
    <t>CUST-2860</t>
  </si>
  <si>
    <t>Eco Binders 153</t>
  </si>
  <si>
    <t>ORD-2025-10293</t>
  </si>
  <si>
    <t>28 Feb 2025</t>
  </si>
  <si>
    <t>03-03-2025</t>
  </si>
  <si>
    <t>CUST-7837</t>
  </si>
  <si>
    <t>Classic Art 183</t>
  </si>
  <si>
    <t>ORD-2024-10294</t>
  </si>
  <si>
    <t>03/07/2024</t>
  </si>
  <si>
    <t>11-03-2024</t>
  </si>
  <si>
    <t>CUST-7010</t>
  </si>
  <si>
    <t>Pro Phones 455</t>
  </si>
  <si>
    <t>ORD-2025-10295</t>
  </si>
  <si>
    <t>16 Jul 2025</t>
  </si>
  <si>
    <t>07/22/2025</t>
  </si>
  <si>
    <t>CUST-4755</t>
  </si>
  <si>
    <t>Basic Phones 326</t>
  </si>
  <si>
    <t>ORD-2025-10296</t>
  </si>
  <si>
    <t>25 Jun 2025</t>
  </si>
  <si>
    <t>28 Jun 2025</t>
  </si>
  <si>
    <t>CUST-6778</t>
  </si>
  <si>
    <t>Max Binders 587</t>
  </si>
  <si>
    <t>ORD-2025-10297</t>
  </si>
  <si>
    <t>24 May 2025</t>
  </si>
  <si>
    <t>05/26/2025</t>
  </si>
  <si>
    <t>CUST-7629</t>
  </si>
  <si>
    <t>Basic Furnishings 617</t>
  </si>
  <si>
    <t>ORD-2024-10298</t>
  </si>
  <si>
    <t>2024-10-29</t>
  </si>
  <si>
    <t>06-11-2024</t>
  </si>
  <si>
    <t>CUST-6724</t>
  </si>
  <si>
    <t>Prime Copiers 669</t>
  </si>
  <si>
    <t>ORD-2025-10299</t>
  </si>
  <si>
    <t>23-01-2025</t>
  </si>
  <si>
    <t>2025-01-26</t>
  </si>
  <si>
    <t>CUST-2141</t>
  </si>
  <si>
    <t>Eco Copiers 894</t>
  </si>
  <si>
    <t>ORD-2024-10300</t>
  </si>
  <si>
    <t>2024-11-12</t>
  </si>
  <si>
    <t>CUST-7264</t>
  </si>
  <si>
    <t>Max Accessories 145</t>
  </si>
  <si>
    <t>ORD-2024-10301</t>
  </si>
  <si>
    <t>15-04-2024</t>
  </si>
  <si>
    <t>04/23/2024</t>
  </si>
  <si>
    <t>CUST-2668</t>
  </si>
  <si>
    <t>Classic Accessories 126</t>
  </si>
  <si>
    <t>ORD-2025-10302</t>
  </si>
  <si>
    <t>01-06-2025</t>
  </si>
  <si>
    <t>CUST-5599</t>
  </si>
  <si>
    <t>Elite Phones 202</t>
  </si>
  <si>
    <t>ORD-2025-10303</t>
  </si>
  <si>
    <t>2025-06-12</t>
  </si>
  <si>
    <t>CUST-1623</t>
  </si>
  <si>
    <t>Elite Storage 535</t>
  </si>
  <si>
    <t>ORD-2024-10304</t>
  </si>
  <si>
    <t>23 Jun 2024</t>
  </si>
  <si>
    <t>CUST-9035</t>
  </si>
  <si>
    <t>Elite Chairs 107</t>
  </si>
  <si>
    <t>ORD-2024-10305</t>
  </si>
  <si>
    <t>03/06/2024</t>
  </si>
  <si>
    <t>2024-03-13</t>
  </si>
  <si>
    <t>CUST-6286</t>
  </si>
  <si>
    <t>Pro Furnishings 991</t>
  </si>
  <si>
    <t>ORD-2024-10306</t>
  </si>
  <si>
    <t>01 May 2024</t>
  </si>
  <si>
    <t>CUST-7246</t>
  </si>
  <si>
    <t>Eco Chairs 105</t>
  </si>
  <si>
    <t>ORD-2025-10307</t>
  </si>
  <si>
    <t>20 Feb 2025</t>
  </si>
  <si>
    <t>CUST-2589</t>
  </si>
  <si>
    <t>Pro Phones 530</t>
  </si>
  <si>
    <t>ORD-2025-10308</t>
  </si>
  <si>
    <t>2025-07-12</t>
  </si>
  <si>
    <t>19 Jul 2025</t>
  </si>
  <si>
    <t>CUST-4153</t>
  </si>
  <si>
    <t>Basic Tables 911</t>
  </si>
  <si>
    <t>ORD-2025-10309</t>
  </si>
  <si>
    <t>2025-06-13</t>
  </si>
  <si>
    <t>2025-06-19</t>
  </si>
  <si>
    <t>CUST-6727</t>
  </si>
  <si>
    <t>Classic Tables 224</t>
  </si>
  <si>
    <t>ORD-2024-10310</t>
  </si>
  <si>
    <t>07/20/2024</t>
  </si>
  <si>
    <t>CUST-8860</t>
  </si>
  <si>
    <t>Prime Tables 214</t>
  </si>
  <si>
    <t>ORD-2024-10311</t>
  </si>
  <si>
    <t>04-07-2024</t>
  </si>
  <si>
    <t>08-07-2024</t>
  </si>
  <si>
    <t>CUST-3784</t>
  </si>
  <si>
    <t>Max Machines 988</t>
  </si>
  <si>
    <t>ORD-2024-10312</t>
  </si>
  <si>
    <t>27-04-2024</t>
  </si>
  <si>
    <t>CUST-3545</t>
  </si>
  <si>
    <t>Max Binders 425</t>
  </si>
  <si>
    <t>ORD-2024-10313</t>
  </si>
  <si>
    <t>07/31/2024</t>
  </si>
  <si>
    <t>CUST-4851</t>
  </si>
  <si>
    <t>Elite Phones 679</t>
  </si>
  <si>
    <t>ORD-2025-10314</t>
  </si>
  <si>
    <t>2025-05-30</t>
  </si>
  <si>
    <t>31-05-2025</t>
  </si>
  <si>
    <t>CUST-4770</t>
  </si>
  <si>
    <t>Pro Phones 764</t>
  </si>
  <si>
    <t>ORD-2025-10315</t>
  </si>
  <si>
    <t>CUST-1945</t>
  </si>
  <si>
    <t>Elite Labels 544</t>
  </si>
  <si>
    <t>ORD-2024-10316</t>
  </si>
  <si>
    <t>2024-07-02</t>
  </si>
  <si>
    <t>2024-07-08</t>
  </si>
  <si>
    <t>CUST-7565</t>
  </si>
  <si>
    <t>Smart Paper 817</t>
  </si>
  <si>
    <t>ORD-2024-10317</t>
  </si>
  <si>
    <t>16-02-2024</t>
  </si>
  <si>
    <t>02/18/2024</t>
  </si>
  <si>
    <t>CUST-9913</t>
  </si>
  <si>
    <t>Classic Labels 466</t>
  </si>
  <si>
    <t>ORD-2025-10318</t>
  </si>
  <si>
    <t>29-08-2025</t>
  </si>
  <si>
    <t>04 Sep 2025</t>
  </si>
  <si>
    <t>CUST-7992</t>
  </si>
  <si>
    <t>Pro Tables 778</t>
  </si>
  <si>
    <t>ORD-2024-10319</t>
  </si>
  <si>
    <t>25 Apr 2024</t>
  </si>
  <si>
    <t>30-04-2024</t>
  </si>
  <si>
    <t>CUST-8877</t>
  </si>
  <si>
    <t>Basic Phones 789</t>
  </si>
  <si>
    <t>ORD-2024-10320</t>
  </si>
  <si>
    <t>21 Aug 2024</t>
  </si>
  <si>
    <t>08/25/2024</t>
  </si>
  <si>
    <t>CUST-4589</t>
  </si>
  <si>
    <t>Prime Binders 554</t>
  </si>
  <si>
    <t>ORD-2024-10321</t>
  </si>
  <si>
    <t>12/04/2024</t>
  </si>
  <si>
    <t>12/06/2024</t>
  </si>
  <si>
    <t>CUST-4667</t>
  </si>
  <si>
    <t>Classic Art 299</t>
  </si>
  <si>
    <t>ORD-2024-10322</t>
  </si>
  <si>
    <t>06/23/2024</t>
  </si>
  <si>
    <t>30 Jun 2024</t>
  </si>
  <si>
    <t>CUST-7821</t>
  </si>
  <si>
    <t>Eco Accessories 220</t>
  </si>
  <si>
    <t>ORD-2024-10323</t>
  </si>
  <si>
    <t>12-11-2024</t>
  </si>
  <si>
    <t>CUST-8579</t>
  </si>
  <si>
    <t>Max Phones 422</t>
  </si>
  <si>
    <t>ORD-2024-10324</t>
  </si>
  <si>
    <t>25-02-2024</t>
  </si>
  <si>
    <t>29 Feb 2024</t>
  </si>
  <si>
    <t>CUST-6909</t>
  </si>
  <si>
    <t>ORD-2025-10325</t>
  </si>
  <si>
    <t>31 Jul 2025</t>
  </si>
  <si>
    <t>CUST-7212</t>
  </si>
  <si>
    <t>Basic Labels 102</t>
  </si>
  <si>
    <t>ORD-2025-10326</t>
  </si>
  <si>
    <t>09/16/2025</t>
  </si>
  <si>
    <t>2025-09-22</t>
  </si>
  <si>
    <t>CUST-7980</t>
  </si>
  <si>
    <t>Prime Copiers 170</t>
  </si>
  <si>
    <t>ORD-2025-10327</t>
  </si>
  <si>
    <t>2025-07-22</t>
  </si>
  <si>
    <t>CUST-1966</t>
  </si>
  <si>
    <t>Smart Furnishings 533</t>
  </si>
  <si>
    <t>ORD-2024-10328</t>
  </si>
  <si>
    <t>2024-07-24</t>
  </si>
  <si>
    <t>CUST-6163</t>
  </si>
  <si>
    <t>Classic Accessories 489</t>
  </si>
  <si>
    <t>ORD-2025-10329</t>
  </si>
  <si>
    <t>2025-05-29</t>
  </si>
  <si>
    <t>CUST-7239</t>
  </si>
  <si>
    <t>Smart Storage 439</t>
  </si>
  <si>
    <t>ORD-2025-10330</t>
  </si>
  <si>
    <t>12 May 2025</t>
  </si>
  <si>
    <t>2025-05-18</t>
  </si>
  <si>
    <t>CUST-9718</t>
  </si>
  <si>
    <t>Prime Storage 232</t>
  </si>
  <si>
    <t>ORD-2024-10331</t>
  </si>
  <si>
    <t>CUST-1116</t>
  </si>
  <si>
    <t>Prime Accessories 335</t>
  </si>
  <si>
    <t>ORD-2024-10332</t>
  </si>
  <si>
    <t>2024-12-06</t>
  </si>
  <si>
    <t>CUST-9346</t>
  </si>
  <si>
    <t>Smart Binders 939</t>
  </si>
  <si>
    <t>ORD-2025-10333</t>
  </si>
  <si>
    <t>27 May 2025</t>
  </si>
  <si>
    <t>2025-05-28</t>
  </si>
  <si>
    <t>CUST-5332</t>
  </si>
  <si>
    <t>Basic Machines 601</t>
  </si>
  <si>
    <t>ORD-2025-10334</t>
  </si>
  <si>
    <t>22 Jun 2025</t>
  </si>
  <si>
    <t>2025-06-27</t>
  </si>
  <si>
    <t>CUST-8081</t>
  </si>
  <si>
    <t>Pro Phones 968</t>
  </si>
  <si>
    <t>ORD-2024-10335</t>
  </si>
  <si>
    <t>12 Sep 2024</t>
  </si>
  <si>
    <t>17-09-2024</t>
  </si>
  <si>
    <t>CUST-3062</t>
  </si>
  <si>
    <t>Pro Storage 563</t>
  </si>
  <si>
    <t>ORD-2025-10336</t>
  </si>
  <si>
    <t>06/16/2025</t>
  </si>
  <si>
    <t>18 Jun 2025</t>
  </si>
  <si>
    <t>CUST-3621</t>
  </si>
  <si>
    <t>Prime Paper 559</t>
  </si>
  <si>
    <t>ORD-2024-10337</t>
  </si>
  <si>
    <t>03/21/2024</t>
  </si>
  <si>
    <t>Pro Copiers 999</t>
  </si>
  <si>
    <t>ORD-2024-10338</t>
  </si>
  <si>
    <t>12 Aug 2024</t>
  </si>
  <si>
    <t>18 Aug 2024</t>
  </si>
  <si>
    <t>CUST-4599</t>
  </si>
  <si>
    <t>Classic Labels 206</t>
  </si>
  <si>
    <t>ORD-2024-10339</t>
  </si>
  <si>
    <t>08-12-2024</t>
  </si>
  <si>
    <t>CUST-3066</t>
  </si>
  <si>
    <t>Eco Accessories 315</t>
  </si>
  <si>
    <t>ORD-2025-10340</t>
  </si>
  <si>
    <t>22-02-2025</t>
  </si>
  <si>
    <t>CUST-2752</t>
  </si>
  <si>
    <t>Elite Bookcases 988</t>
  </si>
  <si>
    <t>ORD-2024-10341</t>
  </si>
  <si>
    <t>21 Jan 2024</t>
  </si>
  <si>
    <t>01/29/2024</t>
  </si>
  <si>
    <t>CUST-6291</t>
  </si>
  <si>
    <t>Smart Binders 414</t>
  </si>
  <si>
    <t>ORD-2025-10342</t>
  </si>
  <si>
    <t>08 Sep 2025</t>
  </si>
  <si>
    <t>2025-09-09</t>
  </si>
  <si>
    <t>CUST-9969</t>
  </si>
  <si>
    <t>Eco Chairs 552</t>
  </si>
  <si>
    <t>ORD-2025-10343</t>
  </si>
  <si>
    <t>24-07-2025</t>
  </si>
  <si>
    <t>01-08-2025</t>
  </si>
  <si>
    <t>CUST-3335</t>
  </si>
  <si>
    <t>Smart Binders 574</t>
  </si>
  <si>
    <t>ORD-2025-10344</t>
  </si>
  <si>
    <t>10/03/2025</t>
  </si>
  <si>
    <t>CUST-7358</t>
  </si>
  <si>
    <t>Pro Machines 444</t>
  </si>
  <si>
    <t>ORD-2024-10345</t>
  </si>
  <si>
    <t>CUST-8025</t>
  </si>
  <si>
    <t>Elite Bookcases 184</t>
  </si>
  <si>
    <t>ORD-2024-10346</t>
  </si>
  <si>
    <t>2024-09-14</t>
  </si>
  <si>
    <t>2024-09-22</t>
  </si>
  <si>
    <t>CUST-4634</t>
  </si>
  <si>
    <t>Elite Furnishings 138</t>
  </si>
  <si>
    <t>ORD-2025-10347</t>
  </si>
  <si>
    <t>28-07-2025</t>
  </si>
  <si>
    <t>CUST-3400</t>
  </si>
  <si>
    <t>Eco Chairs 369</t>
  </si>
  <si>
    <t>ORD-2024-10348</t>
  </si>
  <si>
    <t>01-12-2024</t>
  </si>
  <si>
    <t>CUST-1172</t>
  </si>
  <si>
    <t>Max Chairs 487</t>
  </si>
  <si>
    <t>ORD-2024-10349</t>
  </si>
  <si>
    <t>06/07/2024</t>
  </si>
  <si>
    <t>CUST-9517</t>
  </si>
  <si>
    <t>Classic Phones 989</t>
  </si>
  <si>
    <t>ORD-2025-10350</t>
  </si>
  <si>
    <t>27-09-2025</t>
  </si>
  <si>
    <t>CUST-6697</t>
  </si>
  <si>
    <t>Max Furnishings 628</t>
  </si>
  <si>
    <t>ORD-2024-10351</t>
  </si>
  <si>
    <t>07-01-2024</t>
  </si>
  <si>
    <t>14 Jan 2024</t>
  </si>
  <si>
    <t>CUST-7644</t>
  </si>
  <si>
    <t>Elite Furnishings 279</t>
  </si>
  <si>
    <t>ORD-2025-10352</t>
  </si>
  <si>
    <t>23-05-2025</t>
  </si>
  <si>
    <t>CUST-9963</t>
  </si>
  <si>
    <t>Pro Storage 847</t>
  </si>
  <si>
    <t>ORD-2025-10353</t>
  </si>
  <si>
    <t>15 Aug 2025</t>
  </si>
  <si>
    <t>CUST-6382</t>
  </si>
  <si>
    <t>Elite Copiers 706</t>
  </si>
  <si>
    <t>ORD-2025-10354</t>
  </si>
  <si>
    <t>21-02-2025</t>
  </si>
  <si>
    <t>CUST-3253</t>
  </si>
  <si>
    <t>Prime Art 978</t>
  </si>
  <si>
    <t>ORD-2024-10355</t>
  </si>
  <si>
    <t>2024-12-31</t>
  </si>
  <si>
    <t>CUST-1058</t>
  </si>
  <si>
    <t>Classic Furnishings 498</t>
  </si>
  <si>
    <t>ORD-2024-10356</t>
  </si>
  <si>
    <t>12-05-2024</t>
  </si>
  <si>
    <t>2024-05-09</t>
  </si>
  <si>
    <t>CUST-6414</t>
  </si>
  <si>
    <t>Max Tables 829</t>
  </si>
  <si>
    <t>ORD-2025-10357</t>
  </si>
  <si>
    <t>27 Jun 2025</t>
  </si>
  <si>
    <t>29 Jun 2025</t>
  </si>
  <si>
    <t>CUST-9268</t>
  </si>
  <si>
    <t>Eco Chairs 346</t>
  </si>
  <si>
    <t>ORD-2025-10358</t>
  </si>
  <si>
    <t>01/29/2025</t>
  </si>
  <si>
    <t>CUST-1363</t>
  </si>
  <si>
    <t>Max Machines 770</t>
  </si>
  <si>
    <t>ORD-2025-10359</t>
  </si>
  <si>
    <t>08/09/2025</t>
  </si>
  <si>
    <t>2025-08-07</t>
  </si>
  <si>
    <t>CUST-2477</t>
  </si>
  <si>
    <t>Smart Bookcases 134</t>
  </si>
  <si>
    <t>ORD-2024-10360</t>
  </si>
  <si>
    <t>22-08-2024</t>
  </si>
  <si>
    <t>CUST-9571</t>
  </si>
  <si>
    <t>Classic Phones 586</t>
  </si>
  <si>
    <t>ORD-2024-10361</t>
  </si>
  <si>
    <t>17 Jun 2024</t>
  </si>
  <si>
    <t>2024-06-20</t>
  </si>
  <si>
    <t>CUST-3690</t>
  </si>
  <si>
    <t>Elite Furnishings 634</t>
  </si>
  <si>
    <t>ORD-2025-10362</t>
  </si>
  <si>
    <t>2025-04-02</t>
  </si>
  <si>
    <t>CUST-2909</t>
  </si>
  <si>
    <t>Basic Chairs 113</t>
  </si>
  <si>
    <t>ORD-2024-10363</t>
  </si>
  <si>
    <t>23 Aug 2024</t>
  </si>
  <si>
    <t>25-08-2024</t>
  </si>
  <si>
    <t>CUST-6755</t>
  </si>
  <si>
    <t>Elite Machines 216</t>
  </si>
  <si>
    <t>ORD-2025-10364</t>
  </si>
  <si>
    <t>07/07/2025</t>
  </si>
  <si>
    <t>07/12/2025</t>
  </si>
  <si>
    <t>CUST-1832</t>
  </si>
  <si>
    <t>Smart Tables 943</t>
  </si>
  <si>
    <t>ORD-2025-10365</t>
  </si>
  <si>
    <t>03/21/2025</t>
  </si>
  <si>
    <t>2025-03-24</t>
  </si>
  <si>
    <t>CUST-4452</t>
  </si>
  <si>
    <t>Prime Chairs 101</t>
  </si>
  <si>
    <t>ORD-2024-10366</t>
  </si>
  <si>
    <t>15-06-2024</t>
  </si>
  <si>
    <t>21-06-2024</t>
  </si>
  <si>
    <t>CUST-2203</t>
  </si>
  <si>
    <t>Basic Accessories 774</t>
  </si>
  <si>
    <t>ORD-2025-10367</t>
  </si>
  <si>
    <t>2025-01-16</t>
  </si>
  <si>
    <t>2025-01-22</t>
  </si>
  <si>
    <t>CUST-5397</t>
  </si>
  <si>
    <t>Max Tables 478</t>
  </si>
  <si>
    <t>ORD-2024-10368</t>
  </si>
  <si>
    <t>03/16/2024</t>
  </si>
  <si>
    <t>CUST-4696</t>
  </si>
  <si>
    <t>Eco Art 646</t>
  </si>
  <si>
    <t>ORD-2025-10369</t>
  </si>
  <si>
    <t>CUST-8246</t>
  </si>
  <si>
    <t>Prime Accessories 962</t>
  </si>
  <si>
    <t>ORD-2025-10370</t>
  </si>
  <si>
    <t>CUST-5672</t>
  </si>
  <si>
    <t>Eco Labels 646</t>
  </si>
  <si>
    <t>ORD-2024-10371</t>
  </si>
  <si>
    <t>08/15/2024</t>
  </si>
  <si>
    <t>CUST-8521</t>
  </si>
  <si>
    <t>Classic Copiers 505</t>
  </si>
  <si>
    <t>ORD-2024-10372</t>
  </si>
  <si>
    <t>2024-01-24</t>
  </si>
  <si>
    <t>CUST-2204</t>
  </si>
  <si>
    <t>Pro Art 906</t>
  </si>
  <si>
    <t>ORD-2025-10373</t>
  </si>
  <si>
    <t>2025-08-16</t>
  </si>
  <si>
    <t>Max Chairs 181</t>
  </si>
  <si>
    <t>ORD-2025-10374</t>
  </si>
  <si>
    <t>2025-04-13</t>
  </si>
  <si>
    <t>CUST-8566</t>
  </si>
  <si>
    <t>Prime Storage 951</t>
  </si>
  <si>
    <t>ORD-2025-10375</t>
  </si>
  <si>
    <t>2025-02-27</t>
  </si>
  <si>
    <t>28-02-2025</t>
  </si>
  <si>
    <t>CUST-2358</t>
  </si>
  <si>
    <t>Smart Labels 668</t>
  </si>
  <si>
    <t>ORD-2024-10376</t>
  </si>
  <si>
    <t>31-12-2024</t>
  </si>
  <si>
    <t>04 Jan 2025</t>
  </si>
  <si>
    <t>CUST-2810</t>
  </si>
  <si>
    <t>Pro Chairs 364</t>
  </si>
  <si>
    <t>ORD-2024-10377</t>
  </si>
  <si>
    <t>29-12-2024</t>
  </si>
  <si>
    <t>CUST-5166</t>
  </si>
  <si>
    <t>Basic Chairs 248</t>
  </si>
  <si>
    <t>ORD-2025-10378</t>
  </si>
  <si>
    <t>30-05-2025</t>
  </si>
  <si>
    <t>CUST-4875</t>
  </si>
  <si>
    <t>Basic Storage 360</t>
  </si>
  <si>
    <t>ORD-2025-10379</t>
  </si>
  <si>
    <t>22-05-2025</t>
  </si>
  <si>
    <t>CUST-3154</t>
  </si>
  <si>
    <t>Basic Accessories 988</t>
  </si>
  <si>
    <t>ORD-2024-10380</t>
  </si>
  <si>
    <t>09/19/2024</t>
  </si>
  <si>
    <t>23 Sep 2024</t>
  </si>
  <si>
    <t>CUST-6405</t>
  </si>
  <si>
    <t>Max Paper 334</t>
  </si>
  <si>
    <t>ORD-2024-10381</t>
  </si>
  <si>
    <t>07 Apr 2024</t>
  </si>
  <si>
    <t>CUST-5779</t>
  </si>
  <si>
    <t>Prime Bookcases 952</t>
  </si>
  <si>
    <t>ORD-2025-10382</t>
  </si>
  <si>
    <t>2025-09-19</t>
  </si>
  <si>
    <t>23-09-2025</t>
  </si>
  <si>
    <t>CUST-9943</t>
  </si>
  <si>
    <t>Prime Binders 523</t>
  </si>
  <si>
    <t>ORD-2025-10383</t>
  </si>
  <si>
    <t>04 Mar 2025</t>
  </si>
  <si>
    <t>Pro Phones 538</t>
  </si>
  <si>
    <t>ORD-2025-10384</t>
  </si>
  <si>
    <t>CUST-7438</t>
  </si>
  <si>
    <t>Basic Art 608</t>
  </si>
  <si>
    <t>ORD-2024-10385</t>
  </si>
  <si>
    <t>15-03-2024</t>
  </si>
  <si>
    <t>2024-03-20</t>
  </si>
  <si>
    <t>CUST-8432</t>
  </si>
  <si>
    <t>Prime Copiers 820</t>
  </si>
  <si>
    <t>ORD-2025-10386</t>
  </si>
  <si>
    <t>30 Jun 2025</t>
  </si>
  <si>
    <t>CUST-2834</t>
  </si>
  <si>
    <t>Classic Labels 670</t>
  </si>
  <si>
    <t>ORD-2025-10387</t>
  </si>
  <si>
    <t>14-02-2025</t>
  </si>
  <si>
    <t>CUST-4222</t>
  </si>
  <si>
    <t>Prime Furnishings 597</t>
  </si>
  <si>
    <t>ORD-2025-10388</t>
  </si>
  <si>
    <t>CUST-1053</t>
  </si>
  <si>
    <t>Prime Chairs 196</t>
  </si>
  <si>
    <t>ORD-2024-10389</t>
  </si>
  <si>
    <t>2024-05-13</t>
  </si>
  <si>
    <t>18 May 2024</t>
  </si>
  <si>
    <t>CUST-1457</t>
  </si>
  <si>
    <t>Elite Chairs 639</t>
  </si>
  <si>
    <t>ORD-2024-10390</t>
  </si>
  <si>
    <t>05 Apr 2024</t>
  </si>
  <si>
    <t>CUST-3930</t>
  </si>
  <si>
    <t>Elite Machines 563</t>
  </si>
  <si>
    <t>ORD-2024-10391</t>
  </si>
  <si>
    <t>06 Nov 2024</t>
  </si>
  <si>
    <t>CUST-7853</t>
  </si>
  <si>
    <t>Pro Furnishings 281</t>
  </si>
  <si>
    <t>ORD-2025-10392</t>
  </si>
  <si>
    <t>14 Feb 2025</t>
  </si>
  <si>
    <t>CUST-2267</t>
  </si>
  <si>
    <t>Eco Storage 285</t>
  </si>
  <si>
    <t>ORD-2024-10393</t>
  </si>
  <si>
    <t>02/19/2024</t>
  </si>
  <si>
    <t>22 Feb 2024</t>
  </si>
  <si>
    <t>CUST-6866</t>
  </si>
  <si>
    <t>Classic Furnishings 746</t>
  </si>
  <si>
    <t>ORD-2024-10394</t>
  </si>
  <si>
    <t>2024-08-23</t>
  </si>
  <si>
    <t>08/29/2024</t>
  </si>
  <si>
    <t>CUST-3160</t>
  </si>
  <si>
    <t>Eco Labels 815</t>
  </si>
  <si>
    <t>ORD-2024-10395</t>
  </si>
  <si>
    <t>03-04-2024</t>
  </si>
  <si>
    <t>04 Apr 2024</t>
  </si>
  <si>
    <t>CUST-8444</t>
  </si>
  <si>
    <t>Prime Furnishings 879</t>
  </si>
  <si>
    <t>ORD-2024-10396</t>
  </si>
  <si>
    <t>CUST-4765</t>
  </si>
  <si>
    <t>Pro Tables 142</t>
  </si>
  <si>
    <t>ORD-2025-10397</t>
  </si>
  <si>
    <t>2025-04-14</t>
  </si>
  <si>
    <t>22 Apr 2025</t>
  </si>
  <si>
    <t>CUST-2280</t>
  </si>
  <si>
    <t>Prime Machines 267</t>
  </si>
  <si>
    <t>ORD-2025-10398</t>
  </si>
  <si>
    <t>09 Jun 2025</t>
  </si>
  <si>
    <t>10 Jun 2025</t>
  </si>
  <si>
    <t>CUST-3177</t>
  </si>
  <si>
    <t>Eco Tables 378</t>
  </si>
  <si>
    <t>ORD-2024-10399</t>
  </si>
  <si>
    <t>19 Jul 2024</t>
  </si>
  <si>
    <t>2024-07-26</t>
  </si>
  <si>
    <t>CUST-4718</t>
  </si>
  <si>
    <t>Elite Machines 523</t>
  </si>
  <si>
    <t>ORD-2025-10400</t>
  </si>
  <si>
    <t>04/24/2025</t>
  </si>
  <si>
    <t>2025-04-29</t>
  </si>
  <si>
    <t>CUST-5647</t>
  </si>
  <si>
    <t>Elite Paper 308</t>
  </si>
  <si>
    <t>ORD-2025-10401</t>
  </si>
  <si>
    <t>06-06-2025</t>
  </si>
  <si>
    <t>2025-06-11</t>
  </si>
  <si>
    <t>CUST-7150</t>
  </si>
  <si>
    <t>Prime Paper 851</t>
  </si>
  <si>
    <t>ORD-2025-10402</t>
  </si>
  <si>
    <t>09 Mar 2025</t>
  </si>
  <si>
    <t>16-03-2025</t>
  </si>
  <si>
    <t>CUST-6694</t>
  </si>
  <si>
    <t>Classic Tables 151</t>
  </si>
  <si>
    <t>ORD-2024-10403</t>
  </si>
  <si>
    <t>22 Mar 2024</t>
  </si>
  <si>
    <t>03/22/2024</t>
  </si>
  <si>
    <t>CUST-7680</t>
  </si>
  <si>
    <t>Smart Tables 829</t>
  </si>
  <si>
    <t>ORD-2024-10404</t>
  </si>
  <si>
    <t>09/30/2024</t>
  </si>
  <si>
    <t>04-10-2024</t>
  </si>
  <si>
    <t>CUST-2700</t>
  </si>
  <si>
    <t>Classic Paper 237</t>
  </si>
  <si>
    <t>ORD-2024-10405</t>
  </si>
  <si>
    <t>27 Jan 2024</t>
  </si>
  <si>
    <t>02/03/2024</t>
  </si>
  <si>
    <t>CUST-2904</t>
  </si>
  <si>
    <t>Prime Chairs 891</t>
  </si>
  <si>
    <t>ORD-2024-10406</t>
  </si>
  <si>
    <t>09/23/2024</t>
  </si>
  <si>
    <t>24 Sep 2024</t>
  </si>
  <si>
    <t>CUST-9961</t>
  </si>
  <si>
    <t>Max Bookcases 812</t>
  </si>
  <si>
    <t>ORD-2025-10407</t>
  </si>
  <si>
    <t>25 Feb 2025</t>
  </si>
  <si>
    <t>CUST-9909</t>
  </si>
  <si>
    <t>Basic Furnishings 164</t>
  </si>
  <si>
    <t>ORD-2024-10408</t>
  </si>
  <si>
    <t>12 May 2024</t>
  </si>
  <si>
    <t>13 May 2024</t>
  </si>
  <si>
    <t>CUST-8520</t>
  </si>
  <si>
    <t>Smart Labels 261</t>
  </si>
  <si>
    <t>ORD-2025-10409</t>
  </si>
  <si>
    <t>CUST-5036</t>
  </si>
  <si>
    <t>Max Chairs 765</t>
  </si>
  <si>
    <t>ORD-2025-10410</t>
  </si>
  <si>
    <t>CUST-7721</t>
  </si>
  <si>
    <t>Pro Accessories 686</t>
  </si>
  <si>
    <t>ORD-2024-10411</t>
  </si>
  <si>
    <t>2024-04-12</t>
  </si>
  <si>
    <t>20 Apr 2024</t>
  </si>
  <si>
    <t>CUST-9495</t>
  </si>
  <si>
    <t>Smart Tables 100</t>
  </si>
  <si>
    <t>ORD-2025-10412</t>
  </si>
  <si>
    <t>2025-08-23</t>
  </si>
  <si>
    <t>2025-08-28</t>
  </si>
  <si>
    <t>CUST-2855</t>
  </si>
  <si>
    <t>Basic Tables 615</t>
  </si>
  <si>
    <t>ORD-2024-10413</t>
  </si>
  <si>
    <t>2024-01-22</t>
  </si>
  <si>
    <t>CUST-4329</t>
  </si>
  <si>
    <t>Basic Chairs 790</t>
  </si>
  <si>
    <t>ORD-2025-10414</t>
  </si>
  <si>
    <t>17-08-2025</t>
  </si>
  <si>
    <t>CUST-5094</t>
  </si>
  <si>
    <t>Smart Accessories 226</t>
  </si>
  <si>
    <t>ORD-2024-10415</t>
  </si>
  <si>
    <t>2024-08-29</t>
  </si>
  <si>
    <t>08/30/2024</t>
  </si>
  <si>
    <t>CUST-4194</t>
  </si>
  <si>
    <t>Max Storage 692</t>
  </si>
  <si>
    <t>ORD-2024-10416</t>
  </si>
  <si>
    <t>01/25/2024</t>
  </si>
  <si>
    <t>CUST-7087</t>
  </si>
  <si>
    <t>Basic Storage 684</t>
  </si>
  <si>
    <t>ORD-2025-10417</t>
  </si>
  <si>
    <t>2025-01-08</t>
  </si>
  <si>
    <t>16-01-2025</t>
  </si>
  <si>
    <t>CUST-7608</t>
  </si>
  <si>
    <t>Smart Furnishings 152</t>
  </si>
  <si>
    <t>ORD-2025-10418</t>
  </si>
  <si>
    <t>02/05/2025</t>
  </si>
  <si>
    <t>CUST-5269</t>
  </si>
  <si>
    <t>Max Art 736</t>
  </si>
  <si>
    <t>ORD-2024-10419</t>
  </si>
  <si>
    <t>11/09/2024</t>
  </si>
  <si>
    <t>11/17/2024</t>
  </si>
  <si>
    <t>CUST-7925</t>
  </si>
  <si>
    <t>Elite Copiers 971</t>
  </si>
  <si>
    <t>ORD-2025-10420</t>
  </si>
  <si>
    <t>26-09-2025</t>
  </si>
  <si>
    <t>09/30/2025</t>
  </si>
  <si>
    <t>CUST-6552</t>
  </si>
  <si>
    <t>Classic Phones 940</t>
  </si>
  <si>
    <t>ORD-2025-10421</t>
  </si>
  <si>
    <t>2025-03-19</t>
  </si>
  <si>
    <t>CUST-7131</t>
  </si>
  <si>
    <t>Pro Machines 579</t>
  </si>
  <si>
    <t>ORD-2025-10422</t>
  </si>
  <si>
    <t>06/14/2025</t>
  </si>
  <si>
    <t>19 Jun 2025</t>
  </si>
  <si>
    <t>CUST-2779</t>
  </si>
  <si>
    <t>Elite Binders 943</t>
  </si>
  <si>
    <t>ORD-2025-10423</t>
  </si>
  <si>
    <t>09/03/2025</t>
  </si>
  <si>
    <t>06 Sep 2025</t>
  </si>
  <si>
    <t>CUST-6077</t>
  </si>
  <si>
    <t>Elite Copiers 474</t>
  </si>
  <si>
    <t>ORD-2024-10424</t>
  </si>
  <si>
    <t>2024-02-20</t>
  </si>
  <si>
    <t>27-02-2024</t>
  </si>
  <si>
    <t>CUST-6169</t>
  </si>
  <si>
    <t>Prime Accessories 236</t>
  </si>
  <si>
    <t>ORD-2024-10425</t>
  </si>
  <si>
    <t>06/26/2024</t>
  </si>
  <si>
    <t>2024-06-29</t>
  </si>
  <si>
    <t>CUST-8904</t>
  </si>
  <si>
    <t>Prime Phones 881</t>
  </si>
  <si>
    <t>ORD-2024-10426</t>
  </si>
  <si>
    <t>26-09-2024</t>
  </si>
  <si>
    <t>09/27/2024</t>
  </si>
  <si>
    <t>CUST-9586</t>
  </si>
  <si>
    <t>Pro Labels 903</t>
  </si>
  <si>
    <t>ORD-2024-10427</t>
  </si>
  <si>
    <t>30-06-2024</t>
  </si>
  <si>
    <t>01-07-2024</t>
  </si>
  <si>
    <t>CUST-5431</t>
  </si>
  <si>
    <t>Max Copiers 402</t>
  </si>
  <si>
    <t>ORD-2025-10428</t>
  </si>
  <si>
    <t>2025-04-22</t>
  </si>
  <si>
    <t>24-04-2025</t>
  </si>
  <si>
    <t>CUST-8843</t>
  </si>
  <si>
    <t>Prime Accessories 419</t>
  </si>
  <si>
    <t>ORD-2025-10429</t>
  </si>
  <si>
    <t>2025-03-15</t>
  </si>
  <si>
    <t>22 Mar 2025</t>
  </si>
  <si>
    <t>CUST-7626</t>
  </si>
  <si>
    <t>Elite Phones 488</t>
  </si>
  <si>
    <t>ORD-2025-10430</t>
  </si>
  <si>
    <t>01 Mar 2025</t>
  </si>
  <si>
    <t>08-03-2025</t>
  </si>
  <si>
    <t>CUST-8562</t>
  </si>
  <si>
    <t>Prime Copiers 109</t>
  </si>
  <si>
    <t>ORD-2024-10431</t>
  </si>
  <si>
    <t>30 Aug 2024</t>
  </si>
  <si>
    <t>02-09-2024</t>
  </si>
  <si>
    <t>CUST-2732</t>
  </si>
  <si>
    <t>Max Paper 576</t>
  </si>
  <si>
    <t>ORD-2024-10432</t>
  </si>
  <si>
    <t>10 Feb 2024</t>
  </si>
  <si>
    <t>02/13/2024</t>
  </si>
  <si>
    <t>CUST-3989</t>
  </si>
  <si>
    <t>Max Machines 412</t>
  </si>
  <si>
    <t>ORD-2024-10433</t>
  </si>
  <si>
    <t>CUST-3522</t>
  </si>
  <si>
    <t>Classic Bookcases 291</t>
  </si>
  <si>
    <t>ORD-2024-10434</t>
  </si>
  <si>
    <t>04/19/2024</t>
  </si>
  <si>
    <t>20-04-2024</t>
  </si>
  <si>
    <t>CUST-7066</t>
  </si>
  <si>
    <t>Elite Art 946</t>
  </si>
  <si>
    <t>ORD-2025-10435</t>
  </si>
  <si>
    <t>04/11/2025</t>
  </si>
  <si>
    <t>2025-04-15</t>
  </si>
  <si>
    <t>CUST-2351</t>
  </si>
  <si>
    <t>Eco Accessories 705</t>
  </si>
  <si>
    <t>ORD-2025-10436</t>
  </si>
  <si>
    <t>2025-04-12</t>
  </si>
  <si>
    <t>CUST-7291</t>
  </si>
  <si>
    <t>Max Machines 151</t>
  </si>
  <si>
    <t>ORD-2024-10437</t>
  </si>
  <si>
    <t>16 Jun 2024</t>
  </si>
  <si>
    <t>21 Jun 2024</t>
  </si>
  <si>
    <t>CUST-4492</t>
  </si>
  <si>
    <t>Max Furnishings 803</t>
  </si>
  <si>
    <t>ORD-2024-10438</t>
  </si>
  <si>
    <t>15-02-2024</t>
  </si>
  <si>
    <t>2024-02-18</t>
  </si>
  <si>
    <t>CUST-5029</t>
  </si>
  <si>
    <t>Max Accessories 423</t>
  </si>
  <si>
    <t>ORD-2025-10439</t>
  </si>
  <si>
    <t>05/05/2025</t>
  </si>
  <si>
    <t>CUST-7252</t>
  </si>
  <si>
    <t>Elite Phones 276</t>
  </si>
  <si>
    <t>ORD-2025-10440</t>
  </si>
  <si>
    <t>30-06-2025</t>
  </si>
  <si>
    <t>03 Jul 2025</t>
  </si>
  <si>
    <t>CUST-7346</t>
  </si>
  <si>
    <t>Smart Storage 287</t>
  </si>
  <si>
    <t>ORD-2024-10441</t>
  </si>
  <si>
    <t>04/02/2024</t>
  </si>
  <si>
    <t>04/08/2024</t>
  </si>
  <si>
    <t>Basic Machines 610</t>
  </si>
  <si>
    <t>ORD-2024-10442</t>
  </si>
  <si>
    <t>03-10-2024</t>
  </si>
  <si>
    <t>CUST-3975</t>
  </si>
  <si>
    <t>Elite Bookcases 393</t>
  </si>
  <si>
    <t>ORD-2025-10443</t>
  </si>
  <si>
    <t>12 Jan 2025</t>
  </si>
  <si>
    <t>2025-01-19</t>
  </si>
  <si>
    <t>CUST-6588</t>
  </si>
  <si>
    <t>Prime Tables 242</t>
  </si>
  <si>
    <t>ORD-2024-10444</t>
  </si>
  <si>
    <t>04-04-2024</t>
  </si>
  <si>
    <t>CUST-2207</t>
  </si>
  <si>
    <t>Basic Furnishings 563</t>
  </si>
  <si>
    <t>ORD-2025-10445</t>
  </si>
  <si>
    <t>12 Aug 2025</t>
  </si>
  <si>
    <t>CUST-4475</t>
  </si>
  <si>
    <t>Prime Accessories 482</t>
  </si>
  <si>
    <t>ORD-2024-10446</t>
  </si>
  <si>
    <t>05/09/2024</t>
  </si>
  <si>
    <t>05-05-2024</t>
  </si>
  <si>
    <t>CUST-1351</t>
  </si>
  <si>
    <t>Eco Bookcases 215</t>
  </si>
  <si>
    <t>ORD-2025-10447</t>
  </si>
  <si>
    <t>18-09-2025</t>
  </si>
  <si>
    <t>19-09-2025</t>
  </si>
  <si>
    <t>CUST-9295</t>
  </si>
  <si>
    <t>Eco Storage 793</t>
  </si>
  <si>
    <t>ORD-2025-10448</t>
  </si>
  <si>
    <t>10 Aug 2025</t>
  </si>
  <si>
    <t>CUST-3614</t>
  </si>
  <si>
    <t>Basic Bookcases 182</t>
  </si>
  <si>
    <t>ORD-2024-10449</t>
  </si>
  <si>
    <t>01/15/2024</t>
  </si>
  <si>
    <t>CUST-1932</t>
  </si>
  <si>
    <t>Prime Chairs 631</t>
  </si>
  <si>
    <t>ORD-2024-10450</t>
  </si>
  <si>
    <t>06-06-2024</t>
  </si>
  <si>
    <t>13 Jun 2024</t>
  </si>
  <si>
    <t>Basic Machines 808</t>
  </si>
  <si>
    <t>ORD-2025-10451</t>
  </si>
  <si>
    <t>06/12/2025</t>
  </si>
  <si>
    <t>CUST-8672</t>
  </si>
  <si>
    <t>Pro Chairs 302</t>
  </si>
  <si>
    <t>ORD-2024-10452</t>
  </si>
  <si>
    <t>24-03-2024</t>
  </si>
  <si>
    <t>26-03-2024</t>
  </si>
  <si>
    <t>CUST-3907</t>
  </si>
  <si>
    <t>Classic Paper 272</t>
  </si>
  <si>
    <t>ORD-2024-10453</t>
  </si>
  <si>
    <t>10-05-2024</t>
  </si>
  <si>
    <t>CUST-8796</t>
  </si>
  <si>
    <t>Smart Accessories 149</t>
  </si>
  <si>
    <t>ORD-2025-10454</t>
  </si>
  <si>
    <t>05/03/2025</t>
  </si>
  <si>
    <t>2025-05-11</t>
  </si>
  <si>
    <t>CUST-2317</t>
  </si>
  <si>
    <t>Elite Labels 322</t>
  </si>
  <si>
    <t>ORD-2025-10455</t>
  </si>
  <si>
    <t>2025-03-23</t>
  </si>
  <si>
    <t>28-03-2025</t>
  </si>
  <si>
    <t>CUST-8643</t>
  </si>
  <si>
    <t>Max Furnishings 821</t>
  </si>
  <si>
    <t>ORD-2024-10456</t>
  </si>
  <si>
    <t>18 Jul 2024</t>
  </si>
  <si>
    <t>22-07-2024</t>
  </si>
  <si>
    <t>CUST-1800</t>
  </si>
  <si>
    <t>Basic Art 556</t>
  </si>
  <si>
    <t>ORD-2024-10457</t>
  </si>
  <si>
    <t>CUST-7688</t>
  </si>
  <si>
    <t>Smart Accessories 265</t>
  </si>
  <si>
    <t>ORD-2024-10458</t>
  </si>
  <si>
    <t>05/04/2024</t>
  </si>
  <si>
    <t>2024-05-04</t>
  </si>
  <si>
    <t>CUST-4957</t>
  </si>
  <si>
    <t>Elite Tables 418</t>
  </si>
  <si>
    <t>ORD-2024-10459</t>
  </si>
  <si>
    <t>2024-02-10</t>
  </si>
  <si>
    <t>CUST-1263</t>
  </si>
  <si>
    <t>Pro Phones 907</t>
  </si>
  <si>
    <t>ORD-2024-10460</t>
  </si>
  <si>
    <t>03/28/2024</t>
  </si>
  <si>
    <t>CUST-4745</t>
  </si>
  <si>
    <t>Basic Paper 233</t>
  </si>
  <si>
    <t>ORD-2025-10461</t>
  </si>
  <si>
    <t>30 Sep 2025</t>
  </si>
  <si>
    <t>06 Oct 2025</t>
  </si>
  <si>
    <t>CUST-5551</t>
  </si>
  <si>
    <t>Eco Copiers 603</t>
  </si>
  <si>
    <t>ORD-2025-10462</t>
  </si>
  <si>
    <t>05/25/2025</t>
  </si>
  <si>
    <t>CUST-3659</t>
  </si>
  <si>
    <t>Max Paper 700</t>
  </si>
  <si>
    <t>ORD-2024-10463</t>
  </si>
  <si>
    <t>25-09-2024</t>
  </si>
  <si>
    <t>CUST-6594</t>
  </si>
  <si>
    <t>Pro Binders 404</t>
  </si>
  <si>
    <t>ORD-2025-10464</t>
  </si>
  <si>
    <t>2025-02-08</t>
  </si>
  <si>
    <t>CUST-2626</t>
  </si>
  <si>
    <t>Eco Phones 208</t>
  </si>
  <si>
    <t>ORD-2025-10465</t>
  </si>
  <si>
    <t>11-03-2025</t>
  </si>
  <si>
    <t>03/15/2025</t>
  </si>
  <si>
    <t>CUST-7362</t>
  </si>
  <si>
    <t>Elite Paper 106</t>
  </si>
  <si>
    <t>ORD-2024-10466</t>
  </si>
  <si>
    <t>29-01-2024</t>
  </si>
  <si>
    <t>2024-02-06</t>
  </si>
  <si>
    <t>CUST-1748</t>
  </si>
  <si>
    <t>Eco Labels 914</t>
  </si>
  <si>
    <t>ORD-2024-10467</t>
  </si>
  <si>
    <t>04-01-2024</t>
  </si>
  <si>
    <t>01/08/2024</t>
  </si>
  <si>
    <t>CUST-2725</t>
  </si>
  <si>
    <t>Max Accessories 486</t>
  </si>
  <si>
    <t>ORD-2024-10468</t>
  </si>
  <si>
    <t>20-08-2024</t>
  </si>
  <si>
    <t>CUST-9470</t>
  </si>
  <si>
    <t>Max Copiers 867</t>
  </si>
  <si>
    <t>ORD-2025-10469</t>
  </si>
  <si>
    <t>09 Jan 2025</t>
  </si>
  <si>
    <t>07 Jan 2025</t>
  </si>
  <si>
    <t>CUST-4176</t>
  </si>
  <si>
    <t>Pro Binders 555</t>
  </si>
  <si>
    <t>ORD-2024-10470</t>
  </si>
  <si>
    <t>2024-01-19</t>
  </si>
  <si>
    <t>CUST-3448</t>
  </si>
  <si>
    <t>Pro Copiers 971</t>
  </si>
  <si>
    <t>ORD-2024-10471</t>
  </si>
  <si>
    <t>28-07-2024</t>
  </si>
  <si>
    <t>CUST-4970</t>
  </si>
  <si>
    <t>Pro Tables 833</t>
  </si>
  <si>
    <t>ORD-2024-10472</t>
  </si>
  <si>
    <t>11-02-2024</t>
  </si>
  <si>
    <t>02/15/2024</t>
  </si>
  <si>
    <t>CUST-6147</t>
  </si>
  <si>
    <t>Prime Binders 497</t>
  </si>
  <si>
    <t>ORD-2024-10473</t>
  </si>
  <si>
    <t>02-03-2024</t>
  </si>
  <si>
    <t>CUST-7208</t>
  </si>
  <si>
    <t>Pro Storage 756</t>
  </si>
  <si>
    <t>ORD-2024-10474</t>
  </si>
  <si>
    <t>13-11-2024</t>
  </si>
  <si>
    <t>CUST-2794</t>
  </si>
  <si>
    <t>Max Copiers 829</t>
  </si>
  <si>
    <t>ORD-2024-10475</t>
  </si>
  <si>
    <t>2024-06-10</t>
  </si>
  <si>
    <t>CUST-6249</t>
  </si>
  <si>
    <t>Prime Furnishings 827</t>
  </si>
  <si>
    <t>ORD-2025-10476</t>
  </si>
  <si>
    <t>03/01/2025</t>
  </si>
  <si>
    <t>08 Mar 2025</t>
  </si>
  <si>
    <t>CUST-5712</t>
  </si>
  <si>
    <t>Eco Chairs 365</t>
  </si>
  <si>
    <t>ORD-2024-10477</t>
  </si>
  <si>
    <t>05/07/2024</t>
  </si>
  <si>
    <t>05/14/2024</t>
  </si>
  <si>
    <t>CUST-3004</t>
  </si>
  <si>
    <t>Classic Storage 545</t>
  </si>
  <si>
    <t>ORD-2025-10478</t>
  </si>
  <si>
    <t>08/23/2025</t>
  </si>
  <si>
    <t>28-08-2025</t>
  </si>
  <si>
    <t>CUST-6920</t>
  </si>
  <si>
    <t>Pro Chairs 186</t>
  </si>
  <si>
    <t>ORD-2024-10479</t>
  </si>
  <si>
    <t>06/09/2024</t>
  </si>
  <si>
    <t>2024-06-13</t>
  </si>
  <si>
    <t>CUST-4838</t>
  </si>
  <si>
    <t>Classic Machines 561</t>
  </si>
  <si>
    <t>ORD-2024-10480</t>
  </si>
  <si>
    <t>23 Feb 2024</t>
  </si>
  <si>
    <t>CUST-7520</t>
  </si>
  <si>
    <t>Max Chairs 594</t>
  </si>
  <si>
    <t>ORD-2025-10481</t>
  </si>
  <si>
    <t>CUST-9947</t>
  </si>
  <si>
    <t>Eco Storage 923</t>
  </si>
  <si>
    <t>ORD-2025-10482</t>
  </si>
  <si>
    <t>2025-06-05</t>
  </si>
  <si>
    <t>06/13/2025</t>
  </si>
  <si>
    <t>CUST-4403</t>
  </si>
  <si>
    <t>Classic Machines 287</t>
  </si>
  <si>
    <t>ORD-2024-10483</t>
  </si>
  <si>
    <t>CUST-3583</t>
  </si>
  <si>
    <t>Basic Accessories 518</t>
  </si>
  <si>
    <t>ORD-2024-10484</t>
  </si>
  <si>
    <t>25-12-2024</t>
  </si>
  <si>
    <t>CUST-9432</t>
  </si>
  <si>
    <t>Pro Copiers 984</t>
  </si>
  <si>
    <t>ORD-2024-10485</t>
  </si>
  <si>
    <t>2024-12-28</t>
  </si>
  <si>
    <t>12/31/2024</t>
  </si>
  <si>
    <t>CUST-1801</t>
  </si>
  <si>
    <t>Max Furnishings 297</t>
  </si>
  <si>
    <t>ORD-2025-10486</t>
  </si>
  <si>
    <t>CUST-1594</t>
  </si>
  <si>
    <t>Elite Bookcases 802</t>
  </si>
  <si>
    <t>ORD-2025-10487</t>
  </si>
  <si>
    <t>22-06-2025</t>
  </si>
  <si>
    <t>06/26/2025</t>
  </si>
  <si>
    <t>CUST-8132</t>
  </si>
  <si>
    <t>Pro Tables 257</t>
  </si>
  <si>
    <t>ORD-2025-10488</t>
  </si>
  <si>
    <t>06/17/2025</t>
  </si>
  <si>
    <t>CUST-7685</t>
  </si>
  <si>
    <t>Prime Furnishings 299</t>
  </si>
  <si>
    <t>ORD-2024-10489</t>
  </si>
  <si>
    <t>14 Oct 2024</t>
  </si>
  <si>
    <t>2024-10-20</t>
  </si>
  <si>
    <t>CUST-2183</t>
  </si>
  <si>
    <t>Eco Tables 487</t>
  </si>
  <si>
    <t>ORD-2024-10490</t>
  </si>
  <si>
    <t>2024-02-12</t>
  </si>
  <si>
    <t>CUST-1636</t>
  </si>
  <si>
    <t>Prime Accessories 960</t>
  </si>
  <si>
    <t>ORD-2024-10491</t>
  </si>
  <si>
    <t>2024-09-16</t>
  </si>
  <si>
    <t>CUST-1350</t>
  </si>
  <si>
    <t>Smart Binders 191</t>
  </si>
  <si>
    <t>ORD-2025-10492</t>
  </si>
  <si>
    <t>30-04-2025</t>
  </si>
  <si>
    <t>CUST-4101</t>
  </si>
  <si>
    <t>Prime Accessories 118</t>
  </si>
  <si>
    <t>ORD-2025-10493</t>
  </si>
  <si>
    <t>28-06-2025</t>
  </si>
  <si>
    <t>07/02/2025</t>
  </si>
  <si>
    <t>CUST-4679</t>
  </si>
  <si>
    <t>Elite Storage 331</t>
  </si>
  <si>
    <t>ORD-2025-10494</t>
  </si>
  <si>
    <t>2025-02-13</t>
  </si>
  <si>
    <t>CUST-3765</t>
  </si>
  <si>
    <t>Prime Paper 996</t>
  </si>
  <si>
    <t>ORD-2024-10495</t>
  </si>
  <si>
    <t>2024-11-14</t>
  </si>
  <si>
    <t>2024-11-22</t>
  </si>
  <si>
    <t>CUST-9056</t>
  </si>
  <si>
    <t>Smart Phones 125</t>
  </si>
  <si>
    <t>ORD-2024-10496</t>
  </si>
  <si>
    <t>05/15/2024</t>
  </si>
  <si>
    <t>CUST-9801</t>
  </si>
  <si>
    <t>Eco Phones 220</t>
  </si>
  <si>
    <t>ORD-2025-10497</t>
  </si>
  <si>
    <t>2025-07-04</t>
  </si>
  <si>
    <t>2025-07-06</t>
  </si>
  <si>
    <t>CUST-2038</t>
  </si>
  <si>
    <t>Eco Chairs 795</t>
  </si>
  <si>
    <t>ORD-2024-10498</t>
  </si>
  <si>
    <t>29 Aug 2024</t>
  </si>
  <si>
    <t>CUST-1567</t>
  </si>
  <si>
    <t>Smart Accessories 896</t>
  </si>
  <si>
    <t>ORD-2025-10499</t>
  </si>
  <si>
    <t>2025-09-07</t>
  </si>
  <si>
    <t>10 Sep 2025</t>
  </si>
  <si>
    <t>CUST-1190</t>
  </si>
  <si>
    <t>Basic Chairs 255</t>
  </si>
  <si>
    <t>ORD-2024-10500</t>
  </si>
  <si>
    <t>2024-12-22</t>
  </si>
  <si>
    <t>CUST-5604</t>
  </si>
  <si>
    <t>Eco Chairs 210</t>
  </si>
  <si>
    <t>ORD-2024-10501</t>
  </si>
  <si>
    <t>05/22/2024</t>
  </si>
  <si>
    <t>CUST-7661</t>
  </si>
  <si>
    <t>Prime Phones 533</t>
  </si>
  <si>
    <t>ORD-2024-10502</t>
  </si>
  <si>
    <t>11 Aug 2024</t>
  </si>
  <si>
    <t>08/17/2024</t>
  </si>
  <si>
    <t>Elite Art 325</t>
  </si>
  <si>
    <t>ORD-2024-10503</t>
  </si>
  <si>
    <t>04/01/2024</t>
  </si>
  <si>
    <t>2024-04-09</t>
  </si>
  <si>
    <t>CUST-1534</t>
  </si>
  <si>
    <t>Prime Copiers 557</t>
  </si>
  <si>
    <t>ORD-2024-10504</t>
  </si>
  <si>
    <t>2024-09-28</t>
  </si>
  <si>
    <t>2024-10-05</t>
  </si>
  <si>
    <t>CUST-7422</t>
  </si>
  <si>
    <t>Smart Phones 674</t>
  </si>
  <si>
    <t>ORD-2025-10505</t>
  </si>
  <si>
    <t>2025-02-12</t>
  </si>
  <si>
    <t>2025-02-17</t>
  </si>
  <si>
    <t>CUST-9693</t>
  </si>
  <si>
    <t>Elite Art 553</t>
  </si>
  <si>
    <t>ORD-2024-10506</t>
  </si>
  <si>
    <t>2024-11-09</t>
  </si>
  <si>
    <t>CUST-5458</t>
  </si>
  <si>
    <t>Classic Art 339</t>
  </si>
  <si>
    <t>ORD-2024-10507</t>
  </si>
  <si>
    <t>15-12-2024</t>
  </si>
  <si>
    <t>2024-12-15</t>
  </si>
  <si>
    <t>CUST-3011</t>
  </si>
  <si>
    <t>Smart Furnishings 352</t>
  </si>
  <si>
    <t>ORD-2025-10508</t>
  </si>
  <si>
    <t>CUST-1826</t>
  </si>
  <si>
    <t>Classic Binders 602</t>
  </si>
  <si>
    <t>ORD-2024-10509</t>
  </si>
  <si>
    <t>31 Mar 2024</t>
  </si>
  <si>
    <t>CUST-3333</t>
  </si>
  <si>
    <t>Smart Machines 853</t>
  </si>
  <si>
    <t>ORD-2025-10510</t>
  </si>
  <si>
    <t>2025-05-12</t>
  </si>
  <si>
    <t>05/14/2025</t>
  </si>
  <si>
    <t>CUST-7901</t>
  </si>
  <si>
    <t>Classic Machines 599</t>
  </si>
  <si>
    <t>ORD-2024-10511</t>
  </si>
  <si>
    <t>21-10-2024</t>
  </si>
  <si>
    <t>CUST-9759</t>
  </si>
  <si>
    <t>Aarav  Sharma</t>
  </si>
  <si>
    <t>Pro Storage 373</t>
  </si>
  <si>
    <t>ORD-2024-10512</t>
  </si>
  <si>
    <t>10/23/2024</t>
  </si>
  <si>
    <t>26 Oct 2024</t>
  </si>
  <si>
    <t>CUST-7232</t>
  </si>
  <si>
    <t>Smart Bookcases 920</t>
  </si>
  <si>
    <t>ORD-2025-10513</t>
  </si>
  <si>
    <t>2025-03-03</t>
  </si>
  <si>
    <t>Pro Labels 849</t>
  </si>
  <si>
    <t>ORD-2025-10514</t>
  </si>
  <si>
    <t>CUST-8993</t>
  </si>
  <si>
    <t>Prime Accessories 849</t>
  </si>
  <si>
    <t>ORD-2024-10515</t>
  </si>
  <si>
    <t>18 Nov 2024</t>
  </si>
  <si>
    <t>CUST-7729</t>
  </si>
  <si>
    <t>Smart Accessories 388</t>
  </si>
  <si>
    <t>ORD-2025-10516</t>
  </si>
  <si>
    <t>2025-04-11</t>
  </si>
  <si>
    <t>CUST-9986</t>
  </si>
  <si>
    <t>Classic Paper 752</t>
  </si>
  <si>
    <t>ORD-2024-10517</t>
  </si>
  <si>
    <t>09/28/2024</t>
  </si>
  <si>
    <t>04 Oct 2024</t>
  </si>
  <si>
    <t>CUST-2731</t>
  </si>
  <si>
    <t>Classic Copiers 143</t>
  </si>
  <si>
    <t>ORD-2025-10518</t>
  </si>
  <si>
    <t>2025-05-25</t>
  </si>
  <si>
    <t>CUST-4235</t>
  </si>
  <si>
    <t>Basic Furnishings 386</t>
  </si>
  <si>
    <t>ORD-2025-10519</t>
  </si>
  <si>
    <t>26 Apr 2025</t>
  </si>
  <si>
    <t>CUST-3377</t>
  </si>
  <si>
    <t>Classic Tables 592</t>
  </si>
  <si>
    <t>ORD-2025-10520</t>
  </si>
  <si>
    <t>2025-07-07</t>
  </si>
  <si>
    <t>CUST-3258</t>
  </si>
  <si>
    <t>Pro Tables 412</t>
  </si>
  <si>
    <t>ORD-2024-10521</t>
  </si>
  <si>
    <t>23 Jul 2024</t>
  </si>
  <si>
    <t>CUST-2155</t>
  </si>
  <si>
    <t>Prime Machines 393</t>
  </si>
  <si>
    <t>ORD-2025-10522</t>
  </si>
  <si>
    <t>2025-03-25</t>
  </si>
  <si>
    <t>2025-04-01</t>
  </si>
  <si>
    <t>CUST-8012</t>
  </si>
  <si>
    <t>Classic Labels 776</t>
  </si>
  <si>
    <t>ORD-2025-10523</t>
  </si>
  <si>
    <t>02/28/2025</t>
  </si>
  <si>
    <t>CUST-2917</t>
  </si>
  <si>
    <t>Max Phones 612</t>
  </si>
  <si>
    <t>ORD-2024-10524</t>
  </si>
  <si>
    <t>02-04-2024</t>
  </si>
  <si>
    <t>2024-04-03</t>
  </si>
  <si>
    <t>CUST-4653</t>
  </si>
  <si>
    <t>Basic Paper 315</t>
  </si>
  <si>
    <t>ORD-2024-10525</t>
  </si>
  <si>
    <t>30 Nov 2024</t>
  </si>
  <si>
    <t>01 Dec 2024</t>
  </si>
  <si>
    <t>CUST-3311</t>
  </si>
  <si>
    <t>Basic Chairs 333</t>
  </si>
  <si>
    <t>ORD-2024-10526</t>
  </si>
  <si>
    <t>10/17/2024</t>
  </si>
  <si>
    <t>2024-10-17</t>
  </si>
  <si>
    <t>CUST-2924</t>
  </si>
  <si>
    <t>Prime Chairs 215</t>
  </si>
  <si>
    <t>ORD-2025-10527</t>
  </si>
  <si>
    <t>2025-07-18</t>
  </si>
  <si>
    <t>21 Jul 2025</t>
  </si>
  <si>
    <t>CUST-7198</t>
  </si>
  <si>
    <t>Elite Tables 815</t>
  </si>
  <si>
    <t>ORD-2025-10528</t>
  </si>
  <si>
    <t>01-10-2025</t>
  </si>
  <si>
    <t>2025-10-05</t>
  </si>
  <si>
    <t>CUST-3419</t>
  </si>
  <si>
    <t>Basic Paper 388</t>
  </si>
  <si>
    <t>ORD-2024-10529</t>
  </si>
  <si>
    <t>2024-10-07</t>
  </si>
  <si>
    <t>09-10-2024</t>
  </si>
  <si>
    <t>CUST-2390</t>
  </si>
  <si>
    <t>Eco Binders 855</t>
  </si>
  <si>
    <t>ORD-2024-10530</t>
  </si>
  <si>
    <t>2024-02-08</t>
  </si>
  <si>
    <t>Classic Bookcases 947</t>
  </si>
  <si>
    <t>ORD-2025-10531</t>
  </si>
  <si>
    <t>05/30/2025</t>
  </si>
  <si>
    <t>2025-06-01</t>
  </si>
  <si>
    <t>CUST-8177</t>
  </si>
  <si>
    <t>Eco Binders 352</t>
  </si>
  <si>
    <t>ORD-2024-10532</t>
  </si>
  <si>
    <t>08-08-2024</t>
  </si>
  <si>
    <t>CUST-6357</t>
  </si>
  <si>
    <t>Pro Storage 364</t>
  </si>
  <si>
    <t>ORD-2025-10533</t>
  </si>
  <si>
    <t>CUST-7690</t>
  </si>
  <si>
    <t>Classic Tables 213</t>
  </si>
  <si>
    <t>ORD-2024-10534</t>
  </si>
  <si>
    <t>25 Aug 2024</t>
  </si>
  <si>
    <t>CUST-4487</t>
  </si>
  <si>
    <t>Smart Tables 659</t>
  </si>
  <si>
    <t>ORD-2025-10535</t>
  </si>
  <si>
    <t>04/27/2025</t>
  </si>
  <si>
    <t>2025-05-05</t>
  </si>
  <si>
    <t>CUST-8204</t>
  </si>
  <si>
    <t>Classic Accessories 325</t>
  </si>
  <si>
    <t>ORD-2024-10536</t>
  </si>
  <si>
    <t>19-05-2024</t>
  </si>
  <si>
    <t>21 May 2024</t>
  </si>
  <si>
    <t>CUST-1729</t>
  </si>
  <si>
    <t>Eco Copiers 243</t>
  </si>
  <si>
    <t>ORD-2025-10537</t>
  </si>
  <si>
    <t>2025-04-10</t>
  </si>
  <si>
    <t>2025-04-17</t>
  </si>
  <si>
    <t>CUST-4269</t>
  </si>
  <si>
    <t>Elite Chairs 777</t>
  </si>
  <si>
    <t>ORD-2024-10538</t>
  </si>
  <si>
    <t>2024-01-30</t>
  </si>
  <si>
    <t>CUST-1370</t>
  </si>
  <si>
    <t>Classic Art 772</t>
  </si>
  <si>
    <t>ORD-2024-10539</t>
  </si>
  <si>
    <t>01-10-2024</t>
  </si>
  <si>
    <t>CUST-5381</t>
  </si>
  <si>
    <t>Elite Tables 888</t>
  </si>
  <si>
    <t>ORD-2025-10540</t>
  </si>
  <si>
    <t>CUST-3694</t>
  </si>
  <si>
    <t>mira das</t>
  </si>
  <si>
    <t>Classic Chairs 666</t>
  </si>
  <si>
    <t>ORD-2024-10541</t>
  </si>
  <si>
    <t>26-02-2024</t>
  </si>
  <si>
    <t>CUST-7563</t>
  </si>
  <si>
    <t>Basic Furnishings 350</t>
  </si>
  <si>
    <t>ORD-2025-10542</t>
  </si>
  <si>
    <t>08-07-2025</t>
  </si>
  <si>
    <t>2025-07-09</t>
  </si>
  <si>
    <t>CUST-4188</t>
  </si>
  <si>
    <t>Elite Copiers 831</t>
  </si>
  <si>
    <t>ORD-2024-10543</t>
  </si>
  <si>
    <t>09/17/2024</t>
  </si>
  <si>
    <t>2024-09-23</t>
  </si>
  <si>
    <t>CUST-9376</t>
  </si>
  <si>
    <t>Eco Bookcases 759</t>
  </si>
  <si>
    <t>ORD-2024-10544</t>
  </si>
  <si>
    <t>2024-07-14</t>
  </si>
  <si>
    <t>CUST-9094</t>
  </si>
  <si>
    <t>Max Copiers 440</t>
  </si>
  <si>
    <t>ORD-2025-10545</t>
  </si>
  <si>
    <t>2025-01-29</t>
  </si>
  <si>
    <t>CUST-2366</t>
  </si>
  <si>
    <t>Smart Art 201</t>
  </si>
  <si>
    <t>ORD-2024-10546</t>
  </si>
  <si>
    <t>05/27/2024</t>
  </si>
  <si>
    <t>30 May 2024</t>
  </si>
  <si>
    <t>CUST-7168</t>
  </si>
  <si>
    <t>Classic Storage 755</t>
  </si>
  <si>
    <t>ORD-2025-10547</t>
  </si>
  <si>
    <t>2025-08-14</t>
  </si>
  <si>
    <t>CUST-8157</t>
  </si>
  <si>
    <t>Prime Paper 143</t>
  </si>
  <si>
    <t>ORD-2024-10548</t>
  </si>
  <si>
    <t>16 May 2024</t>
  </si>
  <si>
    <t>23 May 2024</t>
  </si>
  <si>
    <t>CUST-9146</t>
  </si>
  <si>
    <t>Max Copiers 607</t>
  </si>
  <si>
    <t>ORD-2024-10549</t>
  </si>
  <si>
    <t>CUST-5129</t>
  </si>
  <si>
    <t>Prime Bookcases 402</t>
  </si>
  <si>
    <t>ORD-2025-10550</t>
  </si>
  <si>
    <t>10/11/2025</t>
  </si>
  <si>
    <t>13 Oct 2025</t>
  </si>
  <si>
    <t>CUST-6028</t>
  </si>
  <si>
    <t>Pro Art 287</t>
  </si>
  <si>
    <t>ORD-2024-10551</t>
  </si>
  <si>
    <t>08/10/2024</t>
  </si>
  <si>
    <t>CUST-8687</t>
  </si>
  <si>
    <t>Max Accessories 591</t>
  </si>
  <si>
    <t>ORD-2024-10552</t>
  </si>
  <si>
    <t>2024-02-27</t>
  </si>
  <si>
    <t>CUST-8172</t>
  </si>
  <si>
    <t>Elite Chairs 314</t>
  </si>
  <si>
    <t>ORD-2025-10553</t>
  </si>
  <si>
    <t>CUST-8861</t>
  </si>
  <si>
    <t>Pro Copiers 246</t>
  </si>
  <si>
    <t>ORD-2025-10554</t>
  </si>
  <si>
    <t>04/25/2025</t>
  </si>
  <si>
    <t>2025-04-28</t>
  </si>
  <si>
    <t>CUST-9241</t>
  </si>
  <si>
    <t>Pro Storage 128</t>
  </si>
  <si>
    <t>ORD-2024-10555</t>
  </si>
  <si>
    <t>2024-10-12</t>
  </si>
  <si>
    <t>17 Oct 2024</t>
  </si>
  <si>
    <t>CUST-2126</t>
  </si>
  <si>
    <t>Prime Furnishings 892</t>
  </si>
  <si>
    <t>ORD-2025-10556</t>
  </si>
  <si>
    <t>10 Feb 2025</t>
  </si>
  <si>
    <t>CUST-7513</t>
  </si>
  <si>
    <t>Prime Storage 689</t>
  </si>
  <si>
    <t>ORD-2024-10557</t>
  </si>
  <si>
    <t>CUST-1992</t>
  </si>
  <si>
    <t>Classic Tables 769</t>
  </si>
  <si>
    <t>ORD-2024-10558</t>
  </si>
  <si>
    <t>2024-05-08</t>
  </si>
  <si>
    <t>14-05-2024</t>
  </si>
  <si>
    <t>CUST-8848</t>
  </si>
  <si>
    <t>Prime Phones 503</t>
  </si>
  <si>
    <t>ORD-2025-10559</t>
  </si>
  <si>
    <t>2025-09-04</t>
  </si>
  <si>
    <t>09/04/2025</t>
  </si>
  <si>
    <t>CUST-9368</t>
  </si>
  <si>
    <t>Basic Machines 136</t>
  </si>
  <si>
    <t>ORD-2025-10560</t>
  </si>
  <si>
    <t>2025-10-07</t>
  </si>
  <si>
    <t>CUST-6797</t>
  </si>
  <si>
    <t>Basic Copiers 512</t>
  </si>
  <si>
    <t>ORD-2024-10561</t>
  </si>
  <si>
    <t>2024-01-16</t>
  </si>
  <si>
    <t>CUST-9333</t>
  </si>
  <si>
    <t>Smart Storage 767</t>
  </si>
  <si>
    <t>ORD-2025-10562</t>
  </si>
  <si>
    <t>18 Jul 2025</t>
  </si>
  <si>
    <t>CUST-6654</t>
  </si>
  <si>
    <t>Eco Copiers 954</t>
  </si>
  <si>
    <t>ORD-2024-10563</t>
  </si>
  <si>
    <t>10 May 2024</t>
  </si>
  <si>
    <t>CUST-8622</t>
  </si>
  <si>
    <t>Elite Binders 143</t>
  </si>
  <si>
    <t>ORD-2024-10564</t>
  </si>
  <si>
    <t>05/06/2024</t>
  </si>
  <si>
    <t>CUST-8776</t>
  </si>
  <si>
    <t>Classic Tables 560</t>
  </si>
  <si>
    <t>ORD-2024-10565</t>
  </si>
  <si>
    <t>14-11-2024</t>
  </si>
  <si>
    <t>CUST-9100</t>
  </si>
  <si>
    <t>Basic Tables 759</t>
  </si>
  <si>
    <t>ORD-2025-10566</t>
  </si>
  <si>
    <t>07 Aug 2025</t>
  </si>
  <si>
    <t>CUST-5601</t>
  </si>
  <si>
    <t>Prime Phones 564</t>
  </si>
  <si>
    <t>ORD-2024-10567</t>
  </si>
  <si>
    <t>2024-08-19</t>
  </si>
  <si>
    <t>CUST-5246</t>
  </si>
  <si>
    <t>Smart Paper 807</t>
  </si>
  <si>
    <t>ORD-2024-10568</t>
  </si>
  <si>
    <t>06 Feb 2024</t>
  </si>
  <si>
    <t>10-02-2024</t>
  </si>
  <si>
    <t>CUST-3128</t>
  </si>
  <si>
    <t>ORD-2024-10569</t>
  </si>
  <si>
    <t>24 Jan 2024</t>
  </si>
  <si>
    <t>CUST-4604</t>
  </si>
  <si>
    <t>Classic Machines 522</t>
  </si>
  <si>
    <t>ORD-2025-10570</t>
  </si>
  <si>
    <t>09/08/2025</t>
  </si>
  <si>
    <t>2025-09-10</t>
  </si>
  <si>
    <t>CUST-2586</t>
  </si>
  <si>
    <t>Elite Furnishings 822</t>
  </si>
  <si>
    <t>ORD-2025-10571</t>
  </si>
  <si>
    <t>CUST-6585</t>
  </si>
  <si>
    <t>Max Furnishings 647</t>
  </si>
  <si>
    <t>ORD-2025-10572</t>
  </si>
  <si>
    <t>2025-02-14</t>
  </si>
  <si>
    <t>CUST-3425</t>
  </si>
  <si>
    <t>Prime Phones 895</t>
  </si>
  <si>
    <t>ORD-2024-10573</t>
  </si>
  <si>
    <t>01/02/2024</t>
  </si>
  <si>
    <t>09-01-2024</t>
  </si>
  <si>
    <t>CUST-8633</t>
  </si>
  <si>
    <t xml:space="preserve">  Diya Patel </t>
  </si>
  <si>
    <t>Eco Phones 368</t>
  </si>
  <si>
    <t>ORD-2025-10574</t>
  </si>
  <si>
    <t>09/22/2025</t>
  </si>
  <si>
    <t>09/26/2025</t>
  </si>
  <si>
    <t>CUST-8243</t>
  </si>
  <si>
    <t>Pro Phones 644</t>
  </si>
  <si>
    <t>ORD-2024-10575</t>
  </si>
  <si>
    <t>20 Feb 2024</t>
  </si>
  <si>
    <t>Smart Machines 566</t>
  </si>
  <si>
    <t>ORD-2025-10576</t>
  </si>
  <si>
    <t>11 Mar 2025</t>
  </si>
  <si>
    <t>14 Mar 2025</t>
  </si>
  <si>
    <t>CUST-5496</t>
  </si>
  <si>
    <t>Elite Furnishings 173</t>
  </si>
  <si>
    <t>ORD-2024-10577</t>
  </si>
  <si>
    <t>17-02-2024</t>
  </si>
  <si>
    <t>02/23/2024</t>
  </si>
  <si>
    <t>CUST-2228</t>
  </si>
  <si>
    <t>Smart Binders 417</t>
  </si>
  <si>
    <t>ORD-2025-10578</t>
  </si>
  <si>
    <t>2025-09-03</t>
  </si>
  <si>
    <t>CUST-4151</t>
  </si>
  <si>
    <t>Smart Furnishings 714</t>
  </si>
  <si>
    <t>ORD-2024-10579</t>
  </si>
  <si>
    <t>2024-02-21</t>
  </si>
  <si>
    <t>23-02-2024</t>
  </si>
  <si>
    <t>Elite Copiers 682</t>
  </si>
  <si>
    <t>ORD-2024-10580</t>
  </si>
  <si>
    <t>19-06-2024</t>
  </si>
  <si>
    <t>24 Jun 2024</t>
  </si>
  <si>
    <t>CUST-9617</t>
  </si>
  <si>
    <t>Pro Storage 482</t>
  </si>
  <si>
    <t>ORD-2025-10581</t>
  </si>
  <si>
    <t>06-03-2025</t>
  </si>
  <si>
    <t>CUST-7958</t>
  </si>
  <si>
    <t>Pro Chairs 888</t>
  </si>
  <si>
    <t>ORD-2025-10582</t>
  </si>
  <si>
    <t>08/10/2025</t>
  </si>
  <si>
    <t>CUST-9931</t>
  </si>
  <si>
    <t>Classic Art 611</t>
  </si>
  <si>
    <t>ORD-2024-10583</t>
  </si>
  <si>
    <t>2024-10-15</t>
  </si>
  <si>
    <t>10/20/2024</t>
  </si>
  <si>
    <t>CUST-2088</t>
  </si>
  <si>
    <t>Basic Art 174</t>
  </si>
  <si>
    <t>ORD-2024-10584</t>
  </si>
  <si>
    <t>02/28/2024</t>
  </si>
  <si>
    <t>CUST-1686</t>
  </si>
  <si>
    <t>Classic Storage 451</t>
  </si>
  <si>
    <t>ORD-2024-10585</t>
  </si>
  <si>
    <t>08/04/2024</t>
  </si>
  <si>
    <t>10-08-2024</t>
  </si>
  <si>
    <t>CUST-4894</t>
  </si>
  <si>
    <t>Pro Art 172</t>
  </si>
  <si>
    <t>ORD-2025-10586</t>
  </si>
  <si>
    <t>2025-06-25</t>
  </si>
  <si>
    <t>CUST-5201</t>
  </si>
  <si>
    <t>Prime Phones 744</t>
  </si>
  <si>
    <t>ORD-2025-10587</t>
  </si>
  <si>
    <t>12-04-2025</t>
  </si>
  <si>
    <t>12 Apr 2025</t>
  </si>
  <si>
    <t>CUST-8626</t>
  </si>
  <si>
    <t>Prime Binders 249</t>
  </si>
  <si>
    <t>ORD-2025-10588</t>
  </si>
  <si>
    <t>23-07-2025</t>
  </si>
  <si>
    <t>2025-07-31</t>
  </si>
  <si>
    <t>CUST-1013</t>
  </si>
  <si>
    <t>Eco Accessories 948</t>
  </si>
  <si>
    <t>ORD-2025-10589</t>
  </si>
  <si>
    <t>2025-03-11</t>
  </si>
  <si>
    <t>15 Mar 2025</t>
  </si>
  <si>
    <t>CUST-3601</t>
  </si>
  <si>
    <t>Classic Accessories 458</t>
  </si>
  <si>
    <t>ORD-2024-10590</t>
  </si>
  <si>
    <t>06 Dec 2024</t>
  </si>
  <si>
    <t>12/12/2024</t>
  </si>
  <si>
    <t>CUST-7846</t>
  </si>
  <si>
    <t>Max Phones 318</t>
  </si>
  <si>
    <t>ORD-2024-10591</t>
  </si>
  <si>
    <t>2024-05-29</t>
  </si>
  <si>
    <t>CUST-3433</t>
  </si>
  <si>
    <t>Elite Chairs 372</t>
  </si>
  <si>
    <t>ORD-2024-10592</t>
  </si>
  <si>
    <t>2024-02-22</t>
  </si>
  <si>
    <t>24-02-2024</t>
  </si>
  <si>
    <t>CUST-2423</t>
  </si>
  <si>
    <t>Eco Copiers 324</t>
  </si>
  <si>
    <t>ORD-2024-10593</t>
  </si>
  <si>
    <t>CUST-3559</t>
  </si>
  <si>
    <t>Classic Accessories 131</t>
  </si>
  <si>
    <t>ORD-2025-10594</t>
  </si>
  <si>
    <t>2025-09-29</t>
  </si>
  <si>
    <t>Eco Tables 550</t>
  </si>
  <si>
    <t>ORD-2024-10595</t>
  </si>
  <si>
    <t>2024-09-19</t>
  </si>
  <si>
    <t>CUST-6850</t>
  </si>
  <si>
    <t>Basic Chairs 932</t>
  </si>
  <si>
    <t>ORD-2025-10596</t>
  </si>
  <si>
    <t>02/11/2025</t>
  </si>
  <si>
    <t>16-02-2025</t>
  </si>
  <si>
    <t>CUST-5566</t>
  </si>
  <si>
    <t>Classic Phones 294</t>
  </si>
  <si>
    <t>ORD-2024-10597</t>
  </si>
  <si>
    <t>CUST-2593</t>
  </si>
  <si>
    <t>Elite Chairs 700</t>
  </si>
  <si>
    <t>ORD-2025-10598</t>
  </si>
  <si>
    <t>08 Jul 2025</t>
  </si>
  <si>
    <t>CUST-6957</t>
  </si>
  <si>
    <t>Prime Copiers 969</t>
  </si>
  <si>
    <t>ORD-2024-10599</t>
  </si>
  <si>
    <t>08/24/2024</t>
  </si>
  <si>
    <t>CUST-8498</t>
  </si>
  <si>
    <t>Eco Copiers 268</t>
  </si>
  <si>
    <t>ORD-2024-10600</t>
  </si>
  <si>
    <t>19-08-2024</t>
  </si>
  <si>
    <t>CUST-2612</t>
  </si>
  <si>
    <t>Pro Phones 588</t>
  </si>
  <si>
    <t>ORD-2025-10601</t>
  </si>
  <si>
    <t>05-03-2025</t>
  </si>
  <si>
    <t>2025-03-12</t>
  </si>
  <si>
    <t>CUST-6013</t>
  </si>
  <si>
    <t>Prime Storage 432</t>
  </si>
  <si>
    <t>ORD-2024-10602</t>
  </si>
  <si>
    <t>26 Jan 2024</t>
  </si>
  <si>
    <t>01/31/2024</t>
  </si>
  <si>
    <t>CUST-8289</t>
  </si>
  <si>
    <t>Basic Paper 452</t>
  </si>
  <si>
    <t>ORD-2024-10603</t>
  </si>
  <si>
    <t>23-10-2024</t>
  </si>
  <si>
    <t>2024-10-30</t>
  </si>
  <si>
    <t>CUST-5668</t>
  </si>
  <si>
    <t>Max Copiers 477</t>
  </si>
  <si>
    <t>ORD-2025-10604</t>
  </si>
  <si>
    <t>01/03/2025</t>
  </si>
  <si>
    <t>Prime Accessories 300</t>
  </si>
  <si>
    <t>ORD-2025-10605</t>
  </si>
  <si>
    <t>05-02-2025</t>
  </si>
  <si>
    <t>02/06/2025</t>
  </si>
  <si>
    <t>CUST-4526</t>
  </si>
  <si>
    <t>Max Binders 547</t>
  </si>
  <si>
    <t>ORD-2025-10606</t>
  </si>
  <si>
    <t>13 Jul 2025</t>
  </si>
  <si>
    <t>CUST-4447</t>
  </si>
  <si>
    <t>Pro Furnishings 267</t>
  </si>
  <si>
    <t>ORD-2025-10607</t>
  </si>
  <si>
    <t>22 Feb 2025</t>
  </si>
  <si>
    <t>CUST-2698</t>
  </si>
  <si>
    <t>Max Copiers 520</t>
  </si>
  <si>
    <t>ORD-2025-10608</t>
  </si>
  <si>
    <t>CUST-6297</t>
  </si>
  <si>
    <t>Max Storage 424</t>
  </si>
  <si>
    <t>ORD-2024-10609</t>
  </si>
  <si>
    <t>Elite Furnishings 706</t>
  </si>
  <si>
    <t>ORD-2025-10610</t>
  </si>
  <si>
    <t>CUST-4380</t>
  </si>
  <si>
    <t>Pro Chairs 908</t>
  </si>
  <si>
    <t>ORD-2024-10611</t>
  </si>
  <si>
    <t>20 May 2024</t>
  </si>
  <si>
    <t>05/20/2024</t>
  </si>
  <si>
    <t>Pro Chairs 712</t>
  </si>
  <si>
    <t>ORD-2025-10612</t>
  </si>
  <si>
    <t>15 Jul 2025</t>
  </si>
  <si>
    <t>CUST-6108</t>
  </si>
  <si>
    <t>Max Binders 785</t>
  </si>
  <si>
    <t>ORD-2025-10613</t>
  </si>
  <si>
    <t>06 Apr 2025</t>
  </si>
  <si>
    <t>13-04-2025</t>
  </si>
  <si>
    <t>CUST-5663</t>
  </si>
  <si>
    <t>Elite Phones 239</t>
  </si>
  <si>
    <t>ORD-2024-10614</t>
  </si>
  <si>
    <t>10/10/2024</t>
  </si>
  <si>
    <t>CUST-9311</t>
  </si>
  <si>
    <t>Basic Machines 413</t>
  </si>
  <si>
    <t>ORD-2024-10615</t>
  </si>
  <si>
    <t>19-02-2024</t>
  </si>
  <si>
    <t>CUST-8154</t>
  </si>
  <si>
    <t>Elite Chairs 140</t>
  </si>
  <si>
    <t>ORD-2024-10616</t>
  </si>
  <si>
    <t>2024-10-04</t>
  </si>
  <si>
    <t>10/07/2024</t>
  </si>
  <si>
    <t>CUST-4462</t>
  </si>
  <si>
    <t>Basic Art 771</t>
  </si>
  <si>
    <t>ORD-2024-10617</t>
  </si>
  <si>
    <t>16 Aug 2024</t>
  </si>
  <si>
    <t>CUST-4660</t>
  </si>
  <si>
    <t>Prime Paper 664</t>
  </si>
  <si>
    <t>ORD-2024-10618</t>
  </si>
  <si>
    <t>09/29/2024</t>
  </si>
  <si>
    <t>CUST-9002</t>
  </si>
  <si>
    <t>Pro Phones 226</t>
  </si>
  <si>
    <t>ORD-2024-10619</t>
  </si>
  <si>
    <t>2024-07-23</t>
  </si>
  <si>
    <t>CUST-1057</t>
  </si>
  <si>
    <t>Basic Tables 684</t>
  </si>
  <si>
    <t>ORD-2024-10620</t>
  </si>
  <si>
    <t>27 Nov 2024</t>
  </si>
  <si>
    <t>CUST-9596</t>
  </si>
  <si>
    <t>Prime Binders 938</t>
  </si>
  <si>
    <t>ORD-2024-10621</t>
  </si>
  <si>
    <t>18-08-2024</t>
  </si>
  <si>
    <t>08/21/2024</t>
  </si>
  <si>
    <t>CUST-6947</t>
  </si>
  <si>
    <t>Classic Machines 337</t>
  </si>
  <si>
    <t>ORD-2024-10622</t>
  </si>
  <si>
    <t>06-12-2024</t>
  </si>
  <si>
    <t>CUST-7236</t>
  </si>
  <si>
    <t>Max Chairs 748</t>
  </si>
  <si>
    <t>ORD-2025-10623</t>
  </si>
  <si>
    <t>29-01-2025</t>
  </si>
  <si>
    <t>06 Feb 2025</t>
  </si>
  <si>
    <t>CUST-1127</t>
  </si>
  <si>
    <t>Basic Storage 934</t>
  </si>
  <si>
    <t>ORD-2024-10624</t>
  </si>
  <si>
    <t>08 Aug 2024</t>
  </si>
  <si>
    <t>14 Aug 2024</t>
  </si>
  <si>
    <t>CUST-6262</t>
  </si>
  <si>
    <t>Pro Storage 509</t>
  </si>
  <si>
    <t>ORD-2024-10625</t>
  </si>
  <si>
    <t>01/30/2024</t>
  </si>
  <si>
    <t>2024-02-01</t>
  </si>
  <si>
    <t>CUST-5070</t>
  </si>
  <si>
    <t>Prime Chairs 765</t>
  </si>
  <si>
    <t>ORD-2024-10626</t>
  </si>
  <si>
    <t>12/15/2024</t>
  </si>
  <si>
    <t>CUST-7946</t>
  </si>
  <si>
    <t>Elite Chairs 358</t>
  </si>
  <si>
    <t>ORD-2025-10627</t>
  </si>
  <si>
    <t>06/07/2025</t>
  </si>
  <si>
    <t>CUST-1793</t>
  </si>
  <si>
    <t>Elite Machines 971</t>
  </si>
  <si>
    <t>ORD-2025-10628</t>
  </si>
  <si>
    <t>CUST-8839</t>
  </si>
  <si>
    <t>Max Phones 825</t>
  </si>
  <si>
    <t>ORD-2025-10629</t>
  </si>
  <si>
    <t>12 Oct 2025</t>
  </si>
  <si>
    <t>CUST-6725</t>
  </si>
  <si>
    <t>Eco Accessories 933</t>
  </si>
  <si>
    <t>ORD-2025-10630</t>
  </si>
  <si>
    <t>14 Sep 2025</t>
  </si>
  <si>
    <t>CUST-3793</t>
  </si>
  <si>
    <t>Max Tables 908</t>
  </si>
  <si>
    <t>ORD-2024-10631</t>
  </si>
  <si>
    <t>CUST-6075</t>
  </si>
  <si>
    <t>Elite Paper 239</t>
  </si>
  <si>
    <t>ORD-2024-10632</t>
  </si>
  <si>
    <t>CUST-6381</t>
  </si>
  <si>
    <t>Eco Chairs 452</t>
  </si>
  <si>
    <t>ORD-2025-10633</t>
  </si>
  <si>
    <t>15-04-2025</t>
  </si>
  <si>
    <t>16-04-2025</t>
  </si>
  <si>
    <t>CUST-4593</t>
  </si>
  <si>
    <t>Smart Furnishings 721</t>
  </si>
  <si>
    <t>ORD-2025-10634</t>
  </si>
  <si>
    <t>04/18/2025</t>
  </si>
  <si>
    <t>20 Apr 2025</t>
  </si>
  <si>
    <t>CUST-5043</t>
  </si>
  <si>
    <t>Basic Accessories 729</t>
  </si>
  <si>
    <t>ORD-2025-10635</t>
  </si>
  <si>
    <t>01/11/2025</t>
  </si>
  <si>
    <t>CUST-4722</t>
  </si>
  <si>
    <t>Classic Chairs 220</t>
  </si>
  <si>
    <t>ORD-2024-10636</t>
  </si>
  <si>
    <t>2024-05-25</t>
  </si>
  <si>
    <t>CUST-7931</t>
  </si>
  <si>
    <t>Max Chairs 305</t>
  </si>
  <si>
    <t>ORD-2024-10637</t>
  </si>
  <si>
    <t>02 Oct 2024</t>
  </si>
  <si>
    <t>09 Oct 2024</t>
  </si>
  <si>
    <t>CUST-7221</t>
  </si>
  <si>
    <t>Smart Paper 872</t>
  </si>
  <si>
    <t>ORD-2024-10638</t>
  </si>
  <si>
    <t>26-05-2024</t>
  </si>
  <si>
    <t>2024-05-26</t>
  </si>
  <si>
    <t>CUST-2594</t>
  </si>
  <si>
    <t>Max Copiers 994</t>
  </si>
  <si>
    <t>ORD-2024-10639</t>
  </si>
  <si>
    <t>31-01-2024</t>
  </si>
  <si>
    <t>CUST-2111</t>
  </si>
  <si>
    <t>Pro Storage 744</t>
  </si>
  <si>
    <t>ORD-2024-10640</t>
  </si>
  <si>
    <t>12/27/2024</t>
  </si>
  <si>
    <t>CUST-6829</t>
  </si>
  <si>
    <t>Elite Chairs 744</t>
  </si>
  <si>
    <t>ORD-2025-10641</t>
  </si>
  <si>
    <t>14-01-2025</t>
  </si>
  <si>
    <t>17 Jan 2025</t>
  </si>
  <si>
    <t>CUST-5061</t>
  </si>
  <si>
    <t>Basic Storage 973</t>
  </si>
  <si>
    <t>ORD-2025-10642</t>
  </si>
  <si>
    <t>2025-04-09</t>
  </si>
  <si>
    <t>CUST-7915</t>
  </si>
  <si>
    <t>Smart Furnishings 783</t>
  </si>
  <si>
    <t>ORD-2024-10643</t>
  </si>
  <si>
    <t>CUST-1940</t>
  </si>
  <si>
    <t>Prime Binders 287</t>
  </si>
  <si>
    <t>ORD-2024-10644</t>
  </si>
  <si>
    <t>05-02-2024</t>
  </si>
  <si>
    <t>2024-02-13</t>
  </si>
  <si>
    <t>Elite Labels 654</t>
  </si>
  <si>
    <t>ORD-2025-10645</t>
  </si>
  <si>
    <t>04/17/2025</t>
  </si>
  <si>
    <t>CUST-5549</t>
  </si>
  <si>
    <t>Pro Chairs 812</t>
  </si>
  <si>
    <t>ORD-2024-10646</t>
  </si>
  <si>
    <t>2024-01-04</t>
  </si>
  <si>
    <t>CUST-2314</t>
  </si>
  <si>
    <t>Basic Chairs 480</t>
  </si>
  <si>
    <t>ORD-2024-10647</t>
  </si>
  <si>
    <t>09/18/2024</t>
  </si>
  <si>
    <t>24-09-2024</t>
  </si>
  <si>
    <t>CUST-6360</t>
  </si>
  <si>
    <t>Elite Machines 955</t>
  </si>
  <si>
    <t>ORD-2025-10648</t>
  </si>
  <si>
    <t>09-01-2025</t>
  </si>
  <si>
    <t>CUST-9942</t>
  </si>
  <si>
    <t>Rohan  Mehta</t>
  </si>
  <si>
    <t>Prime Art 461</t>
  </si>
  <si>
    <t>ORD-2024-10649</t>
  </si>
  <si>
    <t>21-04-2024</t>
  </si>
  <si>
    <t>CUST-1808</t>
  </si>
  <si>
    <t>Prime Art 301</t>
  </si>
  <si>
    <t>ORD-2025-10650</t>
  </si>
  <si>
    <t>11 Aug 2025</t>
  </si>
  <si>
    <t>19-08-2025</t>
  </si>
  <si>
    <t>CUST-7277</t>
  </si>
  <si>
    <t>Classic Accessories 354</t>
  </si>
  <si>
    <t>ORD-2024-10651</t>
  </si>
  <si>
    <t>04/13/2024</t>
  </si>
  <si>
    <t>21 Apr 2024</t>
  </si>
  <si>
    <t>Basic Accessories 210</t>
  </si>
  <si>
    <t>ORD-2025-10652</t>
  </si>
  <si>
    <t>09-08-2025</t>
  </si>
  <si>
    <t>CUST-2660</t>
  </si>
  <si>
    <t>Smart Paper 364</t>
  </si>
  <si>
    <t>ORD-2025-10653</t>
  </si>
  <si>
    <t>03/17/2025</t>
  </si>
  <si>
    <t>2025-03-21</t>
  </si>
  <si>
    <t>Smart Binders 999</t>
  </si>
  <si>
    <t>ORD-2025-10654</t>
  </si>
  <si>
    <t>04-04-2025</t>
  </si>
  <si>
    <t>04/07/2025</t>
  </si>
  <si>
    <t>CUST-3970</t>
  </si>
  <si>
    <t>Max Copiers 356</t>
  </si>
  <si>
    <t>ORD-2025-10655</t>
  </si>
  <si>
    <t>10/12/2025</t>
  </si>
  <si>
    <t>Classic Machines 639</t>
  </si>
  <si>
    <t>ORD-2025-10656</t>
  </si>
  <si>
    <t>CUST-8039</t>
  </si>
  <si>
    <t>Smart Furnishings 748</t>
  </si>
  <si>
    <t>ORD-2024-10657</t>
  </si>
  <si>
    <t>07-05-2024</t>
  </si>
  <si>
    <t>CUST-4446</t>
  </si>
  <si>
    <t>Pro Machines 589</t>
  </si>
  <si>
    <t>ORD-2025-10658</t>
  </si>
  <si>
    <t>08/07/2025</t>
  </si>
  <si>
    <t>2025-08-10</t>
  </si>
  <si>
    <t>CUST-7787</t>
  </si>
  <si>
    <t>Eco Storage 316</t>
  </si>
  <si>
    <t>ORD-2025-10659</t>
  </si>
  <si>
    <t>2025-06-09</t>
  </si>
  <si>
    <t>CUST-9074</t>
  </si>
  <si>
    <t>Eco Art 763</t>
  </si>
  <si>
    <t>ORD-2025-10660</t>
  </si>
  <si>
    <t>CUST-8330</t>
  </si>
  <si>
    <t>Pro Phones 356</t>
  </si>
  <si>
    <t>ORD-2025-10661</t>
  </si>
  <si>
    <t>15-07-2025</t>
  </si>
  <si>
    <t>CUST-5638</t>
  </si>
  <si>
    <t>Basic Phones 865</t>
  </si>
  <si>
    <t>ORD-2024-10662</t>
  </si>
  <si>
    <t>17-05-2024</t>
  </si>
  <si>
    <t>2024-05-22</t>
  </si>
  <si>
    <t>CUST-4537</t>
  </si>
  <si>
    <t>Max Machines 595</t>
  </si>
  <si>
    <t>ORD-2024-10663</t>
  </si>
  <si>
    <t>2024-01-14</t>
  </si>
  <si>
    <t>18-01-2024</t>
  </si>
  <si>
    <t>CUST-3181</t>
  </si>
  <si>
    <t>Elite Machines 367</t>
  </si>
  <si>
    <t>ORD-2024-10664</t>
  </si>
  <si>
    <t>CUST-1015</t>
  </si>
  <si>
    <t>Basic Copiers 787</t>
  </si>
  <si>
    <t>ORD-2024-10665</t>
  </si>
  <si>
    <t>07 Dec 2024</t>
  </si>
  <si>
    <t>10 Dec 2024</t>
  </si>
  <si>
    <t>CUST-2709</t>
  </si>
  <si>
    <t>Max Accessories 903</t>
  </si>
  <si>
    <t>ORD-2025-10666</t>
  </si>
  <si>
    <t>2025-01-13</t>
  </si>
  <si>
    <t>01/13/2025</t>
  </si>
  <si>
    <t>CUST-1197</t>
  </si>
  <si>
    <t xml:space="preserve">  Rahul Verma </t>
  </si>
  <si>
    <t>Max Art 660</t>
  </si>
  <si>
    <t>ORD-2024-10667</t>
  </si>
  <si>
    <t>CUST-7758</t>
  </si>
  <si>
    <t>Classic Copiers 908</t>
  </si>
  <si>
    <t>ORD-2025-10668</t>
  </si>
  <si>
    <t>20-05-2025</t>
  </si>
  <si>
    <t>27-05-2025</t>
  </si>
  <si>
    <t>CUST-3912</t>
  </si>
  <si>
    <t>Pro Machines 706</t>
  </si>
  <si>
    <t>ORD-2024-10669</t>
  </si>
  <si>
    <t>11/21/2024</t>
  </si>
  <si>
    <t>CUST-4190</t>
  </si>
  <si>
    <t>Pro Paper 187</t>
  </si>
  <si>
    <t>ORD-2024-10670</t>
  </si>
  <si>
    <t>2024-03-24</t>
  </si>
  <si>
    <t>01 Apr 2024</t>
  </si>
  <si>
    <t>CUST-7568</t>
  </si>
  <si>
    <t>Classic Tables 606</t>
  </si>
  <si>
    <t>ORD-2025-10671</t>
  </si>
  <si>
    <t>02/02/2025</t>
  </si>
  <si>
    <t>Smart Tables 835</t>
  </si>
  <si>
    <t>ORD-2024-10672</t>
  </si>
  <si>
    <t>2024-03-22</t>
  </si>
  <si>
    <t>27-03-2024</t>
  </si>
  <si>
    <t>CUST-3293</t>
  </si>
  <si>
    <t>Classic Copiers 583</t>
  </si>
  <si>
    <t>ORD-2024-10673</t>
  </si>
  <si>
    <t>2024-09-04</t>
  </si>
  <si>
    <t>2024-09-05</t>
  </si>
  <si>
    <t>CUST-8180</t>
  </si>
  <si>
    <t>Classic Chairs 460</t>
  </si>
  <si>
    <t>ORD-2025-10674</t>
  </si>
  <si>
    <t>16 Feb 2025</t>
  </si>
  <si>
    <t>CUST-2807</t>
  </si>
  <si>
    <t>Classic Bookcases 488</t>
  </si>
  <si>
    <t>ORD-2024-10675</t>
  </si>
  <si>
    <t>2024-05-18</t>
  </si>
  <si>
    <t>2024-05-21</t>
  </si>
  <si>
    <t>CUST-4081</t>
  </si>
  <si>
    <t>Basic Accessories 944</t>
  </si>
  <si>
    <t>ORD-2025-10676</t>
  </si>
  <si>
    <t>07-06-2025</t>
  </si>
  <si>
    <t>06/10/2025</t>
  </si>
  <si>
    <t>Eco Furnishings 217</t>
  </si>
  <si>
    <t>ORD-2025-10677</t>
  </si>
  <si>
    <t>09/11/2025</t>
  </si>
  <si>
    <t>09/18/2025</t>
  </si>
  <si>
    <t>CUST-9212</t>
  </si>
  <si>
    <t>Smart Phones 967</t>
  </si>
  <si>
    <t>ORD-2024-10678</t>
  </si>
  <si>
    <t>2024-06-22</t>
  </si>
  <si>
    <t>27-06-2024</t>
  </si>
  <si>
    <t>Smart Chairs 610</t>
  </si>
  <si>
    <t>ORD-2024-10679</t>
  </si>
  <si>
    <t>24-11-2024</t>
  </si>
  <si>
    <t>12/01/2024</t>
  </si>
  <si>
    <t>CUST-1674</t>
  </si>
  <si>
    <t>Prime Tables 123</t>
  </si>
  <si>
    <t>ORD-2025-10680</t>
  </si>
  <si>
    <t>16-08-2025</t>
  </si>
  <si>
    <t>CUST-2897</t>
  </si>
  <si>
    <t>Smart Copiers 579</t>
  </si>
  <si>
    <t>ORD-2024-10681</t>
  </si>
  <si>
    <t>CUST-1136</t>
  </si>
  <si>
    <t>Eco Accessories 658</t>
  </si>
  <si>
    <t>ORD-2024-10682</t>
  </si>
  <si>
    <t>07/04/2024</t>
  </si>
  <si>
    <t>2024-07-10</t>
  </si>
  <si>
    <t>CUST-1376</t>
  </si>
  <si>
    <t>Smart Tables 777</t>
  </si>
  <si>
    <t>ORD-2025-10683</t>
  </si>
  <si>
    <t>CUST-1553</t>
  </si>
  <si>
    <t>ananya rao</t>
  </si>
  <si>
    <t>Eco Storage 861</t>
  </si>
  <si>
    <t>ORD-2025-10684</t>
  </si>
  <si>
    <t>2025-07-20</t>
  </si>
  <si>
    <t>CUST-5704</t>
  </si>
  <si>
    <t>Eco Furnishings 875</t>
  </si>
  <si>
    <t>ORD-2025-10685</t>
  </si>
  <si>
    <t>2025-07-21</t>
  </si>
  <si>
    <t>CUST-6738</t>
  </si>
  <si>
    <t>Prime Bookcases 784</t>
  </si>
  <si>
    <t>ORD-2025-10686</t>
  </si>
  <si>
    <t>01 Oct 2025</t>
  </si>
  <si>
    <t>Classic Art 380</t>
  </si>
  <si>
    <t>ORD-2024-10687</t>
  </si>
  <si>
    <t>25-03-2024</t>
  </si>
  <si>
    <t>CUST-3127</t>
  </si>
  <si>
    <t>Pro Copiers 502</t>
  </si>
  <si>
    <t>ORD-2025-10688</t>
  </si>
  <si>
    <t>13-10-2025</t>
  </si>
  <si>
    <t>CUST-9347</t>
  </si>
  <si>
    <t>Prime Tables 604</t>
  </si>
  <si>
    <t>ORD-2025-10689</t>
  </si>
  <si>
    <t>27 Feb 2025</t>
  </si>
  <si>
    <t>CUST-8575</t>
  </si>
  <si>
    <t>Basic Art 798</t>
  </si>
  <si>
    <t>ORD-2024-10690</t>
  </si>
  <si>
    <t>05-10-2024</t>
  </si>
  <si>
    <t>06 Oct 2024</t>
  </si>
  <si>
    <t>CUST-4382</t>
  </si>
  <si>
    <t>Elite Tables 717</t>
  </si>
  <si>
    <t>ORD-2024-10691</t>
  </si>
  <si>
    <t>2024-09-15</t>
  </si>
  <si>
    <t>CUST-6815</t>
  </si>
  <si>
    <t>Max Art 725</t>
  </si>
  <si>
    <t>ORD-2024-10692</t>
  </si>
  <si>
    <t>16-12-2024</t>
  </si>
  <si>
    <t>CUST-7309</t>
  </si>
  <si>
    <t>Smart Copiers 456</t>
  </si>
  <si>
    <t>ORD-2025-10693</t>
  </si>
  <si>
    <t>10-10-2025</t>
  </si>
  <si>
    <t>CUST-9531</t>
  </si>
  <si>
    <t>Prime Furnishings 883</t>
  </si>
  <si>
    <t>ORD-2025-10694</t>
  </si>
  <si>
    <t>03-04-2025</t>
  </si>
  <si>
    <t>CUST-6032</t>
  </si>
  <si>
    <t>Smart Bookcases 828</t>
  </si>
  <si>
    <t>ORD-2025-10695</t>
  </si>
  <si>
    <t>Classic Storage 291</t>
  </si>
  <si>
    <t>ORD-2024-10696</t>
  </si>
  <si>
    <t>2024-07-01</t>
  </si>
  <si>
    <t>CUST-6257</t>
  </si>
  <si>
    <t>Prime Machines 102</t>
  </si>
  <si>
    <t>ORD-2025-10697</t>
  </si>
  <si>
    <t>22 Sep 2025</t>
  </si>
  <si>
    <t>25 Sep 2025</t>
  </si>
  <si>
    <t>CUST-7812</t>
  </si>
  <si>
    <t>Classic Phones 842</t>
  </si>
  <si>
    <t>ORD-2025-10698</t>
  </si>
  <si>
    <t>CUST-6205</t>
  </si>
  <si>
    <t>Max Labels 970</t>
  </si>
  <si>
    <t>ORD-2024-10699</t>
  </si>
  <si>
    <t>14-09-2024</t>
  </si>
  <si>
    <t>CUST-5357</t>
  </si>
  <si>
    <t>Classic Machines 648</t>
  </si>
  <si>
    <t>ORD-2024-10700</t>
  </si>
  <si>
    <t>2024-06-11</t>
  </si>
  <si>
    <t>11 Jun 2024</t>
  </si>
  <si>
    <t>CUST-9802</t>
  </si>
  <si>
    <t>Max Bookcases 565</t>
  </si>
  <si>
    <t>ORD-2024-10701</t>
  </si>
  <si>
    <t>18-09-2024</t>
  </si>
  <si>
    <t>CUST-5646</t>
  </si>
  <si>
    <t>Basic Machines 220</t>
  </si>
  <si>
    <t>ORD-2024-10702</t>
  </si>
  <si>
    <t>CUST-7171</t>
  </si>
  <si>
    <t>Pro Art 151</t>
  </si>
  <si>
    <t>ORD-2025-10703</t>
  </si>
  <si>
    <t>2025-02-02</t>
  </si>
  <si>
    <t>CUST-5231</t>
  </si>
  <si>
    <t>Pro Tables 980</t>
  </si>
  <si>
    <t>ORD-2024-10704</t>
  </si>
  <si>
    <t>19 Oct 2024</t>
  </si>
  <si>
    <t>CUST-8734</t>
  </si>
  <si>
    <t>Classic Tables 997</t>
  </si>
  <si>
    <t>ORD-2024-10705</t>
  </si>
  <si>
    <t>03/20/2024</t>
  </si>
  <si>
    <t>CUST-4916</t>
  </si>
  <si>
    <t>Max Bookcases 738</t>
  </si>
  <si>
    <t>ORD-2024-10706</t>
  </si>
  <si>
    <t>08 Sep 2024</t>
  </si>
  <si>
    <t>09/14/2024</t>
  </si>
  <si>
    <t>CUST-3289</t>
  </si>
  <si>
    <t>Max Binders 411</t>
  </si>
  <si>
    <t>ORD-2024-10707</t>
  </si>
  <si>
    <t>24-06-2024</t>
  </si>
  <si>
    <t>CUST-4928</t>
  </si>
  <si>
    <t>Max Paper 343</t>
  </si>
  <si>
    <t>ORD-2025-10708</t>
  </si>
  <si>
    <t>24-06-2025</t>
  </si>
  <si>
    <t>CUST-4902</t>
  </si>
  <si>
    <t>Pro Accessories 485</t>
  </si>
  <si>
    <t>ORD-2025-10709</t>
  </si>
  <si>
    <t>03/20/2025</t>
  </si>
  <si>
    <t>2025-03-26</t>
  </si>
  <si>
    <t>CUST-6504</t>
  </si>
  <si>
    <t>Elite Bookcases 113</t>
  </si>
  <si>
    <t>ORD-2025-10710</t>
  </si>
  <si>
    <t>CUST-8036</t>
  </si>
  <si>
    <t>Eco Phones 787</t>
  </si>
  <si>
    <t>ORD-2024-10711</t>
  </si>
  <si>
    <t>07/12/2024</t>
  </si>
  <si>
    <t>07/19/2024</t>
  </si>
  <si>
    <t>CUST-7199</t>
  </si>
  <si>
    <t>Smart Art 279</t>
  </si>
  <si>
    <t>ORD-2025-10712</t>
  </si>
  <si>
    <t>02-02-2025</t>
  </si>
  <si>
    <t>CUST-6176</t>
  </si>
  <si>
    <t>Basic Machines 172</t>
  </si>
  <si>
    <t>ORD-2024-10713</t>
  </si>
  <si>
    <t>18 Feb 2024</t>
  </si>
  <si>
    <t>CUST-5127</t>
  </si>
  <si>
    <t>Smart Chairs 259</t>
  </si>
  <si>
    <t>ORD-2025-10714</t>
  </si>
  <si>
    <t>06/06/2025</t>
  </si>
  <si>
    <t>Pro Machines 987</t>
  </si>
  <si>
    <t>ORD-2025-10715</t>
  </si>
  <si>
    <t>CUST-9902</t>
  </si>
  <si>
    <t>Pro Copiers 206</t>
  </si>
  <si>
    <t>ORD-2025-10716</t>
  </si>
  <si>
    <t>CUST-7446</t>
  </si>
  <si>
    <t>Max Chairs 372</t>
  </si>
  <si>
    <t>ORD-2025-10717</t>
  </si>
  <si>
    <t>26 Aug 2025</t>
  </si>
  <si>
    <t>CUST-7540</t>
  </si>
  <si>
    <t>Basic Phones 496</t>
  </si>
  <si>
    <t>ORD-2025-10718</t>
  </si>
  <si>
    <t>12-10-2025</t>
  </si>
  <si>
    <t>CUST-8351</t>
  </si>
  <si>
    <t>Prime Machines 612</t>
  </si>
  <si>
    <t>ORD-2024-10719</t>
  </si>
  <si>
    <t>06 Sep 2024</t>
  </si>
  <si>
    <t>CUST-3918</t>
  </si>
  <si>
    <t>Smart Art 866</t>
  </si>
  <si>
    <t>ORD-2025-10720</t>
  </si>
  <si>
    <t>Pro Art 447</t>
  </si>
  <si>
    <t>ORD-2024-10721</t>
  </si>
  <si>
    <t>07/16/2024</t>
  </si>
  <si>
    <t>CUST-1991</t>
  </si>
  <si>
    <t>Smart Copiers 196</t>
  </si>
  <si>
    <t>ORD-2025-10722</t>
  </si>
  <si>
    <t>23-06-2025</t>
  </si>
  <si>
    <t>CUST-7606</t>
  </si>
  <si>
    <t>Pro Copiers 532</t>
  </si>
  <si>
    <t>ORD-2024-10723</t>
  </si>
  <si>
    <t>10 Oct 2024</t>
  </si>
  <si>
    <t>CUST-8844</t>
  </si>
  <si>
    <t>Eco Chairs 442</t>
  </si>
  <si>
    <t>ORD-2025-10724</t>
  </si>
  <si>
    <t>2025-10-13</t>
  </si>
  <si>
    <t>CUST-4335</t>
  </si>
  <si>
    <t>Eco Accessories 364</t>
  </si>
  <si>
    <t>ORD-2024-10725</t>
  </si>
  <si>
    <t>02/10/2024</t>
  </si>
  <si>
    <t>CUST-5891</t>
  </si>
  <si>
    <t>Elite Furnishings 921</t>
  </si>
  <si>
    <t>ORD-2025-10726</t>
  </si>
  <si>
    <t>10/05/2025</t>
  </si>
  <si>
    <t>CUST-6371</t>
  </si>
  <si>
    <t>Max Tables 309</t>
  </si>
  <si>
    <t>ORD-2024-10727</t>
  </si>
  <si>
    <t>2024-01-17</t>
  </si>
  <si>
    <t>01/23/2024</t>
  </si>
  <si>
    <t>CUST-6655</t>
  </si>
  <si>
    <t>Pro Phones 857</t>
  </si>
  <si>
    <t>ORD-2024-10728</t>
  </si>
  <si>
    <t>13 Oct 2024</t>
  </si>
  <si>
    <t>CUST-6492</t>
  </si>
  <si>
    <t>Max Accessories 567</t>
  </si>
  <si>
    <t>ORD-2024-10729</t>
  </si>
  <si>
    <t>CUST-1154</t>
  </si>
  <si>
    <t>Max Machines 200</t>
  </si>
  <si>
    <t>ORD-2025-10730</t>
  </si>
  <si>
    <t>17-05-2025</t>
  </si>
  <si>
    <t>25 May 2025</t>
  </si>
  <si>
    <t>CUST-8713</t>
  </si>
  <si>
    <t>Pro Machines 563</t>
  </si>
  <si>
    <t>ORD-2025-10731</t>
  </si>
  <si>
    <t>06/19/2025</t>
  </si>
  <si>
    <t>CUST-6765</t>
  </si>
  <si>
    <t>Elite Art 696</t>
  </si>
  <si>
    <t>ORD-2024-10732</t>
  </si>
  <si>
    <t>2024-03-17</t>
  </si>
  <si>
    <t>19 Mar 2024</t>
  </si>
  <si>
    <t>CUST-6849</t>
  </si>
  <si>
    <t>Eco Binders 178</t>
  </si>
  <si>
    <t>ORD-2024-10733</t>
  </si>
  <si>
    <t>2024-11-28</t>
  </si>
  <si>
    <t>CUST-4973</t>
  </si>
  <si>
    <t>Max Phones 678</t>
  </si>
  <si>
    <t>ORD-2024-10734</t>
  </si>
  <si>
    <t>28 Jun 2024</t>
  </si>
  <si>
    <t>CUST-2394</t>
  </si>
  <si>
    <t>Classic Furnishings 582</t>
  </si>
  <si>
    <t>ORD-2024-10735</t>
  </si>
  <si>
    <t>24-08-2024</t>
  </si>
  <si>
    <t>CUST-5406</t>
  </si>
  <si>
    <t>Classic Accessories 981</t>
  </si>
  <si>
    <t>ORD-2024-10736</t>
  </si>
  <si>
    <t>2024-08-11</t>
  </si>
  <si>
    <t>CUST-1963</t>
  </si>
  <si>
    <t>Classic Tables 534</t>
  </si>
  <si>
    <t>ORD-2024-10737</t>
  </si>
  <si>
    <t>09-12-2024</t>
  </si>
  <si>
    <t>CUST-9017</t>
  </si>
  <si>
    <t>Pro Chairs 383</t>
  </si>
  <si>
    <t>ORD-2024-10738</t>
  </si>
  <si>
    <t>CUST-7967</t>
  </si>
  <si>
    <t>Max Chairs 845</t>
  </si>
  <si>
    <t>ORD-2025-10739</t>
  </si>
  <si>
    <t>02/22/2025</t>
  </si>
  <si>
    <t>CUST-5334</t>
  </si>
  <si>
    <t>Prime Paper 307</t>
  </si>
  <si>
    <t>ORD-2024-10740</t>
  </si>
  <si>
    <t>03 Dec 2024</t>
  </si>
  <si>
    <t>12/10/2024</t>
  </si>
  <si>
    <t>CUST-5846</t>
  </si>
  <si>
    <t>Basic Phones 859</t>
  </si>
  <si>
    <t>ORD-2024-10741</t>
  </si>
  <si>
    <t>02 Apr 2024</t>
  </si>
  <si>
    <t>Eco Chairs 883</t>
  </si>
  <si>
    <t>ORD-2025-10742</t>
  </si>
  <si>
    <t>04/23/2025</t>
  </si>
  <si>
    <t>2025-04-25</t>
  </si>
  <si>
    <t>CUST-3285</t>
  </si>
  <si>
    <t>Max Chairs 706</t>
  </si>
  <si>
    <t>ORD-2024-10743</t>
  </si>
  <si>
    <t>10/15/2024</t>
  </si>
  <si>
    <t>22 Oct 2024</t>
  </si>
  <si>
    <t>CUST-6368</t>
  </si>
  <si>
    <t>Prime Paper 768</t>
  </si>
  <si>
    <t>ORD-2025-10744</t>
  </si>
  <si>
    <t>CUST-6231</t>
  </si>
  <si>
    <t>Basic Art 764</t>
  </si>
  <si>
    <t>ORD-2025-10745</t>
  </si>
  <si>
    <t>2025-08-17</t>
  </si>
  <si>
    <t>CUST-2021</t>
  </si>
  <si>
    <t>Prime Binders 181</t>
  </si>
  <si>
    <t>ORD-2024-10746</t>
  </si>
  <si>
    <t>24 Oct 2024</t>
  </si>
  <si>
    <t>28-10-2024</t>
  </si>
  <si>
    <t>CUST-1493</t>
  </si>
  <si>
    <t>Max Copiers 866</t>
  </si>
  <si>
    <t>ORD-2025-10747</t>
  </si>
  <si>
    <t>10-01-2025</t>
  </si>
  <si>
    <t>Pro Paper 662</t>
  </si>
  <si>
    <t>ORD-2024-10748</t>
  </si>
  <si>
    <t>2024-05-01</t>
  </si>
  <si>
    <t>07 May 2024</t>
  </si>
  <si>
    <t>CUST-8416</t>
  </si>
  <si>
    <t>Classic Paper 388</t>
  </si>
  <si>
    <t>ORD-2024-10749</t>
  </si>
  <si>
    <t>30-05-2024</t>
  </si>
  <si>
    <t>05/30/2024</t>
  </si>
  <si>
    <t>CUST-3103</t>
  </si>
  <si>
    <t>Pro Phones 765</t>
  </si>
  <si>
    <t>ORD-2024-10750</t>
  </si>
  <si>
    <t>21 Mar 2024</t>
  </si>
  <si>
    <t>2024-03-25</t>
  </si>
  <si>
    <t>CUST-4457</t>
  </si>
  <si>
    <t>Classic Machines 543</t>
  </si>
  <si>
    <t>ORD-2025-10751</t>
  </si>
  <si>
    <t>06/02/2025</t>
  </si>
  <si>
    <t>CUST-7036</t>
  </si>
  <si>
    <t>Max Accessories 291</t>
  </si>
  <si>
    <t>ORD-2025-10752</t>
  </si>
  <si>
    <t>19-07-2025</t>
  </si>
  <si>
    <t>CUST-8512</t>
  </si>
  <si>
    <t>Eco Machines 414</t>
  </si>
  <si>
    <t>ORD-2024-10753</t>
  </si>
  <si>
    <t>CUST-6345</t>
  </si>
  <si>
    <t>Basic Storage 273</t>
  </si>
  <si>
    <t>ORD-2024-10754</t>
  </si>
  <si>
    <t>CUST-4505</t>
  </si>
  <si>
    <t>Elite Furnishings 588</t>
  </si>
  <si>
    <t>ORD-2025-10755</t>
  </si>
  <si>
    <t>06/04/2025</t>
  </si>
  <si>
    <t>CUST-7960</t>
  </si>
  <si>
    <t>Elite Storage 857</t>
  </si>
  <si>
    <t>ORD-2025-10756</t>
  </si>
  <si>
    <t>CUST-3365</t>
  </si>
  <si>
    <t>Prime Storage 183</t>
  </si>
  <si>
    <t>ORD-2024-10757</t>
  </si>
  <si>
    <t>10/27/2024</t>
  </si>
  <si>
    <t>11/01/2024</t>
  </si>
  <si>
    <t>CUST-1557</t>
  </si>
  <si>
    <t>Smart Accessories 362</t>
  </si>
  <si>
    <t>ORD-2025-10758</t>
  </si>
  <si>
    <t>01 Aug 2025</t>
  </si>
  <si>
    <t>2025-08-03</t>
  </si>
  <si>
    <t>CUST-3058</t>
  </si>
  <si>
    <t>Classic Bookcases 310</t>
  </si>
  <si>
    <t>ORD-2024-10759</t>
  </si>
  <si>
    <t>02 May 2024</t>
  </si>
  <si>
    <t>CUST-6076</t>
  </si>
  <si>
    <t>Prime Chairs 721</t>
  </si>
  <si>
    <t>ORD-2024-10760</t>
  </si>
  <si>
    <t>26-07-2024</t>
  </si>
  <si>
    <t>CUST-2098</t>
  </si>
  <si>
    <t>Prime Tables 797</t>
  </si>
  <si>
    <t>ORD-2024-10761</t>
  </si>
  <si>
    <t>28-08-2024</t>
  </si>
  <si>
    <t>CUST-7193</t>
  </si>
  <si>
    <t>Max Art 926</t>
  </si>
  <si>
    <t>ORD-2025-10762</t>
  </si>
  <si>
    <t>08/31/2025</t>
  </si>
  <si>
    <t>CUST-8948</t>
  </si>
  <si>
    <t>Max Machines 364</t>
  </si>
  <si>
    <t>ORD-2024-10763</t>
  </si>
  <si>
    <t>01/01/2024</t>
  </si>
  <si>
    <t>05 Jan 2024</t>
  </si>
  <si>
    <t>CUST-6921</t>
  </si>
  <si>
    <t>Classic Machines 122</t>
  </si>
  <si>
    <t>ORD-2025-10764</t>
  </si>
  <si>
    <t>23 Aug 2025</t>
  </si>
  <si>
    <t>2025-08-25</t>
  </si>
  <si>
    <t>CUST-4086</t>
  </si>
  <si>
    <t>Elite Furnishings 169</t>
  </si>
  <si>
    <t>ORD-2025-10765</t>
  </si>
  <si>
    <t>Pro Bookcases 615</t>
  </si>
  <si>
    <t>ORD-2025-10766</t>
  </si>
  <si>
    <t>29-06-2025</t>
  </si>
  <si>
    <t>2025-07-03</t>
  </si>
  <si>
    <t>CUST-8747</t>
  </si>
  <si>
    <t>Max Labels 136</t>
  </si>
  <si>
    <t>ORD-2024-10767</t>
  </si>
  <si>
    <t>17 Sep 2024</t>
  </si>
  <si>
    <t>CUST-3156</t>
  </si>
  <si>
    <t>Prime Art 380</t>
  </si>
  <si>
    <t>ORD-2024-10768</t>
  </si>
  <si>
    <t>03 May 2024</t>
  </si>
  <si>
    <t>CUST-2043</t>
  </si>
  <si>
    <t>Classic Binders 234</t>
  </si>
  <si>
    <t>ORD-2025-10769</t>
  </si>
  <si>
    <t>2025-04-04</t>
  </si>
  <si>
    <t>CUST-8808</t>
  </si>
  <si>
    <t>Classic Paper 280</t>
  </si>
  <si>
    <t>ORD-2024-10770</t>
  </si>
  <si>
    <t>05/11/2024</t>
  </si>
  <si>
    <t>CUST-1293</t>
  </si>
  <si>
    <t>Classic Bookcases 922</t>
  </si>
  <si>
    <t>ORD-2024-10771</t>
  </si>
  <si>
    <t>CUST-8384</t>
  </si>
  <si>
    <t>Eco Copiers 396</t>
  </si>
  <si>
    <t>ORD-2024-10772</t>
  </si>
  <si>
    <t>2024-07-12</t>
  </si>
  <si>
    <t>Basic Machines 401</t>
  </si>
  <si>
    <t>ORD-2025-10773</t>
  </si>
  <si>
    <t>CUST-8422</t>
  </si>
  <si>
    <t>Basic Chairs 279</t>
  </si>
  <si>
    <t>ORD-2025-10774</t>
  </si>
  <si>
    <t>2025-02-21</t>
  </si>
  <si>
    <t>21 Feb 2025</t>
  </si>
  <si>
    <t>CUST-4766</t>
  </si>
  <si>
    <t>Basic Phones 753</t>
  </si>
  <si>
    <t>ORD-2025-10775</t>
  </si>
  <si>
    <t>07-08-2025</t>
  </si>
  <si>
    <t>CUST-1182</t>
  </si>
  <si>
    <t>Smart Machines 789</t>
  </si>
  <si>
    <t>ORD-2024-10776</t>
  </si>
  <si>
    <t>14 Apr 2024</t>
  </si>
  <si>
    <t>22-04-2024</t>
  </si>
  <si>
    <t>CUST-4461</t>
  </si>
  <si>
    <t>Elite Accessories 312</t>
  </si>
  <si>
    <t>ORD-2025-10777</t>
  </si>
  <si>
    <t>08-06-2025</t>
  </si>
  <si>
    <t>CUST-9690</t>
  </si>
  <si>
    <t>Eco Copiers 528</t>
  </si>
  <si>
    <t>ORD-2024-10778</t>
  </si>
  <si>
    <t>04-02-2024</t>
  </si>
  <si>
    <t>CUST-6879</t>
  </si>
  <si>
    <t>Elite Accessories 226</t>
  </si>
  <si>
    <t>ORD-2024-10779</t>
  </si>
  <si>
    <t>24-07-2024</t>
  </si>
  <si>
    <t>CUST-4714</t>
  </si>
  <si>
    <t>Pro Copiers 298</t>
  </si>
  <si>
    <t>ORD-2024-10780</t>
  </si>
  <si>
    <t>20-01-2024</t>
  </si>
  <si>
    <t>CUST-7547</t>
  </si>
  <si>
    <t>Prime Chairs 331</t>
  </si>
  <si>
    <t>ORD-2024-10781</t>
  </si>
  <si>
    <t>04 Aug 2024</t>
  </si>
  <si>
    <t>CUST-3288</t>
  </si>
  <si>
    <t>Classic Chairs 798</t>
  </si>
  <si>
    <t>ORD-2024-10782</t>
  </si>
  <si>
    <t>2024-02-02</t>
  </si>
  <si>
    <t>CUST-8597</t>
  </si>
  <si>
    <t>Classic Labels 204</t>
  </si>
  <si>
    <t>ORD-2025-10783</t>
  </si>
  <si>
    <t>03/22/2025</t>
  </si>
  <si>
    <t>CUST-9085</t>
  </si>
  <si>
    <t>Basic Copiers 254</t>
  </si>
  <si>
    <t>ORD-2024-10784</t>
  </si>
  <si>
    <t>07 Jun 2024</t>
  </si>
  <si>
    <t>2024-06-07</t>
  </si>
  <si>
    <t>CUST-7746</t>
  </si>
  <si>
    <t>Basic Art 709</t>
  </si>
  <si>
    <t>ORD-2025-10785</t>
  </si>
  <si>
    <t>10/04/2025</t>
  </si>
  <si>
    <t>CUST-3119</t>
  </si>
  <si>
    <t>Max Copiers 551</t>
  </si>
  <si>
    <t>ORD-2024-10786</t>
  </si>
  <si>
    <t>23-05-2024</t>
  </si>
  <si>
    <t>CUST-7518</t>
  </si>
  <si>
    <t>Eco Storage 183</t>
  </si>
  <si>
    <t>ORD-2025-10787</t>
  </si>
  <si>
    <t>CUST-1343</t>
  </si>
  <si>
    <t>Pro Furnishings 233</t>
  </si>
  <si>
    <t>ORD-2024-10788</t>
  </si>
  <si>
    <t>2024-09-18</t>
  </si>
  <si>
    <t>CUST-7548</t>
  </si>
  <si>
    <t>Prime Paper 878</t>
  </si>
  <si>
    <t>ORD-2024-10789</t>
  </si>
  <si>
    <t>CUST-3631</t>
  </si>
  <si>
    <t>Smart Chairs 353</t>
  </si>
  <si>
    <t>ORD-2025-10790</t>
  </si>
  <si>
    <t>07 Mar 2025</t>
  </si>
  <si>
    <t>CUST-1453</t>
  </si>
  <si>
    <t>Smart Copiers 408</t>
  </si>
  <si>
    <t>ORD-2024-10791</t>
  </si>
  <si>
    <t>31 May 2024</t>
  </si>
  <si>
    <t>2024-06-02</t>
  </si>
  <si>
    <t>CUST-1951</t>
  </si>
  <si>
    <t>Classic Art 781</t>
  </si>
  <si>
    <t>ORD-2024-10792</t>
  </si>
  <si>
    <t>2024-10-06</t>
  </si>
  <si>
    <t>CUST-6300</t>
  </si>
  <si>
    <t>Eco Bookcases 144</t>
  </si>
  <si>
    <t>ORD-2025-10793</t>
  </si>
  <si>
    <t>08 Jun 2025</t>
  </si>
  <si>
    <t>CUST-1417</t>
  </si>
  <si>
    <t>Elite Furnishings 852</t>
  </si>
  <si>
    <t>ORD-2024-10794</t>
  </si>
  <si>
    <t>03 Jun 2024</t>
  </si>
  <si>
    <t>CUST-5421</t>
  </si>
  <si>
    <t>Basic Copiers 238</t>
  </si>
  <si>
    <t>ORD-2025-10795</t>
  </si>
  <si>
    <t>2025-06-22</t>
  </si>
  <si>
    <t>CUST-2829</t>
  </si>
  <si>
    <t>Elite Paper 847</t>
  </si>
  <si>
    <t>ORD-2024-10796</t>
  </si>
  <si>
    <t>30-07-2024</t>
  </si>
  <si>
    <t>CUST-6529</t>
  </si>
  <si>
    <t>Pro Copiers 653</t>
  </si>
  <si>
    <t>ORD-2024-10797</t>
  </si>
  <si>
    <t>30-03-2024</t>
  </si>
  <si>
    <t>CUST-3126</t>
  </si>
  <si>
    <t>Elite Machines 459</t>
  </si>
  <si>
    <t>ORD-2024-10798</t>
  </si>
  <si>
    <t>18 Apr 2024</t>
  </si>
  <si>
    <t>CUST-3991</t>
  </si>
  <si>
    <t>Elite Binders 764</t>
  </si>
  <si>
    <t>ORD-2025-10799</t>
  </si>
  <si>
    <t>2025-07-11</t>
  </si>
  <si>
    <t>09-07-2025</t>
  </si>
  <si>
    <t>CUST-7553</t>
  </si>
  <si>
    <t>Classic Furnishings 348</t>
  </si>
  <si>
    <t>ORD-2024-10800</t>
  </si>
  <si>
    <t>CUST-8527</t>
  </si>
  <si>
    <t>Smart Accessories 487</t>
  </si>
  <si>
    <t>ORD-2024-10801</t>
  </si>
  <si>
    <t>01 Mar 2024</t>
  </si>
  <si>
    <t>2024-03-07</t>
  </si>
  <si>
    <t>CUST-5015</t>
  </si>
  <si>
    <t>Elite Storage 825</t>
  </si>
  <si>
    <t>ORD-2025-10802</t>
  </si>
  <si>
    <t>2025-10-08</t>
  </si>
  <si>
    <t>CUST-3344</t>
  </si>
  <si>
    <t>Pro Accessories 500</t>
  </si>
  <si>
    <t>ORD-2025-10803</t>
  </si>
  <si>
    <t>2025-02-16</t>
  </si>
  <si>
    <t>CUST-5866</t>
  </si>
  <si>
    <t>Pro Furnishings 909</t>
  </si>
  <si>
    <t>ORD-2024-10804</t>
  </si>
  <si>
    <t>09 Dec 2024</t>
  </si>
  <si>
    <t>CUST-7180</t>
  </si>
  <si>
    <t>Basic Labels 359</t>
  </si>
  <si>
    <t>ORD-2025-10805</t>
  </si>
  <si>
    <t>CUST-8745</t>
  </si>
  <si>
    <t>Eco Furnishings 541</t>
  </si>
  <si>
    <t>ORD-2025-10806</t>
  </si>
  <si>
    <t>Classic Binders 103</t>
  </si>
  <si>
    <t>ORD-2024-10807</t>
  </si>
  <si>
    <t>09-11-2024</t>
  </si>
  <si>
    <t>15 Nov 2024</t>
  </si>
  <si>
    <t>CUST-3704</t>
  </si>
  <si>
    <t>Max Copiers 560</t>
  </si>
  <si>
    <t>ORD-2025-10808</t>
  </si>
  <si>
    <t>CUST-5884</t>
  </si>
  <si>
    <t>Smart Labels 436</t>
  </si>
  <si>
    <t>ORD-2025-10809</t>
  </si>
  <si>
    <t>2025-08-31</t>
  </si>
  <si>
    <t>CUST-7503</t>
  </si>
  <si>
    <t>Pro Furnishings 386</t>
  </si>
  <si>
    <t>ORD-2025-10810</t>
  </si>
  <si>
    <t>CUST-6973</t>
  </si>
  <si>
    <t>Eco Binders 601</t>
  </si>
  <si>
    <t>ORD-2024-10811</t>
  </si>
  <si>
    <t>04/03/2024</t>
  </si>
  <si>
    <t>08-04-2024</t>
  </si>
  <si>
    <t>Pro Copiers 867</t>
  </si>
  <si>
    <t>ORD-2024-10812</t>
  </si>
  <si>
    <t>12 Dec 2024</t>
  </si>
  <si>
    <t>19 Dec 2024</t>
  </si>
  <si>
    <t>CUST-3303</t>
  </si>
  <si>
    <t>Eco Accessories 122</t>
  </si>
  <si>
    <t>ORD-2024-10813</t>
  </si>
  <si>
    <t>20-06-2024</t>
  </si>
  <si>
    <t>CUST-5754</t>
  </si>
  <si>
    <t>Basic Tables 127</t>
  </si>
  <si>
    <t>ORD-2025-10814</t>
  </si>
  <si>
    <t>04/06/2025</t>
  </si>
  <si>
    <t>10 Apr 2025</t>
  </si>
  <si>
    <t>CUST-7848</t>
  </si>
  <si>
    <t>ORD-2025-10815</t>
  </si>
  <si>
    <t>CUST-9048</t>
  </si>
  <si>
    <t>Smart Labels 126</t>
  </si>
  <si>
    <t>ORD-2024-10816</t>
  </si>
  <si>
    <t>2024-04-08</t>
  </si>
  <si>
    <t>CUST-2951</t>
  </si>
  <si>
    <t>Max Machines 569</t>
  </si>
  <si>
    <t>ORD-2024-10817</t>
  </si>
  <si>
    <t>11/27/2024</t>
  </si>
  <si>
    <t>2024-11-30</t>
  </si>
  <si>
    <t>CUST-3072</t>
  </si>
  <si>
    <t>Basic Furnishings 306</t>
  </si>
  <si>
    <t>ORD-2025-10818</t>
  </si>
  <si>
    <t>05 Apr 2025</t>
  </si>
  <si>
    <t>04/05/2025</t>
  </si>
  <si>
    <t>CUST-2221</t>
  </si>
  <si>
    <t>Classic Binders 873</t>
  </si>
  <si>
    <t>ORD-2024-10819</t>
  </si>
  <si>
    <t>29 Sep 2024</t>
  </si>
  <si>
    <t>CUST-3943</t>
  </si>
  <si>
    <t>Pro Labels 611</t>
  </si>
  <si>
    <t>ORD-2024-10820</t>
  </si>
  <si>
    <t>31-07-2024</t>
  </si>
  <si>
    <t>CUST-7510</t>
  </si>
  <si>
    <t>Prime Machines 524</t>
  </si>
  <si>
    <t>ORD-2025-10821</t>
  </si>
  <si>
    <t>06-02-2025</t>
  </si>
  <si>
    <t>10-02-2025</t>
  </si>
  <si>
    <t>CUST-2041</t>
  </si>
  <si>
    <t>Classic Bookcases 882</t>
  </si>
  <si>
    <t>ORD-2024-10822</t>
  </si>
  <si>
    <t>2024-07-03</t>
  </si>
  <si>
    <t>06-07-2024</t>
  </si>
  <si>
    <t>CUST-4466</t>
  </si>
  <si>
    <t>Classic Accessories 471</t>
  </si>
  <si>
    <t>ORD-2024-10823</t>
  </si>
  <si>
    <t>10/12/2024</t>
  </si>
  <si>
    <t>08 Oct 2024</t>
  </si>
  <si>
    <t>CUST-3188</t>
  </si>
  <si>
    <t>Smart Furnishings 175</t>
  </si>
  <si>
    <t>ORD-2025-10824</t>
  </si>
  <si>
    <t>2025-01-06</t>
  </si>
  <si>
    <t>CUST-6638</t>
  </si>
  <si>
    <t>Basic Paper 899</t>
  </si>
  <si>
    <t>ORD-2025-10825</t>
  </si>
  <si>
    <t>21-03-2025</t>
  </si>
  <si>
    <t>CUST-3540</t>
  </si>
  <si>
    <t>Pro Paper 267</t>
  </si>
  <si>
    <t>ORD-2025-10826</t>
  </si>
  <si>
    <t>16 Apr 2025</t>
  </si>
  <si>
    <t>17-04-2025</t>
  </si>
  <si>
    <t>CUST-3351</t>
  </si>
  <si>
    <t>Basic Machines 832</t>
  </si>
  <si>
    <t>ORD-2025-10827</t>
  </si>
  <si>
    <t>14 Aug 2025</t>
  </si>
  <si>
    <t>CUST-4375</t>
  </si>
  <si>
    <t>Elite Accessories 790</t>
  </si>
  <si>
    <t>ORD-2024-10828</t>
  </si>
  <si>
    <t>24 Nov 2024</t>
  </si>
  <si>
    <t>CUST-5125</t>
  </si>
  <si>
    <t>Basic Paper 707</t>
  </si>
  <si>
    <t>ORD-2025-10829</t>
  </si>
  <si>
    <t>10/10/2025</t>
  </si>
  <si>
    <t>11-10-2025</t>
  </si>
  <si>
    <t>CUST-6010</t>
  </si>
  <si>
    <t xml:space="preserve">Karan Malhotra </t>
  </si>
  <si>
    <t>Elite Chairs 979</t>
  </si>
  <si>
    <t>ORD-2024-10830</t>
  </si>
  <si>
    <t>02/26/2024</t>
  </si>
  <si>
    <t>CUST-9036</t>
  </si>
  <si>
    <t>Pro Furnishings 192</t>
  </si>
  <si>
    <t>ORD-2025-10831</t>
  </si>
  <si>
    <t>CUST-7929</t>
  </si>
  <si>
    <t>Smart Machines 951</t>
  </si>
  <si>
    <t>ORD-2025-10832</t>
  </si>
  <si>
    <t>CUST-1106</t>
  </si>
  <si>
    <t>Smart Chairs 794</t>
  </si>
  <si>
    <t>ORD-2025-10833</t>
  </si>
  <si>
    <t>26 May 2025</t>
  </si>
  <si>
    <t>28-05-2025</t>
  </si>
  <si>
    <t>CUST-9557</t>
  </si>
  <si>
    <t>Max Phones 919</t>
  </si>
  <si>
    <t>ORD-2024-10834</t>
  </si>
  <si>
    <t>2024-06-04</t>
  </si>
  <si>
    <t>06/04/2024</t>
  </si>
  <si>
    <t>CUST-2689</t>
  </si>
  <si>
    <t>Basic Bookcases 499</t>
  </si>
  <si>
    <t>ORD-2024-10835</t>
  </si>
  <si>
    <t>2024-10-22</t>
  </si>
  <si>
    <t>CUST-2879</t>
  </si>
  <si>
    <t>Basic Art 143</t>
  </si>
  <si>
    <t>ORD-2025-10836</t>
  </si>
  <si>
    <t>CUST-5150</t>
  </si>
  <si>
    <t>Prime Phones 338</t>
  </si>
  <si>
    <t>ORD-2024-10837</t>
  </si>
  <si>
    <t>2024-12-18</t>
  </si>
  <si>
    <t>CUST-9776</t>
  </si>
  <si>
    <t>Smart Labels 814</t>
  </si>
  <si>
    <t>ORD-2025-10838</t>
  </si>
  <si>
    <t>09/28/2025</t>
  </si>
  <si>
    <t>CUST-2551</t>
  </si>
  <si>
    <t>Prime Paper 812</t>
  </si>
  <si>
    <t>ORD-2025-10839</t>
  </si>
  <si>
    <t>07 Apr 2025</t>
  </si>
  <si>
    <t>CUST-4708</t>
  </si>
  <si>
    <t>Pro Paper 355</t>
  </si>
  <si>
    <t>ORD-2024-10840</t>
  </si>
  <si>
    <t>09/20/2024</t>
  </si>
  <si>
    <t>22-09-2024</t>
  </si>
  <si>
    <t>CUST-8206</t>
  </si>
  <si>
    <t>Basic Phones 398</t>
  </si>
  <si>
    <t>ORD-2025-10841</t>
  </si>
  <si>
    <t>CUST-1297</t>
  </si>
  <si>
    <t>Classic Chairs 204</t>
  </si>
  <si>
    <t>ORD-2025-10842</t>
  </si>
  <si>
    <t>2025-02-06</t>
  </si>
  <si>
    <t>12 Feb 2025</t>
  </si>
  <si>
    <t>CUST-7558</t>
  </si>
  <si>
    <t>Max Art 339</t>
  </si>
  <si>
    <t>ORD-2024-10843</t>
  </si>
  <si>
    <t>31-03-2024</t>
  </si>
  <si>
    <t>03/30/2024</t>
  </si>
  <si>
    <t>CUST-1798</t>
  </si>
  <si>
    <t>kabir singh</t>
  </si>
  <si>
    <t>Smart Machines 581</t>
  </si>
  <si>
    <t>ORD-2025-10844</t>
  </si>
  <si>
    <t>25 Jul 2025</t>
  </si>
  <si>
    <t>CUST-7333</t>
  </si>
  <si>
    <t>Prime Phones 482</t>
  </si>
  <si>
    <t>ORD-2025-10845</t>
  </si>
  <si>
    <t>20-01-2025</t>
  </si>
  <si>
    <t>25-01-2025</t>
  </si>
  <si>
    <t>CUST-2086</t>
  </si>
  <si>
    <t>Pro Art 588</t>
  </si>
  <si>
    <t>ORD-2024-10846</t>
  </si>
  <si>
    <t>27 Feb 2024</t>
  </si>
  <si>
    <t>Eco Tables 792</t>
  </si>
  <si>
    <t>ORD-2024-10847</t>
  </si>
  <si>
    <t>2024-04-14</t>
  </si>
  <si>
    <t>2024-04-22</t>
  </si>
  <si>
    <t>CUST-6522</t>
  </si>
  <si>
    <t>Prime Bookcases 177</t>
  </si>
  <si>
    <t>ORD-2025-10848</t>
  </si>
  <si>
    <t>2025-05-20</t>
  </si>
  <si>
    <t>05/22/2025</t>
  </si>
  <si>
    <t>CUST-8329</t>
  </si>
  <si>
    <t>Pro Tables 828</t>
  </si>
  <si>
    <t>ORD-2025-10849</t>
  </si>
  <si>
    <t>29 May 2025</t>
  </si>
  <si>
    <t>CUST-4426</t>
  </si>
  <si>
    <t>Elite Furnishings 480</t>
  </si>
  <si>
    <t>ORD-2024-10850</t>
  </si>
  <si>
    <t>2024-03-06</t>
  </si>
  <si>
    <t>CUST-3360</t>
  </si>
  <si>
    <t>Prime Bookcases 755</t>
  </si>
  <si>
    <t>ORD-2024-10851</t>
  </si>
  <si>
    <t>CUST-2623</t>
  </si>
  <si>
    <t>Prime Paper 317</t>
  </si>
  <si>
    <t>ORD-2024-10852</t>
  </si>
  <si>
    <t>CUST-3175</t>
  </si>
  <si>
    <t>Classic Accessories 933</t>
  </si>
  <si>
    <t>ORD-2024-10853</t>
  </si>
  <si>
    <t>01-04-2024</t>
  </si>
  <si>
    <t>CUST-9630</t>
  </si>
  <si>
    <t>Smart Tables 513</t>
  </si>
  <si>
    <t>ORD-2025-10854</t>
  </si>
  <si>
    <t>2025-05-16</t>
  </si>
  <si>
    <t>CUST-8274</t>
  </si>
  <si>
    <t>Elite Accessories 708</t>
  </si>
  <si>
    <t>ORD-2025-10855</t>
  </si>
  <si>
    <t>03/25/2025</t>
  </si>
  <si>
    <t>04/02/2025</t>
  </si>
  <si>
    <t>CUST-2514</t>
  </si>
  <si>
    <t>Max Bookcases 381</t>
  </si>
  <si>
    <t>ORD-2024-10856</t>
  </si>
  <si>
    <t>02 Aug 2024</t>
  </si>
  <si>
    <t>Classic Labels 215</t>
  </si>
  <si>
    <t>ORD-2024-10857</t>
  </si>
  <si>
    <t>2024-06-12</t>
  </si>
  <si>
    <t>Classic Storage 918</t>
  </si>
  <si>
    <t>ORD-2024-10858</t>
  </si>
  <si>
    <t>04 Jun 2024</t>
  </si>
  <si>
    <t>04-06-2024</t>
  </si>
  <si>
    <t>Max Storage 223</t>
  </si>
  <si>
    <t>ORD-2024-10859</t>
  </si>
  <si>
    <t>CUST-9576</t>
  </si>
  <si>
    <t>Basic Accessories 602</t>
  </si>
  <si>
    <t>ORD-2024-10860</t>
  </si>
  <si>
    <t>2024-11-01</t>
  </si>
  <si>
    <t>CUST-2395</t>
  </si>
  <si>
    <t>Elite Phones 394</t>
  </si>
  <si>
    <t>ORD-2024-10861</t>
  </si>
  <si>
    <t>04 Feb 2024</t>
  </si>
  <si>
    <t>CUST-8941</t>
  </si>
  <si>
    <t>Classic Storage 194</t>
  </si>
  <si>
    <t>ORD-2025-10862</t>
  </si>
  <si>
    <t>2025-03-08</t>
  </si>
  <si>
    <t>2025-03-09</t>
  </si>
  <si>
    <t>CUST-9448</t>
  </si>
  <si>
    <t>Smart Furnishings 892</t>
  </si>
  <si>
    <t>ORD-2025-10863</t>
  </si>
  <si>
    <t>31-03-2025</t>
  </si>
  <si>
    <t>CUST-8354</t>
  </si>
  <si>
    <t>Pro Binders 488</t>
  </si>
  <si>
    <t>ORD-2025-10864</t>
  </si>
  <si>
    <t>09/06/2025</t>
  </si>
  <si>
    <t>CUST-2200</t>
  </si>
  <si>
    <t>Prime Furnishings 679</t>
  </si>
  <si>
    <t>ORD-2025-10865</t>
  </si>
  <si>
    <t>02 Sep 2025</t>
  </si>
  <si>
    <t>CUST-1178</t>
  </si>
  <si>
    <t>Smart Phones 158</t>
  </si>
  <si>
    <t>ORD-2025-10866</t>
  </si>
  <si>
    <t>CUST-8099</t>
  </si>
  <si>
    <t>Classic Labels 218</t>
  </si>
  <si>
    <t>ORD-2025-10867</t>
  </si>
  <si>
    <t>2025-03-06</t>
  </si>
  <si>
    <t>CUST-7596</t>
  </si>
  <si>
    <t>Smart Bookcases 552</t>
  </si>
  <si>
    <t>ORD-2024-10868</t>
  </si>
  <si>
    <t>21 Nov 2024</t>
  </si>
  <si>
    <t>22 Nov 2024</t>
  </si>
  <si>
    <t>CUST-2328</t>
  </si>
  <si>
    <t>Eco Accessories 389</t>
  </si>
  <si>
    <t>ORD-2025-10869</t>
  </si>
  <si>
    <t>CUST-8483</t>
  </si>
  <si>
    <t>Elite Storage 187</t>
  </si>
  <si>
    <t>ORD-2025-10870</t>
  </si>
  <si>
    <t>03/06/2025</t>
  </si>
  <si>
    <t>CUST-2388</t>
  </si>
  <si>
    <t>ORD-2025-10871</t>
  </si>
  <si>
    <t>06 Jun 2025</t>
  </si>
  <si>
    <t>07 Jun 2025</t>
  </si>
  <si>
    <t>CUST-7054</t>
  </si>
  <si>
    <t>Max Tables 281</t>
  </si>
  <si>
    <t>ORD-2024-10872</t>
  </si>
  <si>
    <t>02/20/2024</t>
  </si>
  <si>
    <t>Pro Accessories 325</t>
  </si>
  <si>
    <t>ORD-2024-10873</t>
  </si>
  <si>
    <t>02 Nov 2024</t>
  </si>
  <si>
    <t>Prime Furnishings 178</t>
  </si>
  <si>
    <t>ORD-2025-10874</t>
  </si>
  <si>
    <t>01 Feb 2025</t>
  </si>
  <si>
    <t>08-02-2025</t>
  </si>
  <si>
    <t>CUST-8160</t>
  </si>
  <si>
    <t>Elite Storage 144</t>
  </si>
  <si>
    <t>ORD-2025-10875</t>
  </si>
  <si>
    <t>CUST-8770</t>
  </si>
  <si>
    <t>Elite Paper 309</t>
  </si>
  <si>
    <t>ORD-2024-10876</t>
  </si>
  <si>
    <t>10 Aug 2024</t>
  </si>
  <si>
    <t>08/11/2024</t>
  </si>
  <si>
    <t>CUST-6928</t>
  </si>
  <si>
    <t>Elite Copiers 752</t>
  </si>
  <si>
    <t>ORD-2024-10877</t>
  </si>
  <si>
    <t>11/18/2024</t>
  </si>
  <si>
    <t>20-11-2024</t>
  </si>
  <si>
    <t>CUST-9044</t>
  </si>
  <si>
    <t>ORD-2025-10878</t>
  </si>
  <si>
    <t>26-08-2025</t>
  </si>
  <si>
    <t>CUST-7146</t>
  </si>
  <si>
    <t>Max Storage 438</t>
  </si>
  <si>
    <t>ORD-2024-10879</t>
  </si>
  <si>
    <t>CUST-8534</t>
  </si>
  <si>
    <t>Basic Paper 904</t>
  </si>
  <si>
    <t>ORD-2025-10880</t>
  </si>
  <si>
    <t>2025-08-27</t>
  </si>
  <si>
    <t>CUST-4486</t>
  </si>
  <si>
    <t>Smart Art 990</t>
  </si>
  <si>
    <t>ORD-2024-10881</t>
  </si>
  <si>
    <t>08-03-2024</t>
  </si>
  <si>
    <t>CUST-5287</t>
  </si>
  <si>
    <t>Basic Chairs 327</t>
  </si>
  <si>
    <t>ORD-2024-10882</t>
  </si>
  <si>
    <t>05-12-2024</t>
  </si>
  <si>
    <t>CUST-3445</t>
  </si>
  <si>
    <t>Eco Copiers 987</t>
  </si>
  <si>
    <t>ORD-2025-10883</t>
  </si>
  <si>
    <t>02 Feb 2025</t>
  </si>
  <si>
    <t>CUST-4983</t>
  </si>
  <si>
    <t>Basic Accessories 607</t>
  </si>
  <si>
    <t>ORD-2025-10884</t>
  </si>
  <si>
    <t>28 Apr 2025</t>
  </si>
  <si>
    <t>05/01/2025</t>
  </si>
  <si>
    <t>CUST-2597</t>
  </si>
  <si>
    <t>Classic Storage 211</t>
  </si>
  <si>
    <t>ORD-2025-10885</t>
  </si>
  <si>
    <t>18-01-2025</t>
  </si>
  <si>
    <t>2025-01-25</t>
  </si>
  <si>
    <t>CUST-7505</t>
  </si>
  <si>
    <t>Eco Storage 783</t>
  </si>
  <si>
    <t>ORD-2024-10886</t>
  </si>
  <si>
    <t>2024-01-05</t>
  </si>
  <si>
    <t>CUST-3446</t>
  </si>
  <si>
    <t>Pro Tables 866</t>
  </si>
  <si>
    <t>ORD-2025-10887</t>
  </si>
  <si>
    <t>26-04-2025</t>
  </si>
  <si>
    <t>03-05-2025</t>
  </si>
  <si>
    <t>CUST-3549</t>
  </si>
  <si>
    <t>Max Accessories 541</t>
  </si>
  <si>
    <t>ORD-2024-10888</t>
  </si>
  <si>
    <t>CUST-2795</t>
  </si>
  <si>
    <t>Prime Art 596</t>
  </si>
  <si>
    <t>ORD-2025-10889</t>
  </si>
  <si>
    <t>06-08-2025</t>
  </si>
  <si>
    <t>CUST-1081</t>
  </si>
  <si>
    <t>Pro Art 620</t>
  </si>
  <si>
    <t>ORD-2025-10890</t>
  </si>
  <si>
    <t>10 Mar 2025</t>
  </si>
  <si>
    <t>03/11/2025</t>
  </si>
  <si>
    <t>Prime Storage 806</t>
  </si>
  <si>
    <t>ORD-2024-10891</t>
  </si>
  <si>
    <t>CUST-3992</t>
  </si>
  <si>
    <t>Smart Storage 288</t>
  </si>
  <si>
    <t>ORD-2024-10892</t>
  </si>
  <si>
    <t>CUST-6647</t>
  </si>
  <si>
    <t>Elite Machines 281</t>
  </si>
  <si>
    <t>ORD-2025-10893</t>
  </si>
  <si>
    <t>04/12/2025</t>
  </si>
  <si>
    <t>CUST-5087</t>
  </si>
  <si>
    <t>Elite Copiers 221</t>
  </si>
  <si>
    <t>ORD-2024-10894</t>
  </si>
  <si>
    <t>06 Jun 2024</t>
  </si>
  <si>
    <t>08 Jun 2024</t>
  </si>
  <si>
    <t>CUST-9297</t>
  </si>
  <si>
    <t>Max Tables 291</t>
  </si>
  <si>
    <t>ORD-2024-10895</t>
  </si>
  <si>
    <t>02/29/2024</t>
  </si>
  <si>
    <t>CUST-7996</t>
  </si>
  <si>
    <t>Classic Tables 638</t>
  </si>
  <si>
    <t>ORD-2024-10896</t>
  </si>
  <si>
    <t>05 Nov 2024</t>
  </si>
  <si>
    <t>CUST-4117</t>
  </si>
  <si>
    <t>Basic Chairs 212</t>
  </si>
  <si>
    <t>ORD-2024-10897</t>
  </si>
  <si>
    <t>12/24/2024</t>
  </si>
  <si>
    <t>CUST-4848</t>
  </si>
  <si>
    <t>Max Copiers 121</t>
  </si>
  <si>
    <t>ORD-2025-10898</t>
  </si>
  <si>
    <t>03 May 2025</t>
  </si>
  <si>
    <t>Eco Paper 747</t>
  </si>
  <si>
    <t>ORD-2024-10899</t>
  </si>
  <si>
    <t>CUST-6046</t>
  </si>
  <si>
    <t>Classic Tables 535</t>
  </si>
  <si>
    <t>ORD-2025-10900</t>
  </si>
  <si>
    <t>06/03/2025</t>
  </si>
  <si>
    <t>CUST-3789</t>
  </si>
  <si>
    <t>Elite Chairs 971</t>
  </si>
  <si>
    <t>Rule Area</t>
  </si>
  <si>
    <t>Student-Facing Rule</t>
  </si>
  <si>
    <t>Raw file</t>
  </si>
  <si>
    <t>Do not overwrite raw_orders.xlsx. Create cleaned_orders.xlsx separately.</t>
  </si>
  <si>
    <t>Missing region</t>
  </si>
  <si>
    <t>Fill as Unknown and flag in quality report.</t>
  </si>
  <si>
    <t>Missing ship_mode</t>
  </si>
  <si>
    <t>Missing discount</t>
  </si>
  <si>
    <t>Treat as 0 only if all other sales fields are valid; otherwise flag.</t>
  </si>
  <si>
    <t>Discount</t>
  </si>
  <si>
    <t>Flag negative discounts and unusually high discounts as invalid.</t>
  </si>
  <si>
    <t>Cancelled/Failed/Refunded</t>
  </si>
  <si>
    <t>Do not include non-completed/failed/refunded records in completed-sales summaries.</t>
  </si>
  <si>
    <t>Date sequence</t>
  </si>
  <si>
    <t>Flag ship_date earlier than order_date.</t>
  </si>
  <si>
    <t>Duplicates</t>
  </si>
  <si>
    <t>Remove exact duplicate copies; flag conflicting duplicate order IDs.</t>
  </si>
  <si>
    <t>Calculated fields</t>
  </si>
  <si>
    <t>Create calculated_sales, calculated_profit, profit_margin, shipping_delay_days, order_month, order_year, and data_quality_flag.</t>
  </si>
  <si>
    <t>Documentation</t>
  </si>
  <si>
    <t>Document cleaning decisions and assumptions in cleaning_log.md.</t>
  </si>
  <si>
    <t>calculated_sales</t>
  </si>
  <si>
    <t>calculated_profit</t>
  </si>
  <si>
    <t>profit_margin</t>
  </si>
  <si>
    <t>order_month</t>
  </si>
  <si>
    <t>order_year</t>
  </si>
  <si>
    <t>data_quality_flag</t>
  </si>
  <si>
    <t>Row Labels</t>
  </si>
  <si>
    <t>Grand Total</t>
  </si>
  <si>
    <t>Sum of calculated_sales</t>
  </si>
  <si>
    <t>Sum of calculated_profit</t>
  </si>
  <si>
    <t>Count of order_id</t>
  </si>
  <si>
    <t>Sum of profit_margin</t>
  </si>
  <si>
    <t>(All)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</si>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</sst>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rgb="FF000000"/>
      <name val="Carlito"/>
      <scheme val="minor"/>
    </font>
    <font>
      <b/>
      <sz val="11"/>
      <color rgb="FFFFFFFF"/>
      <name val="Carlito"/>
    </font>
    <font>
      <sz val="11"/>
      <color theme="1"/>
      <name val="Carlito"/>
      <scheme val="minor"/>
    </font>
    <font>
      <sz val="11"/>
      <color theme="1"/>
      <name val="Carlito"/>
    </font>
    <font>
      <sz val="11"/>
      <color rgb="FFFFFFFF"/>
      <name val="Carlito"/>
      <scheme val="minor"/>
    </font>
    <font>
      <sz val="11"/>
      <color theme="2"/>
      <name val="Carlito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44062"/>
        <bgColor rgb="FF244062"/>
      </patternFill>
    </fill>
    <fill>
      <patternFill patternType="solid">
        <fgColor rgb="FFFFFFFF"/>
        <bgColor rgb="FFFFFFFF"/>
      </patternFill>
    </fill>
    <fill>
      <patternFill patternType="solid">
        <fgColor rgb="FF980000"/>
        <bgColor rgb="FF980000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2" fillId="3" borderId="0" xfId="0" applyFont="1" applyFill="1"/>
    <xf numFmtId="0" fontId="4" fillId="4" borderId="0" xfId="0" applyFont="1" applyFill="1"/>
    <xf numFmtId="0" fontId="3" fillId="0" borderId="0" xfId="0" applyFont="1" applyAlignment="1">
      <alignment wrapText="1"/>
    </xf>
    <xf numFmtId="0" fontId="5" fillId="5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6196.738613078705" createdVersion="8" refreshedVersion="8" minRefreshableVersion="3" recordCount="912" xr:uid="{2293353D-09B2-4BBF-9C2D-F347EEBEE03B}">
  <cacheSource type="worksheet">
    <worksheetSource ref="A1:AI913" sheet="Clean_orders"/>
  </cacheSource>
  <cacheFields count="35">
    <cacheField name="order_id" numFmtId="0">
      <sharedItems count="900">
        <s v="ORD-2024-10001"/>
        <s v="ORD-2024-10002"/>
        <s v="ORD-2024-10003"/>
        <s v="ORD-2024-10004"/>
        <s v="ORD-2025-10005"/>
        <s v="ORD-2024-10006"/>
        <s v="ORD-2025-10007"/>
        <s v="ORD-2025-10008"/>
        <s v="ORD-2024-10009"/>
        <s v="ORD-2025-10010"/>
        <s v="ORD-2025-10011"/>
        <s v="ORD-2024-10012"/>
        <s v="ORD-2024-10013"/>
        <s v="ORD-2025-10014"/>
        <s v="ORD-2024-10015"/>
        <s v="ORD-2024-10016"/>
        <s v="ORD-2024-10017"/>
        <s v="ORD-2024-10018"/>
        <s v="ORD-2025-10019"/>
        <s v="ORD-2024-10020"/>
        <s v="ORD-2025-10021"/>
        <s v="ORD-2025-10022"/>
        <s v="ORD-2025-10023"/>
        <s v="ORD-2025-10024"/>
        <s v="ORD-2024-10025"/>
        <s v="ORD-2024-10026"/>
        <s v="ORD-2024-10027"/>
        <s v="ORD-2025-10028"/>
        <s v="ORD-2024-10029"/>
        <s v="ORD-2025-10030"/>
        <s v="ORD-2024-10031"/>
        <s v="ORD-2025-10032"/>
        <s v="ORD-2024-10033"/>
        <s v="ORD-2024-10034"/>
        <s v="ORD-2025-10035"/>
        <s v="ORD-2024-10036"/>
        <s v="ORD-2024-10037"/>
        <s v="ORD-2025-10038"/>
        <s v="ORD-2024-10039"/>
        <s v="ORD-2024-10040"/>
        <s v="ORD-2024-10041"/>
        <s v="ORD-2024-10042"/>
        <s v="ORD-2025-10043"/>
        <s v="ORD-2024-10044"/>
        <s v="ORD-2024-10045"/>
        <s v="ORD-2024-10046"/>
        <s v="ORD-2024-10047"/>
        <s v="ORD-2024-10048"/>
        <s v="ORD-2025-10049"/>
        <s v="ORD-2024-10050"/>
        <s v="ORD-2025-10051"/>
        <s v="ORD-2024-10052"/>
        <s v="ORD-2024-10053"/>
        <s v="ORD-2025-10054"/>
        <s v="ORD-2025-10055"/>
        <s v="ORD-2025-10056"/>
        <s v="ORD-2025-10057"/>
        <s v="ORD-2024-10058"/>
        <s v="ORD-2024-10059"/>
        <s v="ORD-2024-10060"/>
        <s v="ORD-2024-10061"/>
        <s v="ORD-2024-10062"/>
        <s v="ORD-2024-10063"/>
        <s v="ORD-2024-10064"/>
        <s v="ORD-2024-10065"/>
        <s v="ORD-2024-10066"/>
        <s v="ORD-2025-10067"/>
        <s v="ORD-2025-10068"/>
        <s v="ORD-2024-10069"/>
        <s v="ORD-2024-10070"/>
        <s v="ORD-2025-10071"/>
        <s v="ORD-2025-10072"/>
        <s v="ORD-2024-10073"/>
        <s v="ORD-2025-10074"/>
        <s v="ORD-2025-10075"/>
        <s v="ORD-2025-10076"/>
        <s v="ORD-2024-10077"/>
        <s v="ORD-2025-10078"/>
        <s v="ORD-2025-10079"/>
        <s v="ORD-2025-10080"/>
        <s v="ORD-2024-10081"/>
        <s v="ORD-2025-10082"/>
        <s v="ORD-2024-10083"/>
        <s v="ORD-2024-10084"/>
        <s v="ORD-2024-10085"/>
        <s v="ORD-2024-10086"/>
        <s v="ORD-2024-10087"/>
        <s v="ORD-2024-10088"/>
        <s v="ORD-2024-10089"/>
        <s v="ORD-2024-10090"/>
        <s v="ORD-2025-10091"/>
        <s v="ORD-2025-10092"/>
        <s v="ORD-2025-10093"/>
        <s v="ORD-2024-10094"/>
        <s v="ORD-2024-10095"/>
        <s v="ORD-2025-10096"/>
        <s v="ORD-2024-10097"/>
        <s v="ORD-2025-10098"/>
        <s v="ORD-2024-10099"/>
        <s v="ORD-2025-10100"/>
        <s v="ORD-2025-10101"/>
        <s v="ORD-2024-10102"/>
        <s v="ORD-2025-10103"/>
        <s v="ORD-2025-10104"/>
        <s v="ORD-2025-10105"/>
        <s v="ORD-2024-10106"/>
        <s v="ORD-2024-10107"/>
        <s v="ORD-2024-10108"/>
        <s v="ORD-2024-10109"/>
        <s v="ORD-2025-10110"/>
        <s v="ORD-2024-10111"/>
        <s v="ORD-2025-10112"/>
        <s v="ORD-2024-10113"/>
        <s v="ORD-2024-10114"/>
        <s v="ORD-2024-10115"/>
        <s v="ORD-2024-10116"/>
        <s v="ORD-2025-10117"/>
        <s v="ORD-2024-10118"/>
        <s v="ORD-2024-10119"/>
        <s v="ORD-2024-10120"/>
        <s v="ORD-2024-10121"/>
        <s v="ORD-2025-10122"/>
        <s v="ORD-2024-10123"/>
        <s v="ORD-2024-10124"/>
        <s v="ORD-2024-10125"/>
        <s v="ORD-2025-10126"/>
        <s v="ORD-2025-10127"/>
        <s v="ORD-2025-10128"/>
        <s v="ORD-2024-10129"/>
        <s v="ORD-2024-10130"/>
        <s v="ORD-2024-10131"/>
        <s v="ORD-2025-10132"/>
        <s v="ORD-2024-10133"/>
        <s v="ORD-2024-10134"/>
        <s v="ORD-2025-10135"/>
        <s v="ORD-2025-10136"/>
        <s v="ORD-2025-10137"/>
        <s v="ORD-2025-10138"/>
        <s v="ORD-2024-10139"/>
        <s v="ORD-2025-10140"/>
        <s v="ORD-2024-10141"/>
        <s v="ORD-2024-10142"/>
        <s v="ORD-2024-10143"/>
        <s v="ORD-2024-10144"/>
        <s v="ORD-2024-10145"/>
        <s v="ORD-2025-10146"/>
        <s v="ORD-2025-10147"/>
        <s v="ORD-2024-10148"/>
        <s v="ORD-2025-10149"/>
        <s v="ORD-2024-10150"/>
        <s v="ORD-2024-10151"/>
        <s v="ORD-2024-10152"/>
        <s v="ORD-2024-10153"/>
        <s v="ORD-2025-10154"/>
        <s v="ORD-2024-10155"/>
        <s v="ORD-2025-10156"/>
        <s v="ORD-2025-10157"/>
        <s v="ORD-2024-10158"/>
        <s v="ORD-2024-10159"/>
        <s v="ORD-2025-10160"/>
        <s v="ORD-2025-10161"/>
        <s v="ORD-2025-10162"/>
        <s v="ORD-2024-10163"/>
        <s v="ORD-2025-10164"/>
        <s v="ORD-2025-10165"/>
        <s v="ORD-2024-10166"/>
        <s v="ORD-2025-10167"/>
        <s v="ORD-2025-10168"/>
        <s v="ORD-2025-10169"/>
        <s v="ORD-2025-10170"/>
        <s v="ORD-2025-10171"/>
        <s v="ORD-2025-10172"/>
        <s v="ORD-2025-10173"/>
        <s v="ORD-2024-10174"/>
        <s v="ORD-2025-10175"/>
        <s v="ORD-2024-10176"/>
        <s v="ORD-2025-10177"/>
        <s v="ORD-2024-10178"/>
        <s v="ORD-2024-10179"/>
        <s v="ORD-2024-10180"/>
        <s v="ORD-2024-10181"/>
        <s v="ORD-2025-10182"/>
        <s v="ORD-2024-10183"/>
        <s v="ORD-2025-10184"/>
        <s v="ORD-2024-10185"/>
        <s v="ORD-2024-10186"/>
        <s v="ORD-2024-10187"/>
        <s v="ORD-2025-10188"/>
        <s v="ORD-2025-10189"/>
        <s v="ORD-2025-10190"/>
        <s v="ORD-2025-10191"/>
        <s v="ORD-2024-10192"/>
        <s v="ORD-2024-10193"/>
        <s v="ORD-2024-10194"/>
        <s v="ORD-2025-10195"/>
        <s v="ORD-2025-10196"/>
        <s v="ORD-2024-10197"/>
        <s v="ORD-2025-10198"/>
        <s v="ORD-2024-10199"/>
        <s v="ORD-2024-10200"/>
        <s v="ORD-2025-10201"/>
        <s v="ORD-2025-10202"/>
        <s v="ORD-2025-10203"/>
        <s v="ORD-2024-10204"/>
        <s v="ORD-2025-10205"/>
        <s v="ORD-2025-10206"/>
        <s v="ORD-2025-10207"/>
        <s v="ORD-2024-10208"/>
        <s v="ORD-2025-10209"/>
        <s v="ORD-2025-10210"/>
        <s v="ORD-2024-10211"/>
        <s v="ORD-2024-10212"/>
        <s v="ORD-2024-10213"/>
        <s v="ORD-2024-10214"/>
        <s v="ORD-2024-10215"/>
        <s v="ORD-2024-10216"/>
        <s v="ORD-2025-10217"/>
        <s v="ORD-2025-10218"/>
        <s v="ORD-2025-10219"/>
        <s v="ORD-2024-10220"/>
        <s v="ORD-2024-10221"/>
        <s v="ORD-2025-10222"/>
        <s v="ORD-2025-10223"/>
        <s v="ORD-2025-10224"/>
        <s v="ORD-2025-10225"/>
        <s v="ORD-2024-10226"/>
        <s v="ORD-2025-10227"/>
        <s v="ORD-2024-10228"/>
        <s v="ORD-2024-10229"/>
        <s v="ORD-2025-10230"/>
        <s v="ORD-2024-10231"/>
        <s v="ORD-2024-10232"/>
        <s v="ORD-2025-10233"/>
        <s v="ORD-2024-10234"/>
        <s v="ORD-2024-10235"/>
        <s v="ORD-2024-10236"/>
        <s v="ORD-2024-10237"/>
        <s v="ORD-2024-10238"/>
        <s v="ORD-2024-10239"/>
        <s v="ORD-2024-10240"/>
        <s v="ORD-2024-10241"/>
        <s v="ORD-2025-10242"/>
        <s v="ORD-2025-10243"/>
        <s v="ORD-2025-10244"/>
        <s v="ORD-2024-10245"/>
        <s v="ORD-2024-10246"/>
        <s v="ORD-2024-10247"/>
        <s v="ORD-2024-10248"/>
        <s v="ORD-2024-10249"/>
        <s v="ORD-2025-10250"/>
        <s v="ORD-2024-10251"/>
        <s v="ORD-2025-10252"/>
        <s v="ORD-2025-10253"/>
        <s v="ORD-2024-10254"/>
        <s v="ORD-2025-10255"/>
        <s v="ORD-2025-10256"/>
        <s v="ORD-2024-10257"/>
        <s v="ORD-2025-10258"/>
        <s v="ORD-2024-10259"/>
        <s v="ORD-2024-10260"/>
        <s v="ORD-2025-10261"/>
        <s v="ORD-2025-10262"/>
        <s v="ORD-2025-10263"/>
        <s v="ORD-2025-10264"/>
        <s v="ORD-2024-10265"/>
        <s v="ORD-2024-10266"/>
        <s v="ORD-2025-10267"/>
        <s v="ORD-2025-10268"/>
        <s v="ORD-2025-10269"/>
        <s v="ORD-2025-10270"/>
        <s v="ORD-2024-10271"/>
        <s v="ORD-2024-10272"/>
        <s v="ORD-2024-10273"/>
        <s v="ORD-2025-10274"/>
        <s v="ORD-2024-10275"/>
        <s v="ORD-2024-10276"/>
        <s v="ORD-2024-10277"/>
        <s v="ORD-2025-10278"/>
        <s v="ORD-2025-10279"/>
        <s v="ORD-2024-10280"/>
        <s v="ORD-2024-10281"/>
        <s v="ORD-2025-10282"/>
        <s v="ORD-2024-10283"/>
        <s v="ORD-2025-10284"/>
        <s v="ORD-2024-10285"/>
        <s v="ORD-2025-10286"/>
        <s v="ORD-2024-10287"/>
        <s v="ORD-2024-10288"/>
        <s v="ORD-2024-10289"/>
        <s v="ORD-2025-10290"/>
        <s v="ORD-2025-10291"/>
        <s v="ORD-2024-10292"/>
        <s v="ORD-2025-10293"/>
        <s v="ORD-2024-10294"/>
        <s v="ORD-2025-10295"/>
        <s v="ORD-2025-10296"/>
        <s v="ORD-2025-10297"/>
        <s v="ORD-2024-10298"/>
        <s v="ORD-2025-10299"/>
        <s v="ORD-2024-10300"/>
        <s v="ORD-2024-10301"/>
        <s v="ORD-2025-10302"/>
        <s v="ORD-2025-10303"/>
        <s v="ORD-2024-10304"/>
        <s v="ORD-2024-10305"/>
        <s v="ORD-2024-10306"/>
        <s v="ORD-2025-10307"/>
        <s v="ORD-2025-10308"/>
        <s v="ORD-2025-10309"/>
        <s v="ORD-2024-10310"/>
        <s v="ORD-2024-10311"/>
        <s v="ORD-2024-10312"/>
        <s v="ORD-2024-10313"/>
        <s v="ORD-2025-10314"/>
        <s v="ORD-2025-10315"/>
        <s v="ORD-2024-10316"/>
        <s v="ORD-2024-10317"/>
        <s v="ORD-2025-10318"/>
        <s v="ORD-2024-10319"/>
        <s v="ORD-2024-10320"/>
        <s v="ORD-2024-10321"/>
        <s v="ORD-2024-10322"/>
        <s v="ORD-2024-10323"/>
        <s v="ORD-2024-10324"/>
        <s v="ORD-2025-10325"/>
        <s v="ORD-2025-10326"/>
        <s v="ORD-2025-10327"/>
        <s v="ORD-2024-10328"/>
        <s v="ORD-2025-10329"/>
        <s v="ORD-2025-10330"/>
        <s v="ORD-2024-10331"/>
        <s v="ORD-2024-10332"/>
        <s v="ORD-2025-10333"/>
        <s v="ORD-2025-10334"/>
        <s v="ORD-2024-10335"/>
        <s v="ORD-2025-10336"/>
        <s v="ORD-2024-10337"/>
        <s v="ORD-2024-10338"/>
        <s v="ORD-2024-10339"/>
        <s v="ORD-2025-10340"/>
        <s v="ORD-2024-10341"/>
        <s v="ORD-2025-10342"/>
        <s v="ORD-2025-10343"/>
        <s v="ORD-2025-10344"/>
        <s v="ORD-2024-10345"/>
        <s v="ORD-2024-10346"/>
        <s v="ORD-2025-10347"/>
        <s v="ORD-2024-10348"/>
        <s v="ORD-2024-10349"/>
        <s v="ORD-2025-10350"/>
        <s v="ORD-2024-10351"/>
        <s v="ORD-2025-10352"/>
        <s v="ORD-2025-10353"/>
        <s v="ORD-2025-10354"/>
        <s v="ORD-2024-10355"/>
        <s v="ORD-2024-10356"/>
        <s v="ORD-2025-10357"/>
        <s v="ORD-2025-10358"/>
        <s v="ORD-2025-10359"/>
        <s v="ORD-2024-10360"/>
        <s v="ORD-2024-10361"/>
        <s v="ORD-2025-10362"/>
        <s v="ORD-2024-10363"/>
        <s v="ORD-2025-10364"/>
        <s v="ORD-2025-10365"/>
        <s v="ORD-2024-10366"/>
        <s v="ORD-2025-10367"/>
        <s v="ORD-2024-10368"/>
        <s v="ORD-2025-10369"/>
        <s v="ORD-2025-10370"/>
        <s v="ORD-2024-10371"/>
        <s v="ORD-2024-10372"/>
        <s v="ORD-2025-10373"/>
        <s v="ORD-2025-10374"/>
        <s v="ORD-2025-10375"/>
        <s v="ORD-2024-10376"/>
        <s v="ORD-2024-10377"/>
        <s v="ORD-2025-10378"/>
        <s v="ORD-2025-10379"/>
        <s v="ORD-2024-10380"/>
        <s v="ORD-2024-10381"/>
        <s v="ORD-2025-10382"/>
        <s v="ORD-2025-10383"/>
        <s v="ORD-2025-10384"/>
        <s v="ORD-2024-10385"/>
        <s v="ORD-2025-10386"/>
        <s v="ORD-2025-10387"/>
        <s v="ORD-2025-10388"/>
        <s v="ORD-2024-10389"/>
        <s v="ORD-2024-10390"/>
        <s v="ORD-2024-10391"/>
        <s v="ORD-2025-10392"/>
        <s v="ORD-2024-10393"/>
        <s v="ORD-2024-10394"/>
        <s v="ORD-2024-10395"/>
        <s v="ORD-2024-10396"/>
        <s v="ORD-2025-10397"/>
        <s v="ORD-2025-10398"/>
        <s v="ORD-2024-10399"/>
        <s v="ORD-2025-10400"/>
        <s v="ORD-2025-10401"/>
        <s v="ORD-2025-10402"/>
        <s v="ORD-2024-10403"/>
        <s v="ORD-2024-10404"/>
        <s v="ORD-2024-10405"/>
        <s v="ORD-2024-10406"/>
        <s v="ORD-2025-10407"/>
        <s v="ORD-2024-10408"/>
        <s v="ORD-2025-10409"/>
        <s v="ORD-2025-10410"/>
        <s v="ORD-2024-10411"/>
        <s v="ORD-2025-10412"/>
        <s v="ORD-2024-10413"/>
        <s v="ORD-2025-10414"/>
        <s v="ORD-2024-10415"/>
        <s v="ORD-2024-10416"/>
        <s v="ORD-2025-10417"/>
        <s v="ORD-2025-10418"/>
        <s v="ORD-2024-10419"/>
        <s v="ORD-2025-10420"/>
        <s v="ORD-2025-10421"/>
        <s v="ORD-2025-10422"/>
        <s v="ORD-2025-10423"/>
        <s v="ORD-2024-10424"/>
        <s v="ORD-2024-10425"/>
        <s v="ORD-2024-10426"/>
        <s v="ORD-2024-10427"/>
        <s v="ORD-2025-10428"/>
        <s v="ORD-2025-10429"/>
        <s v="ORD-2025-10430"/>
        <s v="ORD-2024-10431"/>
        <s v="ORD-2024-10432"/>
        <s v="ORD-2024-10433"/>
        <s v="ORD-2024-10434"/>
        <s v="ORD-2025-10435"/>
        <s v="ORD-2025-10436"/>
        <s v="ORD-2024-10437"/>
        <s v="ORD-2024-10438"/>
        <s v="ORD-2025-10439"/>
        <s v="ORD-2025-10440"/>
        <s v="ORD-2024-10441"/>
        <s v="ORD-2024-10442"/>
        <s v="ORD-2025-10443"/>
        <s v="ORD-2024-10444"/>
        <s v="ORD-2025-10445"/>
        <s v="ORD-2024-10446"/>
        <s v="ORD-2025-10447"/>
        <s v="ORD-2025-10448"/>
        <s v="ORD-2024-10449"/>
        <s v="ORD-2024-10450"/>
        <s v="ORD-2025-10451"/>
        <s v="ORD-2024-10452"/>
        <s v="ORD-2024-10453"/>
        <s v="ORD-2025-10454"/>
        <s v="ORD-2025-10455"/>
        <s v="ORD-2024-10456"/>
        <s v="ORD-2024-10457"/>
        <s v="ORD-2024-10458"/>
        <s v="ORD-2024-10459"/>
        <s v="ORD-2024-10460"/>
        <s v="ORD-2025-10461"/>
        <s v="ORD-2025-10462"/>
        <s v="ORD-2024-10463"/>
        <s v="ORD-2025-10464"/>
        <s v="ORD-2025-10465"/>
        <s v="ORD-2024-10466"/>
        <s v="ORD-2024-10467"/>
        <s v="ORD-2024-10468"/>
        <s v="ORD-2025-10469"/>
        <s v="ORD-2024-10470"/>
        <s v="ORD-2024-10471"/>
        <s v="ORD-2024-10472"/>
        <s v="ORD-2024-10473"/>
        <s v="ORD-2024-10474"/>
        <s v="ORD-2024-10475"/>
        <s v="ORD-2025-10476"/>
        <s v="ORD-2024-10477"/>
        <s v="ORD-2025-10478"/>
        <s v="ORD-2024-10479"/>
        <s v="ORD-2024-10480"/>
        <s v="ORD-2025-10481"/>
        <s v="ORD-2025-10482"/>
        <s v="ORD-2024-10483"/>
        <s v="ORD-2024-10484"/>
        <s v="ORD-2024-10485"/>
        <s v="ORD-2025-10486"/>
        <s v="ORD-2025-10487"/>
        <s v="ORD-2025-10488"/>
        <s v="ORD-2024-10489"/>
        <s v="ORD-2024-10490"/>
        <s v="ORD-2024-10491"/>
        <s v="ORD-2025-10492"/>
        <s v="ORD-2025-10493"/>
        <s v="ORD-2025-10494"/>
        <s v="ORD-2024-10495"/>
        <s v="ORD-2024-10496"/>
        <s v="ORD-2025-10497"/>
        <s v="ORD-2024-10498"/>
        <s v="ORD-2025-10499"/>
        <s v="ORD-2024-10500"/>
        <s v="ORD-2024-10501"/>
        <s v="ORD-2024-10502"/>
        <s v="ORD-2024-10503"/>
        <s v="ORD-2024-10504"/>
        <s v="ORD-2025-10505"/>
        <s v="ORD-2024-10506"/>
        <s v="ORD-2024-10507"/>
        <s v="ORD-2025-10508"/>
        <s v="ORD-2024-10509"/>
        <s v="ORD-2025-10510"/>
        <s v="ORD-2024-10511"/>
        <s v="ORD-2024-10512"/>
        <s v="ORD-2025-10513"/>
        <s v="ORD-2025-10514"/>
        <s v="ORD-2024-10515"/>
        <s v="ORD-2025-10516"/>
        <s v="ORD-2024-10517"/>
        <s v="ORD-2025-10518"/>
        <s v="ORD-2025-10519"/>
        <s v="ORD-2025-10520"/>
        <s v="ORD-2024-10521"/>
        <s v="ORD-2025-10522"/>
        <s v="ORD-2025-10523"/>
        <s v="ORD-2024-10524"/>
        <s v="ORD-2024-10525"/>
        <s v="ORD-2024-10526"/>
        <s v="ORD-2025-10527"/>
        <s v="ORD-2025-10528"/>
        <s v="ORD-2024-10529"/>
        <s v="ORD-2024-10530"/>
        <s v="ORD-2025-10531"/>
        <s v="ORD-2024-10532"/>
        <s v="ORD-2025-10533"/>
        <s v="ORD-2024-10534"/>
        <s v="ORD-2025-10535"/>
        <s v="ORD-2024-10536"/>
        <s v="ORD-2025-10537"/>
        <s v="ORD-2024-10538"/>
        <s v="ORD-2024-10539"/>
        <s v="ORD-2025-10540"/>
        <s v="ORD-2024-10541"/>
        <s v="ORD-2025-10542"/>
        <s v="ORD-2024-10543"/>
        <s v="ORD-2024-10544"/>
        <s v="ORD-2025-10545"/>
        <s v="ORD-2024-10546"/>
        <s v="ORD-2025-10547"/>
        <s v="ORD-2024-10548"/>
        <s v="ORD-2024-10549"/>
        <s v="ORD-2025-10550"/>
        <s v="ORD-2024-10551"/>
        <s v="ORD-2024-10552"/>
        <s v="ORD-2025-10553"/>
        <s v="ORD-2025-10554"/>
        <s v="ORD-2024-10555"/>
        <s v="ORD-2025-10556"/>
        <s v="ORD-2024-10557"/>
        <s v="ORD-2024-10558"/>
        <s v="ORD-2025-10559"/>
        <s v="ORD-2025-10560"/>
        <s v="ORD-2024-10561"/>
        <s v="ORD-2025-10562"/>
        <s v="ORD-2024-10563"/>
        <s v="ORD-2024-10564"/>
        <s v="ORD-2024-10565"/>
        <s v="ORD-2025-10566"/>
        <s v="ORD-2024-10567"/>
        <s v="ORD-2024-10568"/>
        <s v="ORD-2024-10569"/>
        <s v="ORD-2025-10570"/>
        <s v="ORD-2025-10571"/>
        <s v="ORD-2025-10572"/>
        <s v="ORD-2024-10573"/>
        <s v="ORD-2025-10574"/>
        <s v="ORD-2024-10575"/>
        <s v="ORD-2025-10576"/>
        <s v="ORD-2024-10577"/>
        <s v="ORD-2025-10578"/>
        <s v="ORD-2024-10579"/>
        <s v="ORD-2024-10580"/>
        <s v="ORD-2025-10581"/>
        <s v="ORD-2025-10582"/>
        <s v="ORD-2024-10583"/>
        <s v="ORD-2024-10584"/>
        <s v="ORD-2024-10585"/>
        <s v="ORD-2025-10586"/>
        <s v="ORD-2025-10587"/>
        <s v="ORD-2025-10588"/>
        <s v="ORD-2025-10589"/>
        <s v="ORD-2024-10590"/>
        <s v="ORD-2024-10591"/>
        <s v="ORD-2024-10592"/>
        <s v="ORD-2024-10593"/>
        <s v="ORD-2025-10594"/>
        <s v="ORD-2024-10595"/>
        <s v="ORD-2025-10596"/>
        <s v="ORD-2024-10597"/>
        <s v="ORD-2025-10598"/>
        <s v="ORD-2024-10599"/>
        <s v="ORD-2024-10600"/>
        <s v="ORD-2025-10601"/>
        <s v="ORD-2024-10602"/>
        <s v="ORD-2024-10603"/>
        <s v="ORD-2025-10604"/>
        <s v="ORD-2025-10605"/>
        <s v="ORD-2025-10606"/>
        <s v="ORD-2025-10607"/>
        <s v="ORD-2025-10608"/>
        <s v="ORD-2024-10609"/>
        <s v="ORD-2025-10610"/>
        <s v="ORD-2024-10611"/>
        <s v="ORD-2025-10612"/>
        <s v="ORD-2025-10613"/>
        <s v="ORD-2024-10614"/>
        <s v="ORD-2024-10615"/>
        <s v="ORD-2024-10616"/>
        <s v="ORD-2024-10617"/>
        <s v="ORD-2024-10618"/>
        <s v="ORD-2024-10619"/>
        <s v="ORD-2024-10620"/>
        <s v="ORD-2024-10621"/>
        <s v="ORD-2024-10622"/>
        <s v="ORD-2025-10623"/>
        <s v="ORD-2024-10624"/>
        <s v="ORD-2024-10625"/>
        <s v="ORD-2024-10626"/>
        <s v="ORD-2025-10627"/>
        <s v="ORD-2025-10628"/>
        <s v="ORD-2025-10629"/>
        <s v="ORD-2025-10630"/>
        <s v="ORD-2024-10631"/>
        <s v="ORD-2024-10632"/>
        <s v="ORD-2025-10633"/>
        <s v="ORD-2025-10634"/>
        <s v="ORD-2025-10635"/>
        <s v="ORD-2024-10636"/>
        <s v="ORD-2024-10637"/>
        <s v="ORD-2024-10638"/>
        <s v="ORD-2024-10639"/>
        <s v="ORD-2024-10640"/>
        <s v="ORD-2025-10641"/>
        <s v="ORD-2025-10642"/>
        <s v="ORD-2024-10643"/>
        <s v="ORD-2024-10644"/>
        <s v="ORD-2025-10645"/>
        <s v="ORD-2024-10646"/>
        <s v="ORD-2024-10647"/>
        <s v="ORD-2025-10648"/>
        <s v="ORD-2024-10649"/>
        <s v="ORD-2025-10650"/>
        <s v="ORD-2024-10651"/>
        <s v="ORD-2025-10652"/>
        <s v="ORD-2025-10653"/>
        <s v="ORD-2025-10654"/>
        <s v="ORD-2025-10655"/>
        <s v="ORD-2025-10656"/>
        <s v="ORD-2024-10657"/>
        <s v="ORD-2025-10658"/>
        <s v="ORD-2025-10659"/>
        <s v="ORD-2025-10660"/>
        <s v="ORD-2025-10661"/>
        <s v="ORD-2024-10662"/>
        <s v="ORD-2024-10663"/>
        <s v="ORD-2024-10664"/>
        <s v="ORD-2024-10665"/>
        <s v="ORD-2025-10666"/>
        <s v="ORD-2024-10667"/>
        <s v="ORD-2025-10668"/>
        <s v="ORD-2024-10669"/>
        <s v="ORD-2024-10670"/>
        <s v="ORD-2025-10671"/>
        <s v="ORD-2024-10672"/>
        <s v="ORD-2024-10673"/>
        <s v="ORD-2025-10674"/>
        <s v="ORD-2024-10675"/>
        <s v="ORD-2025-10676"/>
        <s v="ORD-2025-10677"/>
        <s v="ORD-2024-10678"/>
        <s v="ORD-2024-10679"/>
        <s v="ORD-2025-10680"/>
        <s v="ORD-2024-10681"/>
        <s v="ORD-2024-10682"/>
        <s v="ORD-2025-10683"/>
        <s v="ORD-2025-10684"/>
        <s v="ORD-2025-10685"/>
        <s v="ORD-2025-10686"/>
        <s v="ORD-2024-10687"/>
        <s v="ORD-2025-10688"/>
        <s v="ORD-2025-10689"/>
        <s v="ORD-2024-10690"/>
        <s v="ORD-2024-10691"/>
        <s v="ORD-2024-10692"/>
        <s v="ORD-2025-10693"/>
        <s v="ORD-2025-10694"/>
        <s v="ORD-2025-10695"/>
        <s v="ORD-2024-10696"/>
        <s v="ORD-2025-10697"/>
        <s v="ORD-2025-10698"/>
        <s v="ORD-2024-10699"/>
        <s v="ORD-2024-10700"/>
        <s v="ORD-2024-10701"/>
        <s v="ORD-2024-10702"/>
        <s v="ORD-2025-10703"/>
        <s v="ORD-2024-10704"/>
        <s v="ORD-2024-10705"/>
        <s v="ORD-2024-10706"/>
        <s v="ORD-2024-10707"/>
        <s v="ORD-2025-10708"/>
        <s v="ORD-2025-10709"/>
        <s v="ORD-2025-10710"/>
        <s v="ORD-2024-10711"/>
        <s v="ORD-2025-10712"/>
        <s v="ORD-2024-10713"/>
        <s v="ORD-2025-10714"/>
        <s v="ORD-2025-10715"/>
        <s v="ORD-2025-10716"/>
        <s v="ORD-2025-10717"/>
        <s v="ORD-2025-10718"/>
        <s v="ORD-2024-10719"/>
        <s v="ORD-2025-10720"/>
        <s v="ORD-2024-10721"/>
        <s v="ORD-2025-10722"/>
        <s v="ORD-2024-10723"/>
        <s v="ORD-2025-10724"/>
        <s v="ORD-2024-10725"/>
        <s v="ORD-2025-10726"/>
        <s v="ORD-2024-10727"/>
        <s v="ORD-2024-10728"/>
        <s v="ORD-2024-10729"/>
        <s v="ORD-2025-10730"/>
        <s v="ORD-2025-10731"/>
        <s v="ORD-2024-10732"/>
        <s v="ORD-2024-10733"/>
        <s v="ORD-2024-10734"/>
        <s v="ORD-2024-10735"/>
        <s v="ORD-2024-10736"/>
        <s v="ORD-2024-10737"/>
        <s v="ORD-2024-10738"/>
        <s v="ORD-2025-10739"/>
        <s v="ORD-2024-10740"/>
        <s v="ORD-2024-10741"/>
        <s v="ORD-2025-10742"/>
        <s v="ORD-2024-10743"/>
        <s v="ORD-2025-10744"/>
        <s v="ORD-2025-10745"/>
        <s v="ORD-2024-10746"/>
        <s v="ORD-2025-10747"/>
        <s v="ORD-2024-10748"/>
        <s v="ORD-2024-10749"/>
        <s v="ORD-2024-10750"/>
        <s v="ORD-2025-10751"/>
        <s v="ORD-2025-10752"/>
        <s v="ORD-2024-10753"/>
        <s v="ORD-2024-10754"/>
        <s v="ORD-2025-10755"/>
        <s v="ORD-2025-10756"/>
        <s v="ORD-2024-10757"/>
        <s v="ORD-2025-10758"/>
        <s v="ORD-2024-10759"/>
        <s v="ORD-2024-10760"/>
        <s v="ORD-2024-10761"/>
        <s v="ORD-2025-10762"/>
        <s v="ORD-2024-10763"/>
        <s v="ORD-2025-10764"/>
        <s v="ORD-2025-10765"/>
        <s v="ORD-2025-10766"/>
        <s v="ORD-2024-10767"/>
        <s v="ORD-2024-10768"/>
        <s v="ORD-2025-10769"/>
        <s v="ORD-2024-10770"/>
        <s v="ORD-2024-10771"/>
        <s v="ORD-2024-10772"/>
        <s v="ORD-2025-10773"/>
        <s v="ORD-2025-10774"/>
        <s v="ORD-2025-10775"/>
        <s v="ORD-2024-10776"/>
        <s v="ORD-2025-10777"/>
        <s v="ORD-2024-10778"/>
        <s v="ORD-2024-10779"/>
        <s v="ORD-2024-10780"/>
        <s v="ORD-2024-10781"/>
        <s v="ORD-2024-10782"/>
        <s v="ORD-2025-10783"/>
        <s v="ORD-2024-10784"/>
        <s v="ORD-2025-10785"/>
        <s v="ORD-2024-10786"/>
        <s v="ORD-2025-10787"/>
        <s v="ORD-2024-10788"/>
        <s v="ORD-2024-10789"/>
        <s v="ORD-2025-10790"/>
        <s v="ORD-2024-10791"/>
        <s v="ORD-2024-10792"/>
        <s v="ORD-2025-10793"/>
        <s v="ORD-2024-10794"/>
        <s v="ORD-2025-10795"/>
        <s v="ORD-2024-10796"/>
        <s v="ORD-2024-10797"/>
        <s v="ORD-2024-10798"/>
        <s v="ORD-2025-10799"/>
        <s v="ORD-2024-10800"/>
        <s v="ORD-2024-10801"/>
        <s v="ORD-2025-10802"/>
        <s v="ORD-2025-10803"/>
        <s v="ORD-2024-10804"/>
        <s v="ORD-2025-10805"/>
        <s v="ORD-2025-10806"/>
        <s v="ORD-2024-10807"/>
        <s v="ORD-2025-10808"/>
        <s v="ORD-2025-10809"/>
        <s v="ORD-2025-10810"/>
        <s v="ORD-2024-10811"/>
        <s v="ORD-2024-10812"/>
        <s v="ORD-2024-10813"/>
        <s v="ORD-2025-10814"/>
        <s v="ORD-2025-10815"/>
        <s v="ORD-2024-10816"/>
        <s v="ORD-2024-10817"/>
        <s v="ORD-2025-10818"/>
        <s v="ORD-2024-10819"/>
        <s v="ORD-2024-10820"/>
        <s v="ORD-2025-10821"/>
        <s v="ORD-2024-10822"/>
        <s v="ORD-2024-10823"/>
        <s v="ORD-2025-10824"/>
        <s v="ORD-2025-10825"/>
        <s v="ORD-2025-10826"/>
        <s v="ORD-2025-10827"/>
        <s v="ORD-2024-10828"/>
        <s v="ORD-2025-10829"/>
        <s v="ORD-2024-10830"/>
        <s v="ORD-2025-10831"/>
        <s v="ORD-2025-10832"/>
        <s v="ORD-2025-10833"/>
        <s v="ORD-2024-10834"/>
        <s v="ORD-2024-10835"/>
        <s v="ORD-2025-10836"/>
        <s v="ORD-2024-10837"/>
        <s v="ORD-2025-10838"/>
        <s v="ORD-2025-10839"/>
        <s v="ORD-2024-10840"/>
        <s v="ORD-2025-10841"/>
        <s v="ORD-2025-10842"/>
        <s v="ORD-2024-10843"/>
        <s v="ORD-2025-10844"/>
        <s v="ORD-2025-10845"/>
        <s v="ORD-2024-10846"/>
        <s v="ORD-2024-10847"/>
        <s v="ORD-2025-10848"/>
        <s v="ORD-2025-10849"/>
        <s v="ORD-2024-10850"/>
        <s v="ORD-2024-10851"/>
        <s v="ORD-2024-10852"/>
        <s v="ORD-2024-10853"/>
        <s v="ORD-2025-10854"/>
        <s v="ORD-2025-10855"/>
        <s v="ORD-2024-10856"/>
        <s v="ORD-2024-10857"/>
        <s v="ORD-2024-10858"/>
        <s v="ORD-2024-10859"/>
        <s v="ORD-2024-10860"/>
        <s v="ORD-2024-10861"/>
        <s v="ORD-2025-10862"/>
        <s v="ORD-2025-10863"/>
        <s v="ORD-2025-10864"/>
        <s v="ORD-2025-10865"/>
        <s v="ORD-2025-10866"/>
        <s v="ORD-2025-10867"/>
        <s v="ORD-2024-10868"/>
        <s v="ORD-2025-10869"/>
        <s v="ORD-2025-10870"/>
        <s v="ORD-2025-10871"/>
        <s v="ORD-2024-10872"/>
        <s v="ORD-2024-10873"/>
        <s v="ORD-2025-10874"/>
        <s v="ORD-2025-10875"/>
        <s v="ORD-2024-10876"/>
        <s v="ORD-2024-10877"/>
        <s v="ORD-2025-10878"/>
        <s v="ORD-2024-10879"/>
        <s v="ORD-2025-10880"/>
        <s v="ORD-2024-10881"/>
        <s v="ORD-2024-10882"/>
        <s v="ORD-2025-10883"/>
        <s v="ORD-2025-10884"/>
        <s v="ORD-2025-10885"/>
        <s v="ORD-2024-10886"/>
        <s v="ORD-2025-10887"/>
        <s v="ORD-2024-10888"/>
        <s v="ORD-2025-10889"/>
        <s v="ORD-2025-10890"/>
        <s v="ORD-2024-10891"/>
        <s v="ORD-2024-10892"/>
        <s v="ORD-2025-10893"/>
        <s v="ORD-2024-10894"/>
        <s v="ORD-2024-10895"/>
        <s v="ORD-2024-10896"/>
        <s v="ORD-2024-10897"/>
        <s v="ORD-2025-10898"/>
        <s v="ORD-2024-10899"/>
        <s v="ORD-2025-10900"/>
      </sharedItems>
    </cacheField>
    <cacheField name="order_date" numFmtId="0">
      <sharedItems/>
    </cacheField>
    <cacheField name="ship_date" numFmtId="0">
      <sharedItems/>
    </cacheField>
    <cacheField name="ship_date_clean" numFmtId="0">
      <sharedItems/>
    </cacheField>
    <cacheField name="order_date_clean" numFmtId="0">
      <sharedItems/>
    </cacheField>
    <cacheField name="shipping_delay_days_x000a_" numFmtId="0">
      <sharedItems containsSemiMixedTypes="0" containsString="0" containsNumber="1" containsInteger="1" minValue="-323" maxValue="297"/>
    </cacheField>
    <cacheField name="customer_id" numFmtId="0">
      <sharedItems/>
    </cacheField>
    <cacheField name="customer_name" numFmtId="0">
      <sharedItems/>
    </cacheField>
    <cacheField name="segment" numFmtId="0">
      <sharedItems count="4">
        <s v="Consumer"/>
        <s v="Small Business"/>
        <s v="Corporate"/>
        <s v="Home Office"/>
      </sharedItems>
    </cacheField>
    <cacheField name="region" numFmtId="0">
      <sharedItems count="5">
        <s v="North"/>
        <s v="East"/>
        <s v="South"/>
        <s v="West"/>
        <s v="Unknown"/>
      </sharedItems>
    </cacheField>
    <cacheField name="state" numFmtId="0">
      <sharedItems/>
    </cacheField>
    <cacheField name="city" numFmtId="0">
      <sharedItems/>
    </cacheField>
    <cacheField name="category" numFmtId="0">
      <sharedItems count="3">
        <s v="Office Supplies"/>
        <s v="Furniture"/>
        <s v="Technology"/>
      </sharedItems>
    </cacheField>
    <cacheField name="sub_category" numFmtId="0">
      <sharedItems count="13">
        <s v="Paper"/>
        <s v="Tables"/>
        <s v="Art"/>
        <s v="Furnishings"/>
        <s v="Chairs"/>
        <s v="Accessories"/>
        <s v="Copiers"/>
        <s v="Labels"/>
        <s v="Storage"/>
        <s v="Binders"/>
        <s v="Bookcases"/>
        <s v="Phones"/>
        <s v="Machines"/>
      </sharedItems>
    </cacheField>
    <cacheField name="product_name" numFmtId="0">
      <sharedItems/>
    </cacheField>
    <cacheField name="ship_mode" numFmtId="0">
      <sharedItems count="5">
        <s v="Second Class"/>
        <s v="Same Day"/>
        <s v="First Class"/>
        <s v="Standard Class"/>
        <s v="Unknown"/>
      </sharedItems>
    </cacheField>
    <cacheField name="quantity" numFmtId="0">
      <sharedItems containsSemiMixedTypes="0" containsString="0" containsNumber="1" containsInteger="1" minValue="1" maxValue="9"/>
    </cacheField>
    <cacheField name="unit_price" numFmtId="0">
      <sharedItems containsSemiMixedTypes="0" containsString="0" containsNumber="1" minValue="121.49" maxValue="4499.46"/>
    </cacheField>
    <cacheField name="discount" numFmtId="0">
      <sharedItems containsMixedTypes="1" containsNumber="1" minValue="-0.24" maxValue="0.65"/>
    </cacheField>
    <cacheField name="sales" numFmtId="0">
      <sharedItems containsSemiMixedTypes="0" containsString="0" containsNumber="1" minValue="217.48" maxValue="36782.269999999997"/>
    </cacheField>
    <cacheField name="cost" numFmtId="0">
      <sharedItems containsSemiMixedTypes="0" containsString="0" containsNumber="1" minValue="119.77" maxValue="30820.84"/>
    </cacheField>
    <cacheField name="profit" numFmtId="0">
      <sharedItems containsSemiMixedTypes="0" containsString="0" containsNumber="1" minValue="42.35" maxValue="15226"/>
    </cacheField>
    <cacheField name="payment_status" numFmtId="0">
      <sharedItems/>
    </cacheField>
    <cacheField name="order_status" numFmtId="0">
      <sharedItems count="3">
        <s v="Completed"/>
        <s v="Cancelled"/>
        <s v="Returned"/>
      </sharedItems>
    </cacheField>
    <cacheField name="duplicate/unique I'D" numFmtId="0">
      <sharedItems/>
    </cacheField>
    <cacheField name="Review flag" numFmtId="0">
      <sharedItems containsBlank="1"/>
    </cacheField>
    <cacheField name="Discount check" numFmtId="0">
      <sharedItems/>
    </cacheField>
    <cacheField name="Ship date before order date" numFmtId="0">
      <sharedItems/>
    </cacheField>
    <cacheField name="cleaned_discount" numFmtId="0">
      <sharedItems containsSemiMixedTypes="0" containsString="0" containsNumber="1" minValue="-0.24" maxValue="0.65"/>
    </cacheField>
    <cacheField name="calculated_sales" numFmtId="0">
      <sharedItems containsSemiMixedTypes="0" containsString="0" containsNumber="1" minValue="217.47750000000002" maxValue="36782.271000000008"/>
    </cacheField>
    <cacheField name="calculated_profit" numFmtId="0">
      <sharedItems containsSemiMixedTypes="0" containsString="0" containsNumber="1" minValue="-10350.040000000001" maxValue="15225.999000000003"/>
    </cacheField>
    <cacheField name="profit_margin" numFmtId="0">
      <sharedItems containsSemiMixedTypes="0" containsString="0" containsNumber="1" minValue="-1.1439491403283069" maxValue="0.63731759836591895"/>
    </cacheField>
    <cacheField name="order_month" numFmtId="0">
      <sharedItems count="12">
        <s v="July"/>
        <s v="August"/>
        <s v="November"/>
        <s v="May"/>
        <s v="October"/>
        <s v="February"/>
        <s v="September"/>
        <s v="December"/>
        <s v="January"/>
        <s v="March"/>
        <s v="June"/>
        <s v="April"/>
      </sharedItems>
    </cacheField>
    <cacheField name="order_year" numFmtId="0">
      <sharedItems containsSemiMixedTypes="0" containsString="0" containsNumber="1" containsInteger="1" minValue="2024" maxValue="2025"/>
    </cacheField>
    <cacheField name="data_quality_flag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x v="0"/>
    <s v="21 Jul 2024"/>
    <s v="07/27/2024"/>
    <s v="27-Jul-2024"/>
    <s v="21-Jul-2024"/>
    <n v="6"/>
    <s v="CUST-4655"/>
    <s v="Karan Malhotra"/>
    <x v="0"/>
    <x v="0"/>
    <s v="Rajasthan"/>
    <s v="Jaipur"/>
    <x v="0"/>
    <x v="0"/>
    <s v="Pro Paper 122"/>
    <x v="0"/>
    <n v="8"/>
    <n v="2976.45"/>
    <n v="0.2"/>
    <n v="19049.28"/>
    <n v="15841.89"/>
    <n v="3207.39"/>
    <s v="Paid"/>
    <x v="0"/>
    <s v="Unique"/>
    <m/>
    <s v="Clean"/>
    <s v="valid"/>
    <n v="0.2"/>
    <n v="19049.28"/>
    <n v="3207.3899999999994"/>
    <n v="0.16837329284886357"/>
    <x v="0"/>
    <n v="2024"/>
    <s v="Clean"/>
  </r>
  <r>
    <x v="1"/>
    <s v="08/31/2024"/>
    <s v="05 Sep 2024"/>
    <s v="05-Sep-2024"/>
    <s v="31-Aug-2024"/>
    <n v="5"/>
    <s v="CUST-2054"/>
    <s v="Mira Das"/>
    <x v="1"/>
    <x v="1"/>
    <s v="Odisha"/>
    <s v="Bhubaneswar"/>
    <x v="1"/>
    <x v="1"/>
    <s v="Pro Tables 258"/>
    <x v="1"/>
    <n v="3"/>
    <n v="2437.5"/>
    <n v="0"/>
    <n v="7312.5"/>
    <n v="4904.7299999999996"/>
    <n v="2407.77"/>
    <s v="Paid"/>
    <x v="0"/>
    <s v="Unique"/>
    <m/>
    <s v="Clean"/>
    <s v="valid"/>
    <n v="0"/>
    <n v="7312.5"/>
    <n v="2407.7700000000004"/>
    <n v="0.32926769230769237"/>
    <x v="1"/>
    <n v="2024"/>
    <s v="Clean"/>
  </r>
  <r>
    <x v="2"/>
    <s v="06/08/2024"/>
    <s v="15 Jun 2024"/>
    <s v="15-Jun-2024"/>
    <s v="06-Aug-2024"/>
    <n v="-52"/>
    <s v="CUST-6843"/>
    <s v="Isha Nair"/>
    <x v="0"/>
    <x v="1"/>
    <s v="Odisha"/>
    <s v="Bhubaneswar"/>
    <x v="0"/>
    <x v="2"/>
    <s v="Elite Art 525"/>
    <x v="2"/>
    <n v="4"/>
    <n v="1065.43"/>
    <n v="0.55000000000000004"/>
    <n v="4261.72"/>
    <n v="2465.69"/>
    <n v="1796.03"/>
    <s v="Paid"/>
    <x v="0"/>
    <s v="Unique"/>
    <m/>
    <s v="Invalid"/>
    <s v="Invalid"/>
    <n v="0.55000000000000004"/>
    <n v="1917.7739999999999"/>
    <n v="-547.91600000000017"/>
    <n v="-0.28570415492127865"/>
    <x v="1"/>
    <n v="2024"/>
    <s v="Invalid"/>
  </r>
  <r>
    <x v="3"/>
    <s v="28-11-2024"/>
    <s v="11/29/2024"/>
    <s v="29-Nov-2024"/>
    <s v="28-Nov-2024"/>
    <n v="1"/>
    <s v="CUST-3722"/>
    <s v="Arjun Bose"/>
    <x v="1"/>
    <x v="2"/>
    <s v="Telangana"/>
    <s v="Hyderabad"/>
    <x v="1"/>
    <x v="3"/>
    <s v="Smart Furnishings 294"/>
    <x v="3"/>
    <n v="6"/>
    <n v="1848.43"/>
    <n v="0.25"/>
    <n v="8317.93"/>
    <n v="6796.77"/>
    <n v="1521.16"/>
    <s v="Paid"/>
    <x v="0"/>
    <s v="Unique"/>
    <m/>
    <s v="Clean"/>
    <s v="valid"/>
    <n v="0.25"/>
    <n v="8317.9349999999995"/>
    <n v="1521.1649999999991"/>
    <n v="0.18287772145370204"/>
    <x v="2"/>
    <n v="2024"/>
    <s v="Clean"/>
  </r>
  <r>
    <x v="4"/>
    <s v="29 Aug 2025"/>
    <s v="2025-09-01"/>
    <s v="01-Sep-2025"/>
    <s v="29-Aug-2025"/>
    <n v="3"/>
    <s v="CUST-8130"/>
    <s v="Ananya Rao"/>
    <x v="1"/>
    <x v="3"/>
    <s v="Maharashtra"/>
    <s v="Mumbai"/>
    <x v="1"/>
    <x v="4"/>
    <s v="Elite Chairs 543"/>
    <x v="2"/>
    <n v="7"/>
    <n v="2973.76"/>
    <n v="0"/>
    <n v="20816.32"/>
    <n v="17705.37"/>
    <n v="3110.95"/>
    <s v="Paid"/>
    <x v="1"/>
    <s v="Unique"/>
    <m/>
    <s v="Clean"/>
    <s v="valid"/>
    <n v="0"/>
    <n v="20816.32"/>
    <n v="3110.9500000000007"/>
    <n v="0.14944764492475138"/>
    <x v="1"/>
    <n v="2025"/>
    <s v="Warning"/>
  </r>
  <r>
    <x v="5"/>
    <s v="2024-05-24"/>
    <s v="28-05-2024"/>
    <s v="28-May-2024"/>
    <s v="24-May-2024"/>
    <n v="4"/>
    <s v="CUST-6056"/>
    <s v="Vikram Iyer"/>
    <x v="1"/>
    <x v="3"/>
    <s v="Madhya Pradesh"/>
    <s v="Indore"/>
    <x v="2"/>
    <x v="5"/>
    <s v="Pro Accessories 821"/>
    <x v="1"/>
    <n v="3"/>
    <n v="1053.1099999999999"/>
    <n v="0.2"/>
    <n v="2527.46"/>
    <n v="1533.58"/>
    <n v="993.88"/>
    <s v="Paid"/>
    <x v="0"/>
    <s v="Unique"/>
    <m/>
    <s v="Clean"/>
    <s v="valid"/>
    <n v="0.2"/>
    <n v="2527.4639999999999"/>
    <n v="993.88400000000001"/>
    <n v="0.39323369195367375"/>
    <x v="3"/>
    <n v="2024"/>
    <s v="Clean"/>
  </r>
  <r>
    <x v="6"/>
    <s v="04/10/2025"/>
    <s v="04/16/2025"/>
    <s v="16-Apr-2025"/>
    <s v="04-Oct-2025"/>
    <n v="-171"/>
    <s v="CUST-3656"/>
    <s v="Neha Gupta"/>
    <x v="0"/>
    <x v="1"/>
    <s v="Odisha"/>
    <s v="Bhubaneswar"/>
    <x v="2"/>
    <x v="6"/>
    <s v="Eco Copiers 790"/>
    <x v="3"/>
    <n v="4"/>
    <n v="1719.87"/>
    <n v="0.15"/>
    <n v="5847.56"/>
    <n v="4727.25"/>
    <n v="1120.31"/>
    <s v="Paid"/>
    <x v="0"/>
    <s v="Unique"/>
    <m/>
    <s v="Clean"/>
    <s v="Invalid"/>
    <n v="0.15"/>
    <n v="5847.5579999999991"/>
    <n v="1120.3079999999991"/>
    <n v="0.19158561573908275"/>
    <x v="4"/>
    <n v="2025"/>
    <s v="Clean"/>
  </r>
  <r>
    <x v="7"/>
    <s v="2025-02-23"/>
    <s v="26-02-2025"/>
    <s v="26-Feb-2025"/>
    <s v="23-Feb-2025"/>
    <n v="3"/>
    <s v="CUST-4683"/>
    <s v="Isha Nair"/>
    <x v="1"/>
    <x v="2"/>
    <s v="Andhra Pradesh"/>
    <s v="Vijayawada"/>
    <x v="0"/>
    <x v="2"/>
    <s v="Eco Art 848"/>
    <x v="2"/>
    <n v="1"/>
    <n v="2980.71"/>
    <n v="0"/>
    <n v="2980.71"/>
    <n v="2357.2199999999998"/>
    <n v="623.49"/>
    <s v="Paid"/>
    <x v="0"/>
    <s v="Unique"/>
    <m/>
    <s v="Clean"/>
    <s v="valid"/>
    <n v="0"/>
    <n v="2980.71"/>
    <n v="623.49000000000024"/>
    <n v="0.20917499521925992"/>
    <x v="5"/>
    <n v="2025"/>
    <s v="Clean"/>
  </r>
  <r>
    <x v="8"/>
    <s v="11/05/2024"/>
    <s v="11/10/2024"/>
    <s v="11-Oct-2024"/>
    <s v="11-May-2024"/>
    <n v="153"/>
    <s v="CUST-2598"/>
    <s v="Aditi Sen"/>
    <x v="2"/>
    <x v="2"/>
    <s v="Telangana"/>
    <s v="Hyderabad"/>
    <x v="0"/>
    <x v="7"/>
    <s v="Classic Labels 815"/>
    <x v="2"/>
    <n v="8"/>
    <n v="3134.2"/>
    <n v="0"/>
    <n v="25073.599999999999"/>
    <n v="17347.23"/>
    <n v="7726.37"/>
    <s v="Paid"/>
    <x v="0"/>
    <s v="Unique"/>
    <m/>
    <s v="Clean"/>
    <s v="valid"/>
    <n v="0"/>
    <n v="25073.599999999999"/>
    <n v="7726.369999999999"/>
    <n v="0.30814761342607361"/>
    <x v="3"/>
    <n v="2024"/>
    <s v="Clean"/>
  </r>
  <r>
    <x v="9"/>
    <s v="07-09-2025"/>
    <s v="09/12/2025"/>
    <s v="09-Dec-2025"/>
    <s v="07-Sep-2025"/>
    <n v="93"/>
    <s v="CUST-2483"/>
    <s v="Mira Das"/>
    <x v="3"/>
    <x v="2"/>
    <s v="Telangana"/>
    <s v="Hyderabad"/>
    <x v="0"/>
    <x v="0"/>
    <s v="Pro Paper 622"/>
    <x v="0"/>
    <n v="9"/>
    <n v="852.04"/>
    <n v="0.2"/>
    <n v="6134.69"/>
    <n v="3800.19"/>
    <n v="2334.5"/>
    <s v="Paid"/>
    <x v="0"/>
    <s v="Unique"/>
    <m/>
    <s v="Clean"/>
    <s v="valid"/>
    <n v="0.2"/>
    <n v="6134.6880000000001"/>
    <n v="2334.498"/>
    <n v="0.38054062407085737"/>
    <x v="6"/>
    <n v="2025"/>
    <s v="Clean"/>
  </r>
  <r>
    <x v="10"/>
    <s v="20 May 2025"/>
    <s v="05/20/2025"/>
    <s v="20-May-2025"/>
    <s v="20-May-2025"/>
    <n v="0"/>
    <s v="CUST-8092"/>
    <s v="Ananya Rao"/>
    <x v="2"/>
    <x v="1"/>
    <s v="West Bengal"/>
    <s v="Kolkata"/>
    <x v="0"/>
    <x v="7"/>
    <s v="Prime Labels 644"/>
    <x v="0"/>
    <n v="3"/>
    <n v="3534.83"/>
    <n v="0.05"/>
    <n v="10074.27"/>
    <n v="6048.27"/>
    <n v="4026"/>
    <s v="Refunded"/>
    <x v="2"/>
    <s v="Unique"/>
    <m/>
    <s v="Clean"/>
    <s v="valid"/>
    <n v="0.05"/>
    <n v="10074.2655"/>
    <n v="4025.9954999999991"/>
    <n v="0.39963166545491574"/>
    <x v="3"/>
    <n v="2025"/>
    <s v="Clean"/>
  </r>
  <r>
    <x v="11"/>
    <s v="2024-07-22"/>
    <s v="23-07-2024"/>
    <s v="23-Jul-2024"/>
    <s v="22-Jul-2024"/>
    <n v="1"/>
    <s v="CUST-6528"/>
    <s v="Vikram Iyer"/>
    <x v="1"/>
    <x v="1"/>
    <s v="Odisha"/>
    <s v="Bhubaneswar"/>
    <x v="2"/>
    <x v="5"/>
    <s v="Smart Accessories 603"/>
    <x v="1"/>
    <n v="6"/>
    <n v="2005.95"/>
    <n v="0.2"/>
    <n v="9628.56"/>
    <n v="8038.59"/>
    <n v="1589.97"/>
    <s v="Paid"/>
    <x v="0"/>
    <s v="Unique"/>
    <m/>
    <s v="Clean"/>
    <s v="valid"/>
    <n v="0.2"/>
    <n v="9628.5600000000013"/>
    <n v="1589.9700000000012"/>
    <n v="0.16513061143099289"/>
    <x v="0"/>
    <n v="2024"/>
    <s v="Clean"/>
  </r>
  <r>
    <x v="12"/>
    <s v="20 Dec 2024"/>
    <s v="12/21/2024"/>
    <s v="21-Dec-2024"/>
    <s v="20-Dec-2024"/>
    <n v="1"/>
    <s v="CUST-2648"/>
    <s v="Ananya Rao"/>
    <x v="2"/>
    <x v="3"/>
    <s v="Rajasthan"/>
    <s v="Udaipur"/>
    <x v="0"/>
    <x v="0"/>
    <s v="Pro Paper 481"/>
    <x v="2"/>
    <n v="1"/>
    <n v="702.14"/>
    <n v="0.15"/>
    <n v="596.82000000000005"/>
    <n v="380.25"/>
    <n v="216.57"/>
    <s v="Pending"/>
    <x v="2"/>
    <s v="Unique"/>
    <m/>
    <s v="Clean"/>
    <s v="valid"/>
    <n v="0.15"/>
    <n v="596.81899999999996"/>
    <n v="216.56899999999996"/>
    <n v="0.36287216057129545"/>
    <x v="7"/>
    <n v="2024"/>
    <s v="Clean"/>
  </r>
  <r>
    <x v="13"/>
    <s v="2025-10-12"/>
    <s v="16-10-2025"/>
    <s v="16-Oct-2025"/>
    <s v="12-Oct-2025"/>
    <n v="4"/>
    <s v="CUST-7482"/>
    <s v="Priya Menon"/>
    <x v="1"/>
    <x v="3"/>
    <s v="Maharashtra"/>
    <s v="Mumbai"/>
    <x v="0"/>
    <x v="2"/>
    <s v="Smart Art 795"/>
    <x v="0"/>
    <n v="7"/>
    <n v="3964.72"/>
    <n v="0.05"/>
    <n v="26365.39"/>
    <n v="22306.240000000002"/>
    <n v="4059.15"/>
    <s v="Paid"/>
    <x v="0"/>
    <s v="Unique"/>
    <m/>
    <s v="Clean"/>
    <s v="valid"/>
    <n v="0.05"/>
    <n v="26365.387999999995"/>
    <n v="4059.1479999999938"/>
    <n v="0.15395745361304733"/>
    <x v="4"/>
    <n v="2025"/>
    <s v="Clean"/>
  </r>
  <r>
    <x v="14"/>
    <s v="27 Dec 2024"/>
    <s v="12/28/2024"/>
    <s v="28-Dec-2024"/>
    <s v="27-Dec-2024"/>
    <n v="1"/>
    <s v="CUST-4912"/>
    <s v="Rahul Verma"/>
    <x v="0"/>
    <x v="3"/>
    <s v="Rajasthan"/>
    <s v="Udaipur"/>
    <x v="2"/>
    <x v="6"/>
    <s v="Max Copiers 983"/>
    <x v="3"/>
    <n v="2"/>
    <n v="2737.83"/>
    <n v="0.25"/>
    <n v="4106.74"/>
    <n v="2666.3"/>
    <n v="1440.44"/>
    <s v="Paid"/>
    <x v="0"/>
    <s v="Unique"/>
    <m/>
    <s v="Clean"/>
    <s v="valid"/>
    <n v="0.25"/>
    <n v="4106.7449999999999"/>
    <n v="1440.4449999999997"/>
    <n v="0.35075102057712365"/>
    <x v="7"/>
    <n v="2024"/>
    <s v="Clean"/>
  </r>
  <r>
    <x v="15"/>
    <s v="07/09/2024"/>
    <s v="09 Jul 2024"/>
    <s v="09-Jul-2024"/>
    <s v="07-Sep-2024"/>
    <n v="-60"/>
    <s v="CUST-7656"/>
    <s v="Karan Malhotra"/>
    <x v="1"/>
    <x v="0"/>
    <s v="Punjab"/>
    <s v="Ludhiana"/>
    <x v="0"/>
    <x v="8"/>
    <s v="Classic Storage 198"/>
    <x v="0"/>
    <n v="6"/>
    <n v="3965.76"/>
    <n v="0"/>
    <n v="23794.560000000001"/>
    <n v="15698.47"/>
    <n v="8096.09"/>
    <s v="Paid"/>
    <x v="0"/>
    <s v="Unique"/>
    <m/>
    <s v="Clean"/>
    <s v="Invalid"/>
    <n v="0"/>
    <n v="23794.560000000001"/>
    <n v="8096.090000000002"/>
    <n v="0.34024962008122872"/>
    <x v="6"/>
    <n v="2024"/>
    <s v="Clean"/>
  </r>
  <r>
    <x v="16"/>
    <s v="05/08/2024"/>
    <s v="15-05-2024"/>
    <s v="15-May-2024"/>
    <s v="05-Aug-2024"/>
    <n v="-82"/>
    <s v="CUST-6214"/>
    <s v="Aarav Sharma"/>
    <x v="0"/>
    <x v="2"/>
    <s v="Telangana"/>
    <s v="Hyderabad"/>
    <x v="0"/>
    <x v="2"/>
    <s v="Basic Art 204"/>
    <x v="2"/>
    <n v="4"/>
    <n v="3323.51"/>
    <n v="0.25"/>
    <n v="9970.5300000000007"/>
    <n v="5668.17"/>
    <n v="4302.3599999999997"/>
    <s v="Paid"/>
    <x v="0"/>
    <s v="Unique"/>
    <m/>
    <s v="Clean"/>
    <s v="Invalid"/>
    <n v="0.25"/>
    <n v="9970.5300000000007"/>
    <n v="4302.3600000000006"/>
    <n v="0.43150765305354882"/>
    <x v="1"/>
    <n v="2024"/>
    <s v="Clean"/>
  </r>
  <r>
    <x v="17"/>
    <s v="01/07/2024"/>
    <s v="2024-01-08"/>
    <s v="08-Jan-2024"/>
    <s v="01-Jul-2024"/>
    <n v="-175"/>
    <s v="CUST-1626"/>
    <s v="Sneha Kapoor"/>
    <x v="1"/>
    <x v="0"/>
    <s v="Rajasthan"/>
    <s v="Jaipur"/>
    <x v="1"/>
    <x v="3"/>
    <s v="Basic Furnishings 434"/>
    <x v="1"/>
    <n v="5"/>
    <n v="1526.78"/>
    <n v="0"/>
    <n v="7633.9"/>
    <n v="4706.91"/>
    <n v="2926.99"/>
    <s v="Paid"/>
    <x v="0"/>
    <s v="Unique"/>
    <m/>
    <s v="Clean"/>
    <s v="Invalid"/>
    <n v="0"/>
    <n v="7633.9"/>
    <n v="2926.99"/>
    <n v="0.38342000812166782"/>
    <x v="0"/>
    <n v="2024"/>
    <s v="Clean"/>
  </r>
  <r>
    <x v="18"/>
    <s v="07/15/2025"/>
    <s v="17-07-2025"/>
    <s v="17-Jul-2025"/>
    <s v="15-Jul-2025"/>
    <n v="2"/>
    <s v="CUST-2110"/>
    <s v="Aarav Sharma"/>
    <x v="3"/>
    <x v="0"/>
    <s v="Uttar Pradesh"/>
    <s v="Noida"/>
    <x v="2"/>
    <x v="6"/>
    <s v="Eco Copiers 755"/>
    <x v="2"/>
    <n v="2"/>
    <n v="1997.99"/>
    <n v="0"/>
    <n v="3995.98"/>
    <n v="2633.2"/>
    <n v="1362.78"/>
    <s v="Refunded"/>
    <x v="1"/>
    <s v="Unique"/>
    <m/>
    <s v="Clean"/>
    <s v="valid"/>
    <n v="0"/>
    <n v="3995.98"/>
    <n v="1362.7800000000002"/>
    <n v="0.34103774293164635"/>
    <x v="0"/>
    <n v="2025"/>
    <s v="Warning"/>
  </r>
  <r>
    <x v="19"/>
    <s v="07/27/2024"/>
    <s v="31 Jul 2024"/>
    <s v="31-Jul-2024"/>
    <s v="27-Jul-2024"/>
    <n v="4"/>
    <s v="CUST-3186"/>
    <s v="Rohan Mehta"/>
    <x v="3"/>
    <x v="3"/>
    <s v="Madhya Pradesh"/>
    <s v="Indore"/>
    <x v="0"/>
    <x v="8"/>
    <s v="Prime Storage 121"/>
    <x v="0"/>
    <n v="3"/>
    <n v="3887.94"/>
    <n v="-0.19"/>
    <n v="9331.06"/>
    <n v="7529.31"/>
    <n v="1801.75"/>
    <s v="Paid"/>
    <x v="0"/>
    <s v="Unique"/>
    <m/>
    <s v="Invalid"/>
    <s v="valid"/>
    <n v="-0.19"/>
    <n v="13879.9458"/>
    <n v="6350.6357999999991"/>
    <n v="0.45754038895454474"/>
    <x v="0"/>
    <n v="2024"/>
    <s v="Invalid"/>
  </r>
  <r>
    <x v="20"/>
    <s v="21-01-2025"/>
    <s v="23 Jan 2025"/>
    <s v="23-Jan-2025"/>
    <s v="21-Jan-2025"/>
    <n v="2"/>
    <s v="CUST-3190"/>
    <s v="Aditi Sen"/>
    <x v="3"/>
    <x v="1"/>
    <s v="Bihar"/>
    <s v="Patna"/>
    <x v="2"/>
    <x v="6"/>
    <s v="Elite Copiers 233"/>
    <x v="2"/>
    <n v="5"/>
    <n v="4373.0600000000004"/>
    <n v="0.25"/>
    <n v="16398.98"/>
    <n v="9556.52"/>
    <n v="6842.46"/>
    <s v="Paid"/>
    <x v="0"/>
    <s v="Unique"/>
    <m/>
    <s v="Clean"/>
    <s v="valid"/>
    <n v="0.25"/>
    <n v="16398.975000000002"/>
    <n v="6842.4550000000017"/>
    <n v="0.4172489439126531"/>
    <x v="8"/>
    <n v="2025"/>
    <s v="Clean"/>
  </r>
  <r>
    <x v="21"/>
    <s v="24-01-2025"/>
    <s v="01/30/2025"/>
    <s v="30-Jan-2025"/>
    <s v="24-Jan-2025"/>
    <n v="6"/>
    <s v="CUST-3036"/>
    <s v="Sneha Kapoor"/>
    <x v="0"/>
    <x v="3"/>
    <s v="Madhya Pradesh"/>
    <s v="Indore"/>
    <x v="1"/>
    <x v="3"/>
    <s v="Eco Furnishings 897"/>
    <x v="0"/>
    <n v="4"/>
    <n v="697.69"/>
    <n v="-0.23"/>
    <n v="2790.76"/>
    <n v="2037.71"/>
    <n v="753.05"/>
    <s v="Paid"/>
    <x v="0"/>
    <s v="Unique"/>
    <m/>
    <s v="Invalid"/>
    <s v="valid"/>
    <n v="-0.23"/>
    <n v="3432.6348000000003"/>
    <n v="1394.9248000000002"/>
    <n v="0.40637145553613807"/>
    <x v="8"/>
    <n v="2025"/>
    <s v="Invalid"/>
  </r>
  <r>
    <x v="22"/>
    <s v="19 Jan 2025"/>
    <s v="2025-01-21"/>
    <s v="21-Jan-2025"/>
    <s v="19-Jan-2025"/>
    <n v="2"/>
    <s v="CUST-3588"/>
    <s v="Mira Das"/>
    <x v="0"/>
    <x v="2"/>
    <s v="Telangana"/>
    <s v="Hyderabad"/>
    <x v="0"/>
    <x v="9"/>
    <s v="Max Binders 355"/>
    <x v="3"/>
    <n v="8"/>
    <n v="1219.3399999999999"/>
    <n v="0.15"/>
    <n v="8291.51"/>
    <n v="6685.03"/>
    <n v="1606.48"/>
    <s v="Failed"/>
    <x v="2"/>
    <s v="Unique"/>
    <m/>
    <s v="Clean"/>
    <s v="valid"/>
    <n v="0.15"/>
    <n v="8291.5119999999988"/>
    <n v="1606.4819999999991"/>
    <n v="0.19375018693816029"/>
    <x v="8"/>
    <n v="2025"/>
    <s v="Warning"/>
  </r>
  <r>
    <x v="23"/>
    <s v="29 Aug 2025"/>
    <s v="31-08-2025"/>
    <s v="31-Aug-2025"/>
    <s v="29-Aug-2025"/>
    <n v="2"/>
    <s v="CUST-7098"/>
    <s v="Rahul Verma"/>
    <x v="3"/>
    <x v="1"/>
    <s v="Bihar"/>
    <s v="Patna"/>
    <x v="1"/>
    <x v="10"/>
    <s v="Pro Bookcases 394"/>
    <x v="2"/>
    <n v="4"/>
    <n v="1958.01"/>
    <n v="0.2"/>
    <n v="6265.63"/>
    <n v="4321.8599999999997"/>
    <n v="1943.77"/>
    <s v="Paid"/>
    <x v="0"/>
    <s v="Unique"/>
    <m/>
    <s v="Clean"/>
    <s v="valid"/>
    <n v="0.2"/>
    <n v="6265.6320000000005"/>
    <n v="1943.7720000000008"/>
    <n v="0.31022760353624351"/>
    <x v="1"/>
    <n v="2025"/>
    <s v="Clean"/>
  </r>
  <r>
    <x v="24"/>
    <s v="2024-03-04"/>
    <s v="03/01/2024"/>
    <s v="03-Jan-2024"/>
    <s v="04-Mar-2024"/>
    <n v="-61"/>
    <s v="CUST-1747"/>
    <s v="Diya Patel"/>
    <x v="0"/>
    <x v="0"/>
    <s v="Punjab"/>
    <s v="Ludhiana"/>
    <x v="0"/>
    <x v="2"/>
    <s v="Max Art 215"/>
    <x v="3"/>
    <n v="4"/>
    <n v="4492.9399999999996"/>
    <n v="0.25"/>
    <n v="13478.82"/>
    <n v="10937.35"/>
    <n v="2541.4699999999998"/>
    <s v="Pending"/>
    <x v="1"/>
    <s v="Unique"/>
    <m/>
    <s v="Clean"/>
    <s v="Invalid"/>
    <n v="0.25"/>
    <n v="13478.82"/>
    <n v="2541.4699999999993"/>
    <n v="0.18855285551702591"/>
    <x v="9"/>
    <n v="2024"/>
    <s v="Warning"/>
  </r>
  <r>
    <x v="25"/>
    <s v="11-10-2024"/>
    <s v="2024-10-19"/>
    <s v="19-Oct-2024"/>
    <s v="11-Oct-2024"/>
    <n v="8"/>
    <s v="CUST-1731"/>
    <s v="Arjun Bose"/>
    <x v="2"/>
    <x v="1"/>
    <s v="Assam"/>
    <s v="Guwahati"/>
    <x v="2"/>
    <x v="5"/>
    <s v="Classic Accessories 478"/>
    <x v="2"/>
    <n v="2"/>
    <n v="4315.2"/>
    <n v="0.15"/>
    <n v="7335.84"/>
    <n v="4968.41"/>
    <n v="2367.4299999999998"/>
    <s v="Paid"/>
    <x v="0"/>
    <s v="Unique"/>
    <m/>
    <s v="Clean"/>
    <s v="valid"/>
    <n v="0.15"/>
    <n v="7335.8399999999992"/>
    <n v="2367.4299999999994"/>
    <n v="0.32272105171323251"/>
    <x v="4"/>
    <n v="2024"/>
    <s v="Clean"/>
  </r>
  <r>
    <x v="26"/>
    <s v="23-11-2024"/>
    <s v="23 Nov 2024"/>
    <s v="23-Nov-2024"/>
    <s v="23-Nov-2024"/>
    <n v="0"/>
    <s v="CUST-4401"/>
    <s v="Diya Patel"/>
    <x v="2"/>
    <x v="0"/>
    <s v="Uttar Pradesh"/>
    <s v="Noida"/>
    <x v="2"/>
    <x v="11"/>
    <s v="Pro Phones 243"/>
    <x v="3"/>
    <n v="4"/>
    <n v="716.13"/>
    <n v="0.1"/>
    <n v="2578.0700000000002"/>
    <n v="1527.55"/>
    <n v="1050.52"/>
    <s v="Paid"/>
    <x v="2"/>
    <s v="Unique"/>
    <m/>
    <s v="Clean"/>
    <s v="valid"/>
    <n v="0.1"/>
    <n v="2578.0680000000002"/>
    <n v="1050.5180000000003"/>
    <n v="0.40748265755596835"/>
    <x v="2"/>
    <n v="2024"/>
    <s v="Clean"/>
  </r>
  <r>
    <x v="27"/>
    <s v="29 Sep 2025"/>
    <s v="05-10-2025"/>
    <s v="05-Oct-2025"/>
    <s v="29-Sep-2025"/>
    <n v="6"/>
    <s v="CUST-9875"/>
    <s v="Arjun Bose"/>
    <x v="1"/>
    <x v="2"/>
    <s v="Karnataka"/>
    <s v="Bengaluru"/>
    <x v="0"/>
    <x v="0"/>
    <s v="Basic Paper 613"/>
    <x v="0"/>
    <n v="5"/>
    <n v="1806.51"/>
    <n v="0.25"/>
    <n v="6774.41"/>
    <n v="4710.3599999999997"/>
    <n v="2064.0500000000002"/>
    <s v="Failed"/>
    <x v="2"/>
    <s v="Unique"/>
    <m/>
    <s v="Clean"/>
    <s v="valid"/>
    <n v="0.25"/>
    <n v="6774.4124999999995"/>
    <n v="2064.0524999999998"/>
    <n v="0.30468361647596748"/>
    <x v="6"/>
    <n v="2025"/>
    <s v="Warning"/>
  </r>
  <r>
    <x v="28"/>
    <s v="11-10-2024"/>
    <s v="18-10-2024"/>
    <s v="18-Oct-2024"/>
    <s v="11-Oct-2024"/>
    <n v="7"/>
    <s v="CUST-1569"/>
    <s v="Ananya Rao"/>
    <x v="3"/>
    <x v="3"/>
    <s v="Gujarat"/>
    <s v="Ahmedabad"/>
    <x v="2"/>
    <x v="11"/>
    <s v="Prime Phones 698"/>
    <x v="0"/>
    <n v="2"/>
    <n v="1942.22"/>
    <n v="0.25"/>
    <n v="2913.33"/>
    <n v="2122.33"/>
    <n v="791"/>
    <s v="Refunded"/>
    <x v="1"/>
    <s v="Unique"/>
    <m/>
    <s v="Clean"/>
    <s v="valid"/>
    <n v="0.25"/>
    <n v="2913.33"/>
    <n v="791"/>
    <n v="0.27151060813570727"/>
    <x v="4"/>
    <n v="2024"/>
    <s v="Warning"/>
  </r>
  <r>
    <x v="29"/>
    <s v="13 Aug 2025"/>
    <s v="13-08-2025"/>
    <s v="13-Aug-2025"/>
    <s v="13-Aug-2025"/>
    <n v="0"/>
    <s v="CUST-5936"/>
    <s v="Rohan Mehta"/>
    <x v="3"/>
    <x v="2"/>
    <s v="Kerala"/>
    <s v="Kochi"/>
    <x v="2"/>
    <x v="11"/>
    <s v="Pro Phones 442"/>
    <x v="3"/>
    <n v="1"/>
    <n v="256.01"/>
    <n v="0.15"/>
    <n v="217.61"/>
    <n v="119.77"/>
    <n v="97.84"/>
    <s v="Paid"/>
    <x v="0"/>
    <s v="Unique"/>
    <m/>
    <s v="Clean"/>
    <s v="valid"/>
    <n v="0.15"/>
    <n v="217.60849999999999"/>
    <n v="97.838499999999996"/>
    <n v="0.44960789675035673"/>
    <x v="1"/>
    <n v="2025"/>
    <s v="Clean"/>
  </r>
  <r>
    <x v="30"/>
    <s v="09 Feb 2024"/>
    <s v="02/12/2024"/>
    <s v="02-Dec-2024"/>
    <s v="09-Feb-2024"/>
    <n v="297"/>
    <s v="CUST-8759"/>
    <s v="Ananya Rao"/>
    <x v="2"/>
    <x v="3"/>
    <s v="Goa"/>
    <s v="Panaji"/>
    <x v="0"/>
    <x v="7"/>
    <s v="Pro Labels 355"/>
    <x v="2"/>
    <n v="1"/>
    <n v="3421.77"/>
    <n v="0.1"/>
    <n v="3079.59"/>
    <n v="2001.89"/>
    <n v="1077.7"/>
    <s v="Paid"/>
    <x v="0"/>
    <s v="Unique"/>
    <m/>
    <s v="Clean"/>
    <s v="valid"/>
    <n v="0.1"/>
    <n v="3079.5929999999998"/>
    <n v="1077.7029999999997"/>
    <n v="0.34994981479695525"/>
    <x v="5"/>
    <n v="2024"/>
    <s v="Clean"/>
  </r>
  <r>
    <x v="31"/>
    <s v="15-06-2025"/>
    <s v="19-06-2025"/>
    <s v="19-Jun-2025"/>
    <s v="15-Jun-2025"/>
    <n v="4"/>
    <s v="CUST-7867"/>
    <s v="Karan Malhotra"/>
    <x v="1"/>
    <x v="3"/>
    <s v="Madhya Pradesh"/>
    <s v="Indore"/>
    <x v="0"/>
    <x v="0"/>
    <s v="Pro Paper 959"/>
    <x v="0"/>
    <n v="9"/>
    <n v="3092.55"/>
    <n v="0"/>
    <n v="27832.95"/>
    <n v="17769.75"/>
    <n v="10063.200000000001"/>
    <s v="Failed"/>
    <x v="2"/>
    <s v="Unique"/>
    <m/>
    <s v="Clean"/>
    <s v="valid"/>
    <n v="0"/>
    <n v="27832.95"/>
    <n v="10063.200000000001"/>
    <n v="0.36155707533696574"/>
    <x v="10"/>
    <n v="2025"/>
    <s v="Warning"/>
  </r>
  <r>
    <x v="32"/>
    <s v="22-11-2024"/>
    <s v="2024-11-26"/>
    <s v="26-Nov-2024"/>
    <s v="22-Nov-2024"/>
    <n v="4"/>
    <s v="CUST-6509"/>
    <s v="Aarav Sharma"/>
    <x v="2"/>
    <x v="2"/>
    <s v="Andhra Pradesh"/>
    <s v="Vijayawada"/>
    <x v="2"/>
    <x v="11"/>
    <s v="Basic Phones 242"/>
    <x v="0"/>
    <n v="3"/>
    <n v="4001.25"/>
    <n v="0"/>
    <n v="9002.81"/>
    <n v="7529.92"/>
    <n v="1472.89"/>
    <s v="Paid"/>
    <x v="0"/>
    <s v="Unique"/>
    <m/>
    <s v="Clean"/>
    <s v="valid"/>
    <n v="0"/>
    <n v="12003.75"/>
    <n v="4473.83"/>
    <n v="0.37270269707383108"/>
    <x v="2"/>
    <n v="2024"/>
    <s v="Clean"/>
  </r>
  <r>
    <x v="33"/>
    <s v="07/22/2024"/>
    <s v="27-07-2024"/>
    <s v="27-Jul-2024"/>
    <s v="22-Jul-2024"/>
    <n v="5"/>
    <s v="CUST-6660"/>
    <s v="Priya Menon"/>
    <x v="3"/>
    <x v="3"/>
    <s v="Goa"/>
    <s v="Panaji"/>
    <x v="1"/>
    <x v="1"/>
    <s v="Max Tables 836"/>
    <x v="1"/>
    <n v="7"/>
    <n v="492.41"/>
    <n v="0.25"/>
    <n v="2585.15"/>
    <n v="2070.73"/>
    <n v="514.41999999999996"/>
    <s v="Paid"/>
    <x v="0"/>
    <s v="Unique"/>
    <m/>
    <s v="Clean"/>
    <s v="valid"/>
    <n v="0.25"/>
    <n v="2585.1525000000001"/>
    <n v="514.42250000000013"/>
    <n v="0.19899116203009304"/>
    <x v="0"/>
    <n v="2024"/>
    <s v="Clean"/>
  </r>
  <r>
    <x v="34"/>
    <s v="2025-01-31"/>
    <s v="2025-02-05"/>
    <s v="05-Feb-2025"/>
    <s v="31-Jan-2025"/>
    <n v="5"/>
    <s v="CUST-2392"/>
    <s v="Priya Menon"/>
    <x v="3"/>
    <x v="1"/>
    <s v="West Bengal"/>
    <s v="Kolkata"/>
    <x v="1"/>
    <x v="4"/>
    <s v="Elite Chairs 862"/>
    <x v="4"/>
    <n v="2"/>
    <n v="4159.6899999999996"/>
    <n v="0.2"/>
    <n v="6655.5"/>
    <n v="4340.21"/>
    <n v="2607.3200000000002"/>
    <s v="Paid"/>
    <x v="0"/>
    <s v="Unique"/>
    <m/>
    <s v="Clean"/>
    <s v="valid"/>
    <n v="0.2"/>
    <n v="6655.5039999999999"/>
    <n v="2315.2939999999999"/>
    <n v="0.34787658455317583"/>
    <x v="8"/>
    <n v="2025"/>
    <s v="Clean"/>
  </r>
  <r>
    <x v="35"/>
    <s v="29-05-2024"/>
    <s v="29 May 2024"/>
    <s v="29-May-2024"/>
    <s v="29-May-2024"/>
    <n v="0"/>
    <s v="CUST-1611"/>
    <s v="Sneha Kapoor"/>
    <x v="1"/>
    <x v="3"/>
    <s v="Gujarat"/>
    <s v="Ahmedabad"/>
    <x v="1"/>
    <x v="10"/>
    <s v="Prime Bookcases 414"/>
    <x v="0"/>
    <n v="8"/>
    <n v="2507.12"/>
    <n v="0.05"/>
    <n v="19054.11"/>
    <n v="15313.83"/>
    <n v="3740.28"/>
    <s v="Pending"/>
    <x v="2"/>
    <s v="Unique"/>
    <m/>
    <s v="Clean"/>
    <s v="valid"/>
    <n v="0.05"/>
    <n v="19054.111999999997"/>
    <n v="3740.2819999999974"/>
    <n v="0.19629789097492437"/>
    <x v="3"/>
    <n v="2024"/>
    <s v="Clean"/>
  </r>
  <r>
    <x v="36"/>
    <s v="2024-10-25"/>
    <s v="28 Oct 2024"/>
    <s v="28-Oct-2024"/>
    <s v="25-Oct-2024"/>
    <n v="3"/>
    <s v="CUST-8296"/>
    <s v="Rohan Mehta"/>
    <x v="2"/>
    <x v="3"/>
    <s v="Maharashtra"/>
    <s v="Mumbai"/>
    <x v="1"/>
    <x v="10"/>
    <s v="Eco Bookcases 220"/>
    <x v="0"/>
    <n v="3"/>
    <n v="3126.47"/>
    <n v="0"/>
    <n v="9379.41"/>
    <n v="6670.85"/>
    <n v="2708.56"/>
    <s v="Paid"/>
    <x v="2"/>
    <s v="Unique"/>
    <m/>
    <s v="Clean"/>
    <s v="valid"/>
    <n v="0"/>
    <n v="9379.41"/>
    <n v="2708.5599999999995"/>
    <n v="0.28877722585962223"/>
    <x v="4"/>
    <n v="2024"/>
    <s v="Clean"/>
  </r>
  <r>
    <x v="37"/>
    <s v="29-07-2025"/>
    <s v="29-07-2025"/>
    <s v="29-Jul-2025"/>
    <s v="29-Jul-2025"/>
    <n v="0"/>
    <s v="CUST-4646"/>
    <s v="Diya Patel"/>
    <x v="0"/>
    <x v="3"/>
    <s v="Maharashtra"/>
    <s v="Mumbai"/>
    <x v="2"/>
    <x v="6"/>
    <s v="Pro Copiers 830"/>
    <x v="3"/>
    <n v="4"/>
    <n v="1327.54"/>
    <n v="0.2"/>
    <n v="4248.13"/>
    <n v="3321.09"/>
    <n v="927.04"/>
    <s v="Paid"/>
    <x v="0"/>
    <s v="Unique"/>
    <m/>
    <s v="Clean"/>
    <s v="valid"/>
    <n v="0.2"/>
    <n v="4248.1279999999997"/>
    <n v="927.03799999999956"/>
    <n v="0.21822270892025844"/>
    <x v="0"/>
    <n v="2025"/>
    <s v="Clean"/>
  </r>
  <r>
    <x v="38"/>
    <s v="2024-06-17"/>
    <s v="22-06-2024"/>
    <s v="22-Jun-2024"/>
    <s v="17-Jun-2024"/>
    <n v="5"/>
    <s v="CUST-8235"/>
    <s v="Aarav Sharma"/>
    <x v="2"/>
    <x v="3"/>
    <s v="Gujarat"/>
    <s v="Ahmedabad"/>
    <x v="2"/>
    <x v="11"/>
    <s v="Prime Phones 507"/>
    <x v="2"/>
    <n v="7"/>
    <n v="2210.6799999999998"/>
    <n v="0.1"/>
    <n v="13927.28"/>
    <n v="10504.87"/>
    <n v="3422.41"/>
    <s v="Paid"/>
    <x v="0"/>
    <s v="Unique"/>
    <m/>
    <s v="Clean"/>
    <s v="valid"/>
    <n v="0.1"/>
    <n v="13927.284"/>
    <n v="3422.4139999999989"/>
    <n v="0.24573448778670692"/>
    <x v="10"/>
    <n v="2024"/>
    <s v="Clean"/>
  </r>
  <r>
    <x v="39"/>
    <s v="12/11/2024"/>
    <s v="2024-12-11"/>
    <s v="11-Dec-2024"/>
    <s v="12-Nov-2024"/>
    <n v="29"/>
    <s v="CUST-5830"/>
    <s v="Mira Das"/>
    <x v="1"/>
    <x v="3"/>
    <s v="Madhya Pradesh"/>
    <s v="Indore"/>
    <x v="2"/>
    <x v="6"/>
    <s v="Classic Copiers 590"/>
    <x v="2"/>
    <n v="4"/>
    <n v="1370.92"/>
    <n v="0.1"/>
    <n v="4935.3100000000004"/>
    <n v="3374.77"/>
    <n v="1560.54"/>
    <s v="Pending"/>
    <x v="2"/>
    <s v="Unique"/>
    <m/>
    <s v="Clean"/>
    <s v="valid"/>
    <n v="0.1"/>
    <n v="4935.3120000000008"/>
    <n v="1560.5420000000008"/>
    <n v="0.31619925954022776"/>
    <x v="2"/>
    <n v="2024"/>
    <s v="Clean"/>
  </r>
  <r>
    <x v="40"/>
    <s v="10-10-2024"/>
    <s v="16 Oct 2024"/>
    <s v="16-Oct-2024"/>
    <s v="10-Oct-2024"/>
    <n v="6"/>
    <s v="CUST-7178"/>
    <s v="Isha Nair"/>
    <x v="3"/>
    <x v="3"/>
    <s v="Rajasthan"/>
    <s v="Udaipur"/>
    <x v="2"/>
    <x v="6"/>
    <s v="Eco Copiers 865"/>
    <x v="3"/>
    <n v="7"/>
    <n v="2509.27"/>
    <n v="0.2"/>
    <n v="14051.91"/>
    <n v="11990.37"/>
    <n v="2061.54"/>
    <s v="Paid"/>
    <x v="0"/>
    <s v="Unique"/>
    <m/>
    <s v="Clean"/>
    <s v="valid"/>
    <n v="0.2"/>
    <n v="14051.912"/>
    <n v="2061.5419999999995"/>
    <n v="0.14670900301681361"/>
    <x v="4"/>
    <n v="2024"/>
    <s v="Clean"/>
  </r>
  <r>
    <x v="41"/>
    <s v="03/12/2024"/>
    <s v="17-03-2024"/>
    <s v="17-Mar-2024"/>
    <s v="03-Dec-2024"/>
    <n v="-261"/>
    <s v="CUST-3829"/>
    <s v="Aarav Sharma"/>
    <x v="1"/>
    <x v="1"/>
    <s v="Odisha"/>
    <s v="Bhubaneswar"/>
    <x v="1"/>
    <x v="10"/>
    <s v="Classic Bookcases 835"/>
    <x v="1"/>
    <n v="8"/>
    <n v="855.81"/>
    <n v="0"/>
    <n v="6846.48"/>
    <n v="4239.8900000000003"/>
    <n v="2606.59"/>
    <s v="Pending"/>
    <x v="1"/>
    <s v="Unique"/>
    <m/>
    <s v="Clean"/>
    <s v="Invalid"/>
    <n v="0"/>
    <n v="6846.48"/>
    <n v="2606.5899999999992"/>
    <n v="0.38071972750961069"/>
    <x v="7"/>
    <n v="2024"/>
    <s v="Warning"/>
  </r>
  <r>
    <x v="42"/>
    <s v="2025-10-10"/>
    <s v="15 Oct 2025"/>
    <s v="15-Oct-2025"/>
    <s v="10-Oct-2025"/>
    <n v="5"/>
    <s v="CUST-6708"/>
    <s v="Arjun Bose"/>
    <x v="2"/>
    <x v="1"/>
    <s v="Jharkhand"/>
    <s v="Ranchi"/>
    <x v="2"/>
    <x v="11"/>
    <s v="Eco Phones 702"/>
    <x v="3"/>
    <n v="8"/>
    <n v="979.87"/>
    <n v="0.05"/>
    <n v="7447.01"/>
    <n v="4496.22"/>
    <n v="2950.79"/>
    <s v="Paid"/>
    <x v="0"/>
    <s v="Unique"/>
    <m/>
    <s v="Clean"/>
    <s v="valid"/>
    <n v="0.05"/>
    <n v="7447.0119999999997"/>
    <n v="2950.7919999999995"/>
    <n v="0.39623838393170302"/>
    <x v="4"/>
    <n v="2025"/>
    <s v="Clean"/>
  </r>
  <r>
    <x v="43"/>
    <s v="07/08/2024"/>
    <s v="07/14/2024"/>
    <s v="14-Jul-2024"/>
    <s v="07-Aug-2024"/>
    <n v="-24"/>
    <s v="CUST-7119"/>
    <s v="Priya Menon"/>
    <x v="1"/>
    <x v="1"/>
    <s v="Odisha"/>
    <s v="Bhubaneswar"/>
    <x v="1"/>
    <x v="3"/>
    <s v="Smart Furnishings 956"/>
    <x v="1"/>
    <n v="3"/>
    <n v="1010.23"/>
    <n v="0"/>
    <n v="3030.69"/>
    <n v="1721.08"/>
    <n v="1309.6099999999999"/>
    <s v="Paid"/>
    <x v="0"/>
    <s v="Unique"/>
    <m/>
    <s v="Clean"/>
    <s v="Invalid"/>
    <n v="0"/>
    <n v="3030.69"/>
    <n v="1309.6100000000001"/>
    <n v="0.43211611877163292"/>
    <x v="1"/>
    <n v="2024"/>
    <s v="Clean"/>
  </r>
  <r>
    <x v="44"/>
    <s v="06/22/2024"/>
    <s v="25-06-2024"/>
    <s v="25-Jun-2024"/>
    <s v="22-Jun-2024"/>
    <n v="3"/>
    <s v="CUST-3373"/>
    <s v="Rohan Mehta"/>
    <x v="1"/>
    <x v="0"/>
    <s v="Haryana"/>
    <s v="Gurugram"/>
    <x v="1"/>
    <x v="4"/>
    <s v="Max Chairs 393"/>
    <x v="3"/>
    <n v="9"/>
    <n v="3329.77"/>
    <n v="0.1"/>
    <n v="26971.14"/>
    <n v="17376.2"/>
    <n v="9594.94"/>
    <s v="Paid"/>
    <x v="0"/>
    <s v="Unique"/>
    <m/>
    <s v="Clean"/>
    <s v="valid"/>
    <n v="0.1"/>
    <n v="26971.137000000002"/>
    <n v="9594.9370000000017"/>
    <n v="0.35574833200394929"/>
    <x v="10"/>
    <n v="2024"/>
    <s v="Clean"/>
  </r>
  <r>
    <x v="45"/>
    <s v="18 Jan 2024"/>
    <s v="24-01-2024"/>
    <s v="24-Jan-2024"/>
    <s v="18-Jan-2024"/>
    <n v="6"/>
    <s v="CUST-8896"/>
    <s v="Isha Nair"/>
    <x v="3"/>
    <x v="1"/>
    <s v="Bihar"/>
    <s v="Patna"/>
    <x v="0"/>
    <x v="2"/>
    <s v="Prime Art 221"/>
    <x v="0"/>
    <n v="8"/>
    <n v="3927.82"/>
    <n v="0.05"/>
    <n v="29851.43"/>
    <n v="17487.48"/>
    <n v="12363.95"/>
    <s v="Pending"/>
    <x v="2"/>
    <s v="Unique"/>
    <m/>
    <s v="Clean"/>
    <s v="valid"/>
    <n v="0.05"/>
    <n v="29851.432000000001"/>
    <n v="12363.952000000001"/>
    <n v="0.41418287739094062"/>
    <x v="8"/>
    <n v="2024"/>
    <s v="Clean"/>
  </r>
  <r>
    <x v="46"/>
    <s v="19-07-2024"/>
    <s v="19-07-2024"/>
    <s v="19-Jul-2024"/>
    <s v="19-Jul-2024"/>
    <n v="0"/>
    <s v="CUST-8517"/>
    <s v="Ananya Rao"/>
    <x v="1"/>
    <x v="2"/>
    <s v="Kerala"/>
    <s v="Kochi"/>
    <x v="1"/>
    <x v="10"/>
    <s v="Elite Bookcases 671"/>
    <x v="3"/>
    <n v="9"/>
    <n v="2386.79"/>
    <n v="0.25"/>
    <n v="16110.83"/>
    <n v="10680.03"/>
    <n v="5430.8"/>
    <s v="Refunded"/>
    <x v="2"/>
    <s v="Unique"/>
    <m/>
    <s v="Clean"/>
    <s v="valid"/>
    <n v="0.25"/>
    <n v="16110.8325"/>
    <n v="5430.8024999999998"/>
    <n v="0.33709012243780695"/>
    <x v="0"/>
    <n v="2024"/>
    <s v="Clean"/>
  </r>
  <r>
    <x v="47"/>
    <s v="12-08-2024"/>
    <s v="2024-08-12"/>
    <s v="12-Aug-2024"/>
    <s v="12-Aug-2024"/>
    <n v="0"/>
    <s v="CUST-1987"/>
    <s v="Rahul Verma"/>
    <x v="2"/>
    <x v="2"/>
    <s v="Tamil Nadu"/>
    <s v="Chennai"/>
    <x v="0"/>
    <x v="8"/>
    <s v="Max Storage 432"/>
    <x v="3"/>
    <n v="8"/>
    <n v="2445.31"/>
    <n v="0.1"/>
    <n v="17606.23"/>
    <n v="12438.96"/>
    <n v="5167.2700000000004"/>
    <s v="Paid"/>
    <x v="0"/>
    <s v="Unique"/>
    <m/>
    <s v="Clean"/>
    <s v="valid"/>
    <n v="0.1"/>
    <n v="17606.232"/>
    <n v="5167.2720000000008"/>
    <n v="0.29349107747756592"/>
    <x v="1"/>
    <n v="2024"/>
    <s v="Clean"/>
  </r>
  <r>
    <x v="48"/>
    <s v="30 Jan 2025"/>
    <s v="05 Feb 2025"/>
    <s v="05-Feb-2025"/>
    <s v="30-Jan-2025"/>
    <n v="6"/>
    <s v="CUST-8183"/>
    <s v="Neha Gupta"/>
    <x v="2"/>
    <x v="3"/>
    <s v="Maharashtra"/>
    <s v="Mumbai"/>
    <x v="1"/>
    <x v="4"/>
    <s v="Basic Chairs 837"/>
    <x v="0"/>
    <n v="7"/>
    <n v="4063.66"/>
    <n v="0"/>
    <n v="28445.62"/>
    <n v="20938.59"/>
    <n v="7507.03"/>
    <s v="Paid"/>
    <x v="0"/>
    <s v="Unique"/>
    <m/>
    <s v="Clean"/>
    <s v="valid"/>
    <n v="0"/>
    <n v="28445.62"/>
    <n v="7507.0299999999988"/>
    <n v="0.26390811660986818"/>
    <x v="8"/>
    <n v="2025"/>
    <s v="Clean"/>
  </r>
  <r>
    <x v="49"/>
    <s v="2024-04-06"/>
    <s v="13 Apr 2024"/>
    <s v="13-Apr-2024"/>
    <s v="06-Apr-2024"/>
    <n v="7"/>
    <s v="CUST-2380"/>
    <s v="Aarav Sharma"/>
    <x v="3"/>
    <x v="0"/>
    <s v="Uttar Pradesh"/>
    <s v="Noida"/>
    <x v="2"/>
    <x v="6"/>
    <s v="Classic Copiers 295"/>
    <x v="0"/>
    <n v="9"/>
    <n v="792.11"/>
    <n v="0.05"/>
    <n v="6772.54"/>
    <n v="5755.46"/>
    <n v="1017.08"/>
    <s v="Paid"/>
    <x v="0"/>
    <s v="Unique"/>
    <m/>
    <s v="Clean"/>
    <s v="valid"/>
    <n v="0.05"/>
    <n v="6772.5404999999992"/>
    <n v="1017.0804999999991"/>
    <n v="0.15017710119267641"/>
    <x v="11"/>
    <n v="2024"/>
    <s v="Clean"/>
  </r>
  <r>
    <x v="50"/>
    <s v="05/11/2025"/>
    <s v="19 May 2025"/>
    <s v="19-May-2025"/>
    <s v="05-Nov-2025"/>
    <n v="-170"/>
    <s v="CUST-8787"/>
    <s v="Sneha Kapoor"/>
    <x v="0"/>
    <x v="1"/>
    <s v="West Bengal"/>
    <s v="Kolkata"/>
    <x v="2"/>
    <x v="6"/>
    <s v="Pro Copiers 963"/>
    <x v="3"/>
    <n v="1"/>
    <n v="2382.8000000000002"/>
    <n v="0.15"/>
    <n v="2025.38"/>
    <n v="1140.6500000000001"/>
    <n v="884.73"/>
    <s v="Paid"/>
    <x v="0"/>
    <s v="Unique"/>
    <m/>
    <s v="Clean"/>
    <s v="Invalid"/>
    <n v="0.15"/>
    <n v="2025.38"/>
    <n v="884.73"/>
    <n v="0.43682173221815163"/>
    <x v="2"/>
    <n v="2025"/>
    <s v="Clean"/>
  </r>
  <r>
    <x v="51"/>
    <s v="24 Apr 2024"/>
    <s v="29 Apr 2024"/>
    <s v="29-Apr-2024"/>
    <s v="24-Apr-2024"/>
    <n v="5"/>
    <s v="CUST-3557"/>
    <s v="Ananya Rao "/>
    <x v="2"/>
    <x v="2"/>
    <s v="Telangana"/>
    <s v="Hyderabad"/>
    <x v="0"/>
    <x v="2"/>
    <s v="Pro Art 907"/>
    <x v="3"/>
    <n v="6"/>
    <n v="1528.08"/>
    <n v="0"/>
    <n v="9168.48"/>
    <n v="7439.77"/>
    <n v="1728.71"/>
    <s v="Paid"/>
    <x v="0"/>
    <s v="Unique"/>
    <m/>
    <s v="Clean"/>
    <s v="valid"/>
    <n v="0"/>
    <n v="9168.48"/>
    <n v="1728.7099999999991"/>
    <n v="0.18854924698532355"/>
    <x v="11"/>
    <n v="2024"/>
    <s v="Clean"/>
  </r>
  <r>
    <x v="52"/>
    <s v="26-10-2024"/>
    <s v="2024-10-28"/>
    <s v="28-Oct-2024"/>
    <s v="26-Oct-2024"/>
    <n v="2"/>
    <s v="CUST-2778"/>
    <s v="Kabir Singh"/>
    <x v="1"/>
    <x v="0"/>
    <s v="Rajasthan"/>
    <s v="Jaipur"/>
    <x v="1"/>
    <x v="4"/>
    <s v="Pro Chairs 526"/>
    <x v="2"/>
    <n v="9"/>
    <n v="1399.63"/>
    <n v="0"/>
    <n v="12596.67"/>
    <n v="10603.29"/>
    <n v="1993.38"/>
    <s v="Failed"/>
    <x v="1"/>
    <s v="Unique"/>
    <m/>
    <s v="Clean"/>
    <s v="valid"/>
    <n v="0"/>
    <n v="12596.670000000002"/>
    <n v="1993.380000000001"/>
    <n v="0.15824658421630483"/>
    <x v="4"/>
    <n v="2024"/>
    <s v="Warning"/>
  </r>
  <r>
    <x v="53"/>
    <s v="31 Mar 2025"/>
    <s v="2025-03-31"/>
    <s v="31-Mar-2025"/>
    <s v="31-Mar-2025"/>
    <n v="0"/>
    <s v="CUST-7195"/>
    <s v="Kabir Singh"/>
    <x v="3"/>
    <x v="3"/>
    <s v="Gujarat"/>
    <s v="Ahmedabad"/>
    <x v="0"/>
    <x v="8"/>
    <s v="Elite Storage 924"/>
    <x v="2"/>
    <n v="5"/>
    <n v="1207.47"/>
    <n v="0.15"/>
    <n v="5131.75"/>
    <n v="2838.68"/>
    <n v="2293.0700000000002"/>
    <s v="Paid"/>
    <x v="0"/>
    <s v="Unique"/>
    <m/>
    <s v="Clean"/>
    <s v="valid"/>
    <n v="0.15"/>
    <n v="5131.7475000000004"/>
    <n v="2293.0675000000006"/>
    <n v="0.44683950252813498"/>
    <x v="9"/>
    <n v="2025"/>
    <s v="Clean"/>
  </r>
  <r>
    <x v="54"/>
    <s v="30 May 2025"/>
    <s v="2025-06-02"/>
    <s v="02-Jun-2025"/>
    <s v="30-May-2025"/>
    <n v="3"/>
    <s v="CUST-9039"/>
    <s v="Arjun Bose"/>
    <x v="2"/>
    <x v="2"/>
    <s v="Tamil Nadu"/>
    <s v="Chennai"/>
    <x v="0"/>
    <x v="7"/>
    <s v="Pro Labels 957"/>
    <x v="1"/>
    <n v="8"/>
    <n v="474.37"/>
    <n v="0.1"/>
    <n v="3415.46"/>
    <n v="1993.23"/>
    <n v="1422.23"/>
    <s v="Failed"/>
    <x v="1"/>
    <s v="Unique"/>
    <m/>
    <s v="Clean"/>
    <s v="valid"/>
    <n v="0.1"/>
    <n v="3415.4639999999999"/>
    <n v="1422.2339999999999"/>
    <n v="0.4164101861416194"/>
    <x v="3"/>
    <n v="2025"/>
    <s v="Warning"/>
  </r>
  <r>
    <x v="55"/>
    <s v="01-07-2025"/>
    <s v="03-07-2025"/>
    <s v="03-Jul-2025"/>
    <s v="01-Jul-2025"/>
    <n v="2"/>
    <s v="CUST-9821"/>
    <s v="Mira Das"/>
    <x v="1"/>
    <x v="2"/>
    <s v="Andhra Pradesh"/>
    <s v="Vijayawada"/>
    <x v="2"/>
    <x v="12"/>
    <s v="Classic Machines 310"/>
    <x v="1"/>
    <n v="3"/>
    <n v="1516.24"/>
    <n v="0.25"/>
    <n v="3411.54"/>
    <n v="2803.13"/>
    <n v="608.41"/>
    <s v="Paid"/>
    <x v="0"/>
    <s v="Unique"/>
    <m/>
    <s v="Clean"/>
    <s v="valid"/>
    <n v="0.25"/>
    <n v="3411.54"/>
    <n v="608.40999999999985"/>
    <n v="0.17833881472883209"/>
    <x v="0"/>
    <n v="2025"/>
    <s v="Clean"/>
  </r>
  <r>
    <x v="56"/>
    <s v="2025-01-05"/>
    <s v="06-01-2025"/>
    <s v="06-Jan-2025"/>
    <s v="05-Jan-2025"/>
    <n v="1"/>
    <s v="CUST-8701"/>
    <s v="Karan Malhotra"/>
    <x v="0"/>
    <x v="2"/>
    <s v="Karnataka"/>
    <s v="Bengaluru"/>
    <x v="0"/>
    <x v="9"/>
    <s v="Smart Binders 393"/>
    <x v="0"/>
    <n v="3"/>
    <n v="3155.61"/>
    <n v="0"/>
    <n v="9466.83"/>
    <n v="6557.83"/>
    <n v="2909"/>
    <s v="Refunded"/>
    <x v="1"/>
    <s v="Unique"/>
    <m/>
    <s v="Clean"/>
    <s v="valid"/>
    <n v="0"/>
    <n v="9466.83"/>
    <n v="2909"/>
    <n v="0.30728343067320318"/>
    <x v="8"/>
    <n v="2025"/>
    <s v="Warning"/>
  </r>
  <r>
    <x v="57"/>
    <s v="2024-02-07"/>
    <s v="15 Feb 2024"/>
    <s v="15-Feb-2024"/>
    <s v="07-Feb-2024"/>
    <n v="8"/>
    <s v="CUST-9941"/>
    <s v="Priya Menon"/>
    <x v="0"/>
    <x v="3"/>
    <s v="Goa"/>
    <s v="Panaji"/>
    <x v="1"/>
    <x v="4"/>
    <s v="Max Chairs 813"/>
    <x v="1"/>
    <n v="5"/>
    <n v="255.87"/>
    <n v="0"/>
    <n v="1279.3499999999999"/>
    <n v="1091.54"/>
    <n v="187.81"/>
    <s v="Paid"/>
    <x v="0"/>
    <s v="Unique"/>
    <m/>
    <s v="Clean"/>
    <s v="valid"/>
    <n v="0"/>
    <n v="1279.3499999999999"/>
    <n v="187.80999999999995"/>
    <n v="0.14680110993864068"/>
    <x v="5"/>
    <n v="2024"/>
    <s v="Clean"/>
  </r>
  <r>
    <x v="58"/>
    <s v="2024-09-01"/>
    <s v="2024-09-07"/>
    <s v="07-Sep-2024"/>
    <s v="01-Sep-2024"/>
    <n v="6"/>
    <s v="CUST-3983"/>
    <s v="Isha Nair"/>
    <x v="3"/>
    <x v="0"/>
    <s v="Rajasthan"/>
    <s v="Jaipur"/>
    <x v="0"/>
    <x v="8"/>
    <s v="Basic Storage 872"/>
    <x v="4"/>
    <n v="9"/>
    <n v="1389.48"/>
    <n v="0.1"/>
    <n v="11254.79"/>
    <n v="6578.06"/>
    <n v="4676.7299999999996"/>
    <s v="Pending"/>
    <x v="2"/>
    <s v="Unique"/>
    <m/>
    <s v="Clean"/>
    <s v="valid"/>
    <n v="0.1"/>
    <n v="11254.788"/>
    <n v="4676.7280000000001"/>
    <n v="0.41553230500654476"/>
    <x v="6"/>
    <n v="2024"/>
    <s v="Clean"/>
  </r>
  <r>
    <x v="59"/>
    <s v="20-07-2024"/>
    <s v="25 Jul 2024"/>
    <s v="25-Jul-2024"/>
    <s v="20-Jul-2024"/>
    <n v="5"/>
    <s v="CUST-2418"/>
    <s v="Priya Menon"/>
    <x v="2"/>
    <x v="1"/>
    <s v="Assam"/>
    <s v="Guwahati"/>
    <x v="0"/>
    <x v="7"/>
    <s v="Smart Labels 655"/>
    <x v="1"/>
    <n v="5"/>
    <n v="4133.8500000000004"/>
    <n v="0.2"/>
    <n v="16535.400000000001"/>
    <n v="12990.21"/>
    <n v="3545.19"/>
    <s v="Paid"/>
    <x v="1"/>
    <s v="Unique"/>
    <m/>
    <s v="Clean"/>
    <s v="valid"/>
    <n v="0.2"/>
    <n v="16535.400000000001"/>
    <n v="3545.1900000000023"/>
    <n v="0.21440001451431487"/>
    <x v="0"/>
    <n v="2024"/>
    <s v="Warning"/>
  </r>
  <r>
    <x v="60"/>
    <s v="07/13/2024"/>
    <s v="2024-07-19"/>
    <s v="19-Jul-2024"/>
    <s v="13-Jul-2024"/>
    <n v="6"/>
    <s v="CUST-2892"/>
    <s v="Ananya Rao"/>
    <x v="2"/>
    <x v="1"/>
    <s v="Assam"/>
    <s v="Guwahati"/>
    <x v="0"/>
    <x v="7"/>
    <s v="Eco Labels 210"/>
    <x v="1"/>
    <n v="3"/>
    <n v="275.76"/>
    <n v="0.2"/>
    <n v="661.82"/>
    <n v="481.47"/>
    <n v="180.35"/>
    <s v="Refunded"/>
    <x v="1"/>
    <s v="Unique"/>
    <m/>
    <s v="Clean"/>
    <s v="valid"/>
    <n v="0.2"/>
    <n v="661.82400000000007"/>
    <n v="180.35400000000004"/>
    <n v="0.27251051639106472"/>
    <x v="0"/>
    <n v="2024"/>
    <s v="Warning"/>
  </r>
  <r>
    <x v="61"/>
    <s v="16 Apr 2024"/>
    <s v="04/16/2024"/>
    <s v="16-Apr-2024"/>
    <s v="16-Apr-2024"/>
    <n v="0"/>
    <s v="CUST-7008"/>
    <s v="Vikram Iyer"/>
    <x v="3"/>
    <x v="1"/>
    <s v="Bihar"/>
    <s v="Patna"/>
    <x v="1"/>
    <x v="10"/>
    <s v="Classic Bookcases 296"/>
    <x v="3"/>
    <n v="1"/>
    <n v="949.59"/>
    <n v="0"/>
    <n v="949.59"/>
    <n v="751.25"/>
    <n v="198.34"/>
    <s v="Paid"/>
    <x v="0"/>
    <s v="Unique"/>
    <m/>
    <s v="Clean"/>
    <s v="valid"/>
    <n v="0"/>
    <n v="949.59"/>
    <n v="198.34000000000003"/>
    <n v="0.20886909087079689"/>
    <x v="11"/>
    <n v="2024"/>
    <s v="Clean"/>
  </r>
  <r>
    <x v="62"/>
    <s v="30 Oct 2024"/>
    <s v="02-11-2024"/>
    <s v="02-Nov-2024"/>
    <s v="30-Oct-2024"/>
    <n v="3"/>
    <s v="CUST-4900"/>
    <s v="Sneha Kapoor"/>
    <x v="3"/>
    <x v="0"/>
    <s v="Rajasthan"/>
    <s v="Jaipur"/>
    <x v="2"/>
    <x v="11"/>
    <s v="Basic Phones 230"/>
    <x v="3"/>
    <n v="9"/>
    <n v="3042.29"/>
    <n v="0.2"/>
    <n v="21904.49"/>
    <n v="13570.55"/>
    <n v="8333.94"/>
    <s v="Paid"/>
    <x v="0"/>
    <s v="Unique"/>
    <m/>
    <s v="Clean"/>
    <s v="valid"/>
    <n v="0.2"/>
    <n v="21904.488000000001"/>
    <n v="8333.9380000000019"/>
    <n v="0.38046714445003244"/>
    <x v="4"/>
    <n v="2024"/>
    <s v="Clean"/>
  </r>
  <r>
    <x v="63"/>
    <s v="2024-01-25"/>
    <s v="01-02-2024"/>
    <s v="01-Feb-2024"/>
    <s v="25-Jan-2024"/>
    <n v="7"/>
    <s v="CUST-5382"/>
    <s v="Sneha Kapoor"/>
    <x v="3"/>
    <x v="0"/>
    <s v="Haryana"/>
    <s v="Gurugram"/>
    <x v="0"/>
    <x v="9"/>
    <s v="Pro Binders 690"/>
    <x v="1"/>
    <n v="2"/>
    <n v="2832.77"/>
    <n v="0.15"/>
    <n v="4815.71"/>
    <n v="3027.75"/>
    <n v="1917.47"/>
    <s v="Paid"/>
    <x v="0"/>
    <s v="Unique"/>
    <m/>
    <s v="Clean"/>
    <s v="valid"/>
    <n v="0.15"/>
    <n v="4815.7089999999998"/>
    <n v="1787.9589999999998"/>
    <n v="0.37127637903369992"/>
    <x v="8"/>
    <n v="2024"/>
    <s v="Clean"/>
  </r>
  <r>
    <x v="64"/>
    <s v="2024-12-23"/>
    <s v="12/29/2024"/>
    <s v="29-Dec-2024"/>
    <s v="23-Dec-2024"/>
    <n v="6"/>
    <s v="CUST-2749"/>
    <s v="Aarav Sharma"/>
    <x v="2"/>
    <x v="1"/>
    <s v="Jharkhand"/>
    <s v="Ranchi"/>
    <x v="0"/>
    <x v="0"/>
    <s v="Classic Paper 458"/>
    <x v="2"/>
    <n v="7"/>
    <n v="447.84"/>
    <n v="0"/>
    <n v="3134.88"/>
    <n v="2367.63"/>
    <n v="767.25"/>
    <s v="Refunded"/>
    <x v="2"/>
    <s v="Unique"/>
    <m/>
    <s v="Clean"/>
    <s v="valid"/>
    <n v="0"/>
    <n v="3134.8799999999997"/>
    <n v="767.24999999999955"/>
    <n v="0.24474621038125849"/>
    <x v="7"/>
    <n v="2024"/>
    <s v="Clean"/>
  </r>
  <r>
    <x v="65"/>
    <s v="22 Apr 2024"/>
    <s v="2024-04-27"/>
    <s v="27-Apr-2024"/>
    <s v="22-Apr-2024"/>
    <n v="5"/>
    <s v="CUST-2463"/>
    <s v="Mira Das"/>
    <x v="3"/>
    <x v="3"/>
    <s v="Maharashtra"/>
    <s v="Mumbai"/>
    <x v="0"/>
    <x v="0"/>
    <s v="Pro Paper 552"/>
    <x v="0"/>
    <n v="1"/>
    <n v="4280.1899999999996"/>
    <n v="0.05"/>
    <n v="4066.18"/>
    <n v="2628.92"/>
    <n v="1437.26"/>
    <s v="Paid"/>
    <x v="0"/>
    <s v="Unique"/>
    <m/>
    <s v="Clean"/>
    <s v="valid"/>
    <n v="0.05"/>
    <n v="4066.1804999999995"/>
    <n v="1437.2604999999994"/>
    <n v="0.35346696980126674"/>
    <x v="11"/>
    <n v="2024"/>
    <s v="Clean"/>
  </r>
  <r>
    <x v="66"/>
    <s v="08/28/2025"/>
    <s v="01 Sep 2025"/>
    <s v="01-Sep-2025"/>
    <s v="28-Aug-2025"/>
    <n v="4"/>
    <s v="CUST-1504"/>
    <s v="Karan Malhotra"/>
    <x v="1"/>
    <x v="2"/>
    <s v="Tamil Nadu"/>
    <s v="Chennai"/>
    <x v="2"/>
    <x v="5"/>
    <s v="Elite Accessories 187"/>
    <x v="1"/>
    <n v="7"/>
    <n v="1057.46"/>
    <n v="0.05"/>
    <n v="7032.11"/>
    <n v="4610.34"/>
    <n v="2421.77"/>
    <s v="Paid"/>
    <x v="0"/>
    <s v="Unique"/>
    <m/>
    <s v="Clean"/>
    <s v="valid"/>
    <n v="0.05"/>
    <n v="7032.1089999999995"/>
    <n v="2421.7689999999993"/>
    <n v="0.34438729547565311"/>
    <x v="1"/>
    <n v="2025"/>
    <s v="Clean"/>
  </r>
  <r>
    <x v="67"/>
    <s v="03 Feb 2025"/>
    <s v="07-02-2025"/>
    <s v="07-Feb-2025"/>
    <s v="03-Feb-2025"/>
    <n v="4"/>
    <s v="CUST-8282"/>
    <s v="Kabir Singh"/>
    <x v="0"/>
    <x v="0"/>
    <s v="Haryana"/>
    <s v="Gurugram"/>
    <x v="0"/>
    <x v="0"/>
    <s v="Eco Paper 922"/>
    <x v="2"/>
    <n v="7"/>
    <n v="3609.34"/>
    <n v="0.05"/>
    <n v="24002.11"/>
    <n v="18707.57"/>
    <n v="5294.54"/>
    <s v="Paid"/>
    <x v="0"/>
    <s v="Unique"/>
    <m/>
    <s v="Clean"/>
    <s v="valid"/>
    <n v="0.05"/>
    <n v="24002.111000000001"/>
    <n v="5294.5410000000011"/>
    <n v="0.2205864725815159"/>
    <x v="5"/>
    <n v="2025"/>
    <s v="Clean"/>
  </r>
  <r>
    <x v="68"/>
    <s v="11/10/2024"/>
    <s v="13 Nov 2024"/>
    <s v="13-Nov-2024"/>
    <s v="11-Oct-2024"/>
    <n v="33"/>
    <s v="CUST-6054"/>
    <s v="Isha Nair"/>
    <x v="2"/>
    <x v="1"/>
    <s v="Jharkhand"/>
    <s v="Ranchi"/>
    <x v="0"/>
    <x v="8"/>
    <s v="Pro Storage 975"/>
    <x v="0"/>
    <n v="9"/>
    <n v="2211.12"/>
    <n v="0"/>
    <n v="19900.080000000002"/>
    <n v="10962.66"/>
    <n v="8937.42"/>
    <s v="Failed"/>
    <x v="2"/>
    <s v="Unique"/>
    <m/>
    <s v="Clean"/>
    <s v="valid"/>
    <n v="0"/>
    <n v="19900.079999999998"/>
    <n v="8937.4199999999983"/>
    <n v="0.44911477742803041"/>
    <x v="4"/>
    <n v="2024"/>
    <s v="Warning"/>
  </r>
  <r>
    <x v="69"/>
    <s v="09 Apr 2024"/>
    <s v="04/14/2024"/>
    <s v="14-Apr-2024"/>
    <s v="09-Apr-2024"/>
    <n v="5"/>
    <s v="CUST-5979"/>
    <s v="Neha Gupta"/>
    <x v="1"/>
    <x v="3"/>
    <s v="Gujarat"/>
    <s v="Ahmedabad"/>
    <x v="2"/>
    <x v="12"/>
    <s v="Prime Machines 782"/>
    <x v="1"/>
    <n v="7"/>
    <n v="3417.09"/>
    <n v="0.1"/>
    <n v="21527.67"/>
    <n v="18287.580000000002"/>
    <n v="3240.09"/>
    <s v="Refunded"/>
    <x v="2"/>
    <s v="Unique"/>
    <m/>
    <s v="Clean"/>
    <s v="valid"/>
    <n v="0.1"/>
    <n v="21527.667000000001"/>
    <n v="3240.0869999999995"/>
    <n v="0.15050804158202555"/>
    <x v="11"/>
    <n v="2024"/>
    <s v="Clean"/>
  </r>
  <r>
    <x v="70"/>
    <s v="2025-08-22"/>
    <s v="27 Aug 2025"/>
    <s v="27-Aug-2025"/>
    <s v="22-Aug-2025"/>
    <n v="5"/>
    <s v="CUST-5582"/>
    <s v="Karan Malhotra"/>
    <x v="2"/>
    <x v="2"/>
    <s v="Andhra Pradesh"/>
    <s v="Vijayawada"/>
    <x v="2"/>
    <x v="11"/>
    <s v="Max Phones 661"/>
    <x v="2"/>
    <n v="2"/>
    <n v="905.87"/>
    <n v="0.15"/>
    <n v="1539.98"/>
    <n v="1070.2"/>
    <n v="469.78"/>
    <s v="Paid"/>
    <x v="0"/>
    <s v="Unique"/>
    <m/>
    <s v="Clean"/>
    <s v="valid"/>
    <n v="0.15"/>
    <n v="1539.979"/>
    <n v="469.779"/>
    <n v="0.30505545854846072"/>
    <x v="1"/>
    <n v="2025"/>
    <s v="Clean"/>
  </r>
  <r>
    <x v="71"/>
    <s v="04/16/2025"/>
    <s v="2025-04-23"/>
    <s v="23-Apr-2025"/>
    <s v="16-Apr-2025"/>
    <n v="7"/>
    <s v="CUST-3308"/>
    <s v="Mira Das"/>
    <x v="1"/>
    <x v="3"/>
    <s v="Goa"/>
    <s v="Panaji"/>
    <x v="2"/>
    <x v="12"/>
    <s v="Elite Machines 836"/>
    <x v="3"/>
    <n v="6"/>
    <n v="2027.32"/>
    <n v="0.1"/>
    <n v="10947.53"/>
    <n v="6447.36"/>
    <n v="4500.17"/>
    <s v="Paid"/>
    <x v="0"/>
    <s v="Unique"/>
    <m/>
    <s v="Clean"/>
    <s v="valid"/>
    <n v="0.1"/>
    <n v="10947.528"/>
    <n v="4500.1680000000006"/>
    <n v="0.41106704636882413"/>
    <x v="11"/>
    <n v="2025"/>
    <s v="Clean"/>
  </r>
  <r>
    <x v="72"/>
    <s v="2024-02-11"/>
    <s v="07 Feb 2024"/>
    <s v="07-Feb-2024"/>
    <s v="11-Feb-2024"/>
    <n v="-4"/>
    <s v="CUST-5018"/>
    <s v="Karan Malhotra"/>
    <x v="3"/>
    <x v="2"/>
    <s v="Tamil Nadu"/>
    <s v="Chennai"/>
    <x v="1"/>
    <x v="1"/>
    <s v="Prime Tables 902"/>
    <x v="2"/>
    <n v="7"/>
    <n v="2287.4699999999998"/>
    <n v="0.15"/>
    <n v="13610.45"/>
    <n v="10039.049999999999"/>
    <n v="3571.4"/>
    <s v="Paid"/>
    <x v="0"/>
    <s v="Unique"/>
    <m/>
    <s v="Clean"/>
    <s v="Invalid"/>
    <n v="0.15"/>
    <n v="13610.446499999998"/>
    <n v="3571.3964999999989"/>
    <n v="0.26240112695788487"/>
    <x v="5"/>
    <n v="2024"/>
    <s v="Clean"/>
  </r>
  <r>
    <x v="73"/>
    <s v="29-03-2025"/>
    <s v="04/03/2025"/>
    <s v="04-Mar-2025"/>
    <s v="29-Mar-2025"/>
    <n v="-25"/>
    <s v="CUST-2342"/>
    <s v="Sneha Kapoor"/>
    <x v="2"/>
    <x v="1"/>
    <s v="West Bengal"/>
    <s v="Kolkata"/>
    <x v="1"/>
    <x v="10"/>
    <s v="Smart Bookcases 167"/>
    <x v="2"/>
    <n v="5"/>
    <n v="1425.74"/>
    <n v="0"/>
    <n v="7128.7"/>
    <n v="4382.1499999999996"/>
    <n v="2746.55"/>
    <s v="Paid"/>
    <x v="0"/>
    <s v="Unique"/>
    <m/>
    <s v="Clean"/>
    <s v="Invalid"/>
    <n v="0"/>
    <n v="7128.7"/>
    <n v="2746.55"/>
    <n v="0.38528062620113068"/>
    <x v="9"/>
    <n v="2025"/>
    <s v="Clean"/>
  </r>
  <r>
    <x v="74"/>
    <s v="02/27/2025"/>
    <s v="2025-03-01"/>
    <s v="01-Mar-2025"/>
    <s v="27-Feb-2025"/>
    <n v="2"/>
    <s v="CUST-6201"/>
    <s v="Vikram Iyer"/>
    <x v="1"/>
    <x v="1"/>
    <s v="West Bengal"/>
    <s v="Kolkata"/>
    <x v="1"/>
    <x v="4"/>
    <s v="Max Chairs 244"/>
    <x v="3"/>
    <n v="6"/>
    <n v="551.64"/>
    <n v="0"/>
    <n v="3309.84"/>
    <n v="2671.08"/>
    <n v="638.76"/>
    <s v="Paid"/>
    <x v="0"/>
    <s v="Unique"/>
    <m/>
    <s v="Clean"/>
    <s v="valid"/>
    <n v="0"/>
    <n v="3309.84"/>
    <n v="638.76000000000022"/>
    <n v="0.19298818069755644"/>
    <x v="5"/>
    <n v="2025"/>
    <s v="Clean"/>
  </r>
  <r>
    <x v="75"/>
    <s v="22-08-2025"/>
    <s v="08/27/2025"/>
    <s v="27-Aug-2025"/>
    <s v="22-Aug-2025"/>
    <n v="5"/>
    <s v="CUST-5808"/>
    <s v="Priya Menon"/>
    <x v="1"/>
    <x v="1"/>
    <s v="Odisha"/>
    <s v="Bhubaneswar"/>
    <x v="0"/>
    <x v="7"/>
    <s v="Eco Labels 653"/>
    <x v="2"/>
    <n v="3"/>
    <n v="3294.82"/>
    <n v="0.2"/>
    <n v="7907.57"/>
    <n v="5391.18"/>
    <n v="2516.39"/>
    <s v="Paid"/>
    <x v="0"/>
    <s v="Unique"/>
    <m/>
    <s v="Clean"/>
    <s v="valid"/>
    <n v="0.2"/>
    <n v="7907.5680000000011"/>
    <n v="2516.3880000000008"/>
    <n v="0.31822527482533197"/>
    <x v="1"/>
    <n v="2025"/>
    <s v="Clean"/>
  </r>
  <r>
    <x v="76"/>
    <s v="03 Nov 2024"/>
    <s v="11-11-2024"/>
    <s v="11-Nov-2024"/>
    <s v="03-Nov-2024"/>
    <n v="8"/>
    <s v="CUST-2642"/>
    <s v="Ananya Rao"/>
    <x v="2"/>
    <x v="1"/>
    <s v="Jharkhand"/>
    <s v="Ranchi"/>
    <x v="0"/>
    <x v="7"/>
    <s v="Max Labels 617"/>
    <x v="0"/>
    <n v="3"/>
    <n v="3406.27"/>
    <n v="0"/>
    <n v="10218.81"/>
    <n v="7616.97"/>
    <n v="2601.84"/>
    <s v="Paid"/>
    <x v="0"/>
    <s v="Unique"/>
    <m/>
    <s v="Clean"/>
    <s v="valid"/>
    <n v="0"/>
    <n v="10218.81"/>
    <n v="2601.8399999999992"/>
    <n v="0.2546128169522674"/>
    <x v="2"/>
    <n v="2024"/>
    <s v="Clean"/>
  </r>
  <r>
    <x v="77"/>
    <s v="07/08/2025"/>
    <s v="12-07-2025"/>
    <s v="12-Jul-2025"/>
    <s v="07-Aug-2025"/>
    <n v="-26"/>
    <s v="CUST-4385"/>
    <s v="Rohan Mehta"/>
    <x v="3"/>
    <x v="0"/>
    <s v="Uttar Pradesh"/>
    <s v="Noida"/>
    <x v="1"/>
    <x v="3"/>
    <s v="Pro Furnishings 529"/>
    <x v="3"/>
    <n v="1"/>
    <n v="2582.1999999999998"/>
    <n v="0.15"/>
    <n v="2194.87"/>
    <n v="1223.17"/>
    <n v="971.7"/>
    <s v="Refunded"/>
    <x v="1"/>
    <s v="Unique"/>
    <m/>
    <s v="Clean"/>
    <s v="Invalid"/>
    <n v="0.15"/>
    <n v="2194.87"/>
    <n v="971.69999999999982"/>
    <n v="0.44271414707932583"/>
    <x v="1"/>
    <n v="2025"/>
    <s v="Warning"/>
  </r>
  <r>
    <x v="78"/>
    <s v="07/16/2025"/>
    <s v="21-07-2025"/>
    <s v="21-Jul-2025"/>
    <s v="16-Jul-2025"/>
    <n v="5"/>
    <s v="CUST-8043"/>
    <s v="Sneha Kapoor"/>
    <x v="2"/>
    <x v="1"/>
    <s v="West Bengal"/>
    <s v="Kolkata"/>
    <x v="1"/>
    <x v="1"/>
    <s v="Smart Tables 561"/>
    <x v="2"/>
    <n v="5"/>
    <n v="2129.5100000000002"/>
    <n v="0.15"/>
    <n v="9050.42"/>
    <n v="6778.85"/>
    <n v="2271.5700000000002"/>
    <s v="Paid"/>
    <x v="0"/>
    <s v="Unique"/>
    <m/>
    <s v="Clean"/>
    <s v="valid"/>
    <n v="0.15"/>
    <n v="9050.4175000000014"/>
    <n v="2271.567500000001"/>
    <n v="0.25099035486484472"/>
    <x v="0"/>
    <n v="2025"/>
    <s v="Clean"/>
  </r>
  <r>
    <x v="79"/>
    <s v="2025-09-27"/>
    <s v="2025-10-03"/>
    <s v="03-Oct-2025"/>
    <s v="27-Sep-2025"/>
    <n v="6"/>
    <s v="CUST-9978"/>
    <s v="Diya Patel"/>
    <x v="3"/>
    <x v="2"/>
    <s v="Tamil Nadu"/>
    <s v="Chennai"/>
    <x v="1"/>
    <x v="4"/>
    <s v="Prime Chairs 838"/>
    <x v="1"/>
    <n v="9"/>
    <n v="4131.5200000000004"/>
    <n v="0.1"/>
    <n v="33465.31"/>
    <n v="24781.26"/>
    <n v="8684.0499999999993"/>
    <s v="Paid"/>
    <x v="0"/>
    <s v="Unique"/>
    <m/>
    <s v="Clean"/>
    <s v="valid"/>
    <n v="0.1"/>
    <n v="33465.312000000005"/>
    <n v="8684.052000000007"/>
    <n v="0.25949412932411942"/>
    <x v="6"/>
    <n v="2025"/>
    <s v="Clean"/>
  </r>
  <r>
    <x v="80"/>
    <s v="2024-08-10"/>
    <s v="2024-08-14"/>
    <s v="14-Aug-2024"/>
    <s v="10-Aug-2024"/>
    <n v="4"/>
    <s v="CUST-2094"/>
    <s v="Aarav Sharma"/>
    <x v="1"/>
    <x v="0"/>
    <s v="Delhi"/>
    <s v="New Delhi"/>
    <x v="0"/>
    <x v="8"/>
    <s v="Elite Storage 371"/>
    <x v="0"/>
    <n v="4"/>
    <n v="1182.32"/>
    <n v="0.1"/>
    <n v="4256.3500000000004"/>
    <n v="2495.33"/>
    <n v="1761.02"/>
    <s v="Pending"/>
    <x v="2"/>
    <s v="Unique"/>
    <m/>
    <s v="Clean"/>
    <s v="valid"/>
    <n v="0.1"/>
    <n v="4256.3519999999999"/>
    <n v="1761.0219999999999"/>
    <n v="0.41373974708858663"/>
    <x v="1"/>
    <n v="2024"/>
    <s v="Clean"/>
  </r>
  <r>
    <x v="81"/>
    <s v="2025-03-16"/>
    <s v="17-03-2025"/>
    <s v="17-Mar-2025"/>
    <s v="16-Mar-2025"/>
    <n v="1"/>
    <s v="CUST-7907"/>
    <s v="Karan Malhotra"/>
    <x v="3"/>
    <x v="3"/>
    <s v="Goa"/>
    <s v="Panaji"/>
    <x v="0"/>
    <x v="7"/>
    <s v="Eco Labels 662"/>
    <x v="1"/>
    <n v="3"/>
    <n v="1841.91"/>
    <n v="0"/>
    <n v="5525.73"/>
    <n v="3093.42"/>
    <n v="2432.31"/>
    <s v="Paid"/>
    <x v="0"/>
    <s v="Unique"/>
    <m/>
    <s v="Clean"/>
    <s v="valid"/>
    <n v="0"/>
    <n v="5525.7300000000005"/>
    <n v="2432.3100000000004"/>
    <n v="0.44017894468242208"/>
    <x v="9"/>
    <n v="2025"/>
    <s v="Clean"/>
  </r>
  <r>
    <x v="82"/>
    <s v="2024-08-03"/>
    <s v="04-08-2024"/>
    <s v="04-Aug-2024"/>
    <s v="03-Aug-2024"/>
    <n v="1"/>
    <s v="CUST-6516"/>
    <s v="Arjun Bose"/>
    <x v="0"/>
    <x v="0"/>
    <s v="Uttar Pradesh"/>
    <s v="Noida"/>
    <x v="2"/>
    <x v="6"/>
    <s v="Smart Copiers 702"/>
    <x v="0"/>
    <n v="6"/>
    <n v="1001.73"/>
    <n v="0"/>
    <n v="6010.38"/>
    <n v="3762.85"/>
    <n v="2247.5300000000002"/>
    <s v="Failed"/>
    <x v="2"/>
    <s v="Unique"/>
    <m/>
    <s v="Clean"/>
    <s v="valid"/>
    <n v="0"/>
    <n v="6010.38"/>
    <n v="2247.5300000000002"/>
    <n v="0.37394141468592673"/>
    <x v="1"/>
    <n v="2024"/>
    <s v="Warning"/>
  </r>
  <r>
    <x v="83"/>
    <s v="26-10-2024"/>
    <s v="29-10-2024"/>
    <s v="29-Oct-2024"/>
    <s v="26-Oct-2024"/>
    <n v="3"/>
    <s v="CUST-4989"/>
    <s v="Aditi Sen"/>
    <x v="3"/>
    <x v="3"/>
    <s v="Maharashtra"/>
    <s v="Mumbai"/>
    <x v="1"/>
    <x v="1"/>
    <s v="Elite Tables 362"/>
    <x v="0"/>
    <n v="9"/>
    <n v="131.74"/>
    <n v="0.2"/>
    <n v="948.53"/>
    <n v="674.62"/>
    <n v="273.91000000000003"/>
    <s v="Paid"/>
    <x v="0"/>
    <s v="Unique"/>
    <m/>
    <s v="Clean"/>
    <s v="valid"/>
    <n v="0.2"/>
    <n v="948.52800000000013"/>
    <n v="273.90800000000013"/>
    <n v="0.28877165460587362"/>
    <x v="4"/>
    <n v="2024"/>
    <s v="Clean"/>
  </r>
  <r>
    <x v="84"/>
    <s v="01 Oct 2024"/>
    <s v="2024-10-03"/>
    <s v="03-Oct-2024"/>
    <s v="01-Oct-2024"/>
    <n v="2"/>
    <s v="CUST-3758"/>
    <s v="Rohan Mehta"/>
    <x v="2"/>
    <x v="2"/>
    <s v="Tamil Nadu"/>
    <s v="Chennai"/>
    <x v="2"/>
    <x v="11"/>
    <s v="Elite Phones 781"/>
    <x v="0"/>
    <n v="6"/>
    <n v="570.28"/>
    <n v="0.2"/>
    <n v="2737.34"/>
    <n v="2085.44"/>
    <n v="651.9"/>
    <s v="Paid"/>
    <x v="0"/>
    <s v="Unique"/>
    <m/>
    <s v="Clean"/>
    <s v="valid"/>
    <n v="0.2"/>
    <n v="2737.3440000000001"/>
    <n v="651.904"/>
    <n v="0.23815201889130486"/>
    <x v="4"/>
    <n v="2024"/>
    <s v="Clean"/>
  </r>
  <r>
    <x v="85"/>
    <s v="2024-07-30"/>
    <s v="08/05/2024"/>
    <s v="08-May-2024"/>
    <s v="30-Jul-2024"/>
    <n v="-83"/>
    <s v="CUST-6702"/>
    <s v="Kabir Singh"/>
    <x v="2"/>
    <x v="0"/>
    <s v="Delhi"/>
    <s v="New Delhi"/>
    <x v="0"/>
    <x v="9"/>
    <s v="Eco Binders 456"/>
    <x v="3"/>
    <n v="1"/>
    <n v="608.64"/>
    <n v="0"/>
    <n v="608.64"/>
    <n v="343.99"/>
    <n v="264.64999999999998"/>
    <s v="Paid"/>
    <x v="1"/>
    <s v="Unique"/>
    <m/>
    <s v="Clean"/>
    <s v="Invalid"/>
    <n v="0"/>
    <n v="608.64"/>
    <n v="264.64999999999998"/>
    <n v="0.43482189800210302"/>
    <x v="0"/>
    <n v="2024"/>
    <s v="Warning"/>
  </r>
  <r>
    <x v="86"/>
    <s v="01 Jul 2024"/>
    <s v="01 Jul 2024"/>
    <s v="01-Jul-2024"/>
    <s v="01-Jul-2024"/>
    <n v="0"/>
    <s v="CUST-9148"/>
    <s v="Ananya Rao"/>
    <x v="1"/>
    <x v="0"/>
    <s v="Delhi"/>
    <s v="New Delhi"/>
    <x v="2"/>
    <x v="6"/>
    <s v="Basic Copiers 525"/>
    <x v="0"/>
    <n v="3"/>
    <n v="885.28"/>
    <n v="0.1"/>
    <n v="2390.2600000000002"/>
    <n v="1495.94"/>
    <n v="894.32"/>
    <s v="Refunded"/>
    <x v="1"/>
    <s v="Unique"/>
    <m/>
    <s v="Clean"/>
    <s v="valid"/>
    <n v="0.1"/>
    <n v="2390.2560000000003"/>
    <n v="894.31600000000026"/>
    <n v="0.37415071858411825"/>
    <x v="0"/>
    <n v="2024"/>
    <s v="Warning"/>
  </r>
  <r>
    <x v="87"/>
    <s v="02-08-2024"/>
    <s v="2024-08-03"/>
    <s v="03-Aug-2024"/>
    <s v="02-Aug-2024"/>
    <n v="1"/>
    <s v="CUST-5829"/>
    <s v="Vikram Iyer"/>
    <x v="0"/>
    <x v="1"/>
    <s v="Assam"/>
    <s v="Guwahati"/>
    <x v="0"/>
    <x v="9"/>
    <s v="Eco Binders 258"/>
    <x v="3"/>
    <n v="7"/>
    <n v="3345.22"/>
    <n v="0"/>
    <n v="23416.54"/>
    <n v="15490.89"/>
    <n v="7925.65"/>
    <s v="Paid"/>
    <x v="0"/>
    <s v="Unique"/>
    <m/>
    <s v="Clean"/>
    <s v="valid"/>
    <n v="0"/>
    <n v="23416.539999999997"/>
    <n v="7925.6499999999978"/>
    <n v="0.33846375254414185"/>
    <x v="1"/>
    <n v="2024"/>
    <s v="Clean"/>
  </r>
  <r>
    <x v="88"/>
    <s v="03/24/2024"/>
    <s v="27 Mar 2024"/>
    <s v="27-Mar-2024"/>
    <s v="24-Mar-2024"/>
    <n v="3"/>
    <s v="CUST-6059"/>
    <s v="Rohan Mehta"/>
    <x v="1"/>
    <x v="3"/>
    <s v="Maharashtra"/>
    <s v="Mumbai"/>
    <x v="1"/>
    <x v="10"/>
    <s v="Max Bookcases 398"/>
    <x v="3"/>
    <n v="2"/>
    <n v="3284.75"/>
    <n v="0.05"/>
    <n v="6241.02"/>
    <n v="5345.88"/>
    <n v="895.14"/>
    <s v="Paid"/>
    <x v="0"/>
    <s v="Unique"/>
    <m/>
    <s v="Clean"/>
    <s v="valid"/>
    <n v="0.05"/>
    <n v="6241.0249999999996"/>
    <n v="895.14499999999953"/>
    <n v="0.14342916427990587"/>
    <x v="9"/>
    <n v="2024"/>
    <s v="Clean"/>
  </r>
  <r>
    <x v="89"/>
    <s v="05 Sep 2024"/>
    <s v="05 Sep 2024"/>
    <s v="05-Sep-2024"/>
    <s v="05-Sep-2024"/>
    <n v="0"/>
    <s v="CUST-7744"/>
    <s v="Kabir Singh"/>
    <x v="0"/>
    <x v="2"/>
    <s v="Andhra Pradesh"/>
    <s v="Vijayawada"/>
    <x v="1"/>
    <x v="10"/>
    <s v="Smart Bookcases 857"/>
    <x v="3"/>
    <n v="7"/>
    <n v="3761.09"/>
    <n v="0.2"/>
    <n v="21062.1"/>
    <n v="12057.13"/>
    <n v="9004.9699999999993"/>
    <s v="Pending"/>
    <x v="1"/>
    <s v="Unique"/>
    <m/>
    <s v="Clean"/>
    <s v="valid"/>
    <n v="0.2"/>
    <n v="21062.104000000003"/>
    <n v="9004.9740000000038"/>
    <n v="0.42754389589947911"/>
    <x v="6"/>
    <n v="2024"/>
    <s v="Warning"/>
  </r>
  <r>
    <x v="90"/>
    <s v="08/24/2025"/>
    <s v="29 Aug 2025"/>
    <s v="29-Aug-2025"/>
    <s v="24-Aug-2025"/>
    <n v="5"/>
    <s v="CUST-5909"/>
    <s v="Aarav Sharma"/>
    <x v="1"/>
    <x v="1"/>
    <s v="Bihar"/>
    <s v="Patna"/>
    <x v="2"/>
    <x v="6"/>
    <s v="Smart Copiers 556"/>
    <x v="2"/>
    <n v="3"/>
    <n v="3703.96"/>
    <n v="0.15"/>
    <n v="9445.1"/>
    <n v="5586.28"/>
    <n v="3858.82"/>
    <s v="Paid"/>
    <x v="0"/>
    <s v="Duplicate Order ID"/>
    <s v="FLAG  FOR REVIEW"/>
    <s v="Clean"/>
    <s v="valid"/>
    <n v="0.15"/>
    <n v="9445.098"/>
    <n v="3858.8180000000002"/>
    <n v="0.40855245758170006"/>
    <x v="1"/>
    <n v="2025"/>
    <s v="Clean"/>
  </r>
  <r>
    <x v="91"/>
    <s v="02-03-2025"/>
    <s v="03/08/2025"/>
    <s v="03-Aug-2025"/>
    <s v="02-Mar-2025"/>
    <n v="154"/>
    <s v="CUST-6409"/>
    <s v="Sneha Kapoor"/>
    <x v="2"/>
    <x v="3"/>
    <s v="Madhya Pradesh"/>
    <s v="Indore"/>
    <x v="2"/>
    <x v="6"/>
    <s v="Prime Copiers 575"/>
    <x v="0"/>
    <n v="9"/>
    <n v="269.68"/>
    <n v="0"/>
    <n v="2427.12"/>
    <n v="1538.35"/>
    <n v="804.53"/>
    <s v="Paid"/>
    <x v="0"/>
    <s v="Unique"/>
    <m/>
    <s v="Clean"/>
    <s v="valid"/>
    <n v="0"/>
    <n v="2427.12"/>
    <n v="888.77"/>
    <n v="0.36618296581957216"/>
    <x v="9"/>
    <n v="2025"/>
    <s v="Clean"/>
  </r>
  <r>
    <x v="92"/>
    <s v="23 Jan 2025"/>
    <s v="01/26/2025"/>
    <s v="26-Jan-2025"/>
    <s v="23-Jan-2025"/>
    <n v="3"/>
    <s v="CUST-3014"/>
    <s v="Aarav Sharma"/>
    <x v="0"/>
    <x v="3"/>
    <s v="Madhya Pradesh"/>
    <s v="Indore"/>
    <x v="0"/>
    <x v="0"/>
    <s v="Elite Paper 669"/>
    <x v="3"/>
    <n v="9"/>
    <n v="4458.26"/>
    <n v="0.1"/>
    <n v="36111.910000000003"/>
    <n v="29194.5"/>
    <n v="6917.41"/>
    <s v="Paid"/>
    <x v="0"/>
    <s v="Unique"/>
    <m/>
    <s v="Clean"/>
    <s v="valid"/>
    <n v="0.1"/>
    <n v="36111.906000000003"/>
    <n v="6917.4060000000027"/>
    <n v="0.19155471882320479"/>
    <x v="8"/>
    <n v="2025"/>
    <s v="Clean"/>
  </r>
  <r>
    <x v="93"/>
    <s v="01/07/2024"/>
    <s v="13-01-2024"/>
    <s v="13-Jan-2024"/>
    <s v="01-Jul-2024"/>
    <n v="-170"/>
    <s v="CUST-6106"/>
    <s v="Rohan Mehta"/>
    <x v="2"/>
    <x v="0"/>
    <s v="Uttar Pradesh"/>
    <s v="Noida"/>
    <x v="0"/>
    <x v="9"/>
    <s v="Eco Binders 780"/>
    <x v="3"/>
    <n v="7"/>
    <n v="2788.97"/>
    <n v="-0.09"/>
    <n v="19522.79"/>
    <n v="12455.78"/>
    <n v="7067.01"/>
    <s v="Paid"/>
    <x v="0"/>
    <s v="Unique"/>
    <m/>
    <s v="Invalid"/>
    <s v="Invalid"/>
    <n v="-0.09"/>
    <n v="21279.841099999998"/>
    <n v="8824.0610999999972"/>
    <n v="0.41466762174272054"/>
    <x v="0"/>
    <n v="2024"/>
    <s v="Invalid"/>
  </r>
  <r>
    <x v="94"/>
    <s v="09/06/2024"/>
    <s v="09 Sep 2024"/>
    <s v="09-Sep-2024"/>
    <s v="09-Jun-2024"/>
    <n v="92"/>
    <s v="CUST-1926"/>
    <s v="Diya Patel"/>
    <x v="0"/>
    <x v="0"/>
    <s v="Haryana"/>
    <s v="Gurugram"/>
    <x v="2"/>
    <x v="11"/>
    <s v="Elite Phones 723"/>
    <x v="0"/>
    <n v="7"/>
    <n v="3781.53"/>
    <n v="0"/>
    <n v="26470.71"/>
    <n v="21367.599999999999"/>
    <n v="5103.1099999999997"/>
    <s v="Pending"/>
    <x v="1"/>
    <s v="Unique"/>
    <m/>
    <s v="Clean"/>
    <s v="valid"/>
    <n v="0"/>
    <n v="26470.710000000003"/>
    <n v="5103.1100000000042"/>
    <n v="0.19278326875251944"/>
    <x v="10"/>
    <n v="2024"/>
    <s v="Warning"/>
  </r>
  <r>
    <x v="95"/>
    <s v="05-09-2025"/>
    <s v="09/10/2025"/>
    <s v="09-Oct-2025"/>
    <s v="05-Sep-2025"/>
    <n v="34"/>
    <s v="CUST-2687"/>
    <s v="Sneha Kapoor"/>
    <x v="2"/>
    <x v="3"/>
    <s v="Goa"/>
    <s v="Panaji"/>
    <x v="1"/>
    <x v="10"/>
    <s v="Classic Bookcases 988"/>
    <x v="1"/>
    <n v="6"/>
    <n v="1754.13"/>
    <n v="0"/>
    <n v="10524.78"/>
    <n v="8841.0499999999993"/>
    <n v="1683.73"/>
    <s v="Paid"/>
    <x v="0"/>
    <s v="Unique"/>
    <m/>
    <s v="Clean"/>
    <s v="valid"/>
    <n v="0"/>
    <n v="10524.78"/>
    <n v="1683.7300000000014"/>
    <n v="0.15997769074507984"/>
    <x v="6"/>
    <n v="2025"/>
    <s v="Clean"/>
  </r>
  <r>
    <x v="96"/>
    <s v="05 Jun 2024"/>
    <s v="07-06-2024"/>
    <s v="07-Jun-2024"/>
    <s v="05-Jun-2024"/>
    <n v="2"/>
    <s v="CUST-7283"/>
    <s v="Rahul Verma"/>
    <x v="3"/>
    <x v="1"/>
    <s v="Odisha"/>
    <s v="Bhubaneswar"/>
    <x v="2"/>
    <x v="6"/>
    <s v="Smart Copiers 547"/>
    <x v="0"/>
    <n v="2"/>
    <n v="2259.2399999999998"/>
    <n v="0.15"/>
    <n v="3840.71"/>
    <n v="2516.29"/>
    <n v="1324.42"/>
    <s v="Paid"/>
    <x v="0"/>
    <s v="Unique"/>
    <m/>
    <s v="Clean"/>
    <s v="valid"/>
    <n v="0.15"/>
    <n v="3840.7079999999996"/>
    <n v="1324.4179999999997"/>
    <n v="0.34483694152224009"/>
    <x v="10"/>
    <n v="2024"/>
    <s v="Clean"/>
  </r>
  <r>
    <x v="97"/>
    <s v="08 Aug 2025"/>
    <s v="2025-08-11"/>
    <s v="11-Aug-2025"/>
    <s v="08-Aug-2025"/>
    <n v="3"/>
    <s v="CUST-8111"/>
    <s v="Diya Patel"/>
    <x v="1"/>
    <x v="3"/>
    <s v="Gujarat"/>
    <s v="Ahmedabad"/>
    <x v="0"/>
    <x v="8"/>
    <s v="Basic Storage 656"/>
    <x v="1"/>
    <n v="5"/>
    <n v="3602.36"/>
    <n v="0.2"/>
    <n v="14409.44"/>
    <n v="8809.9699999999993"/>
    <n v="5599.47"/>
    <s v="Pending"/>
    <x v="2"/>
    <s v="Unique"/>
    <m/>
    <s v="Clean"/>
    <s v="valid"/>
    <n v="0.2"/>
    <n v="14409.44"/>
    <n v="5599.4700000000012"/>
    <n v="0.38859733619071951"/>
    <x v="1"/>
    <n v="2025"/>
    <s v="Clean"/>
  </r>
  <r>
    <x v="98"/>
    <s v="2024-01-26"/>
    <s v="02/01/2024"/>
    <s v="02-Jan-2024"/>
    <s v="26-Jan-2024"/>
    <n v="-24"/>
    <s v="CUST-5434"/>
    <s v="Rohan Mehta"/>
    <x v="3"/>
    <x v="2"/>
    <s v="Kerala"/>
    <s v="Kochi"/>
    <x v="2"/>
    <x v="6"/>
    <s v="Elite Copiers 785"/>
    <x v="4"/>
    <n v="8"/>
    <n v="2108.9299999999998"/>
    <n v="0.1"/>
    <n v="15184.3"/>
    <n v="11270.74"/>
    <n v="3913.56"/>
    <s v="Paid"/>
    <x v="0"/>
    <s v="Unique"/>
    <m/>
    <s v="Clean"/>
    <s v="Invalid"/>
    <n v="0.1"/>
    <n v="15184.295999999998"/>
    <n v="3913.5559999999987"/>
    <n v="0.25773707256497103"/>
    <x v="8"/>
    <n v="2024"/>
    <s v="Clean"/>
  </r>
  <r>
    <x v="99"/>
    <s v="11-01-2025"/>
    <s v="11-01-2025"/>
    <s v="11-Jan-2025"/>
    <s v="11-Jan-2025"/>
    <n v="0"/>
    <s v="CUST-3865"/>
    <s v="Aditi Sen"/>
    <x v="1"/>
    <x v="3"/>
    <s v="Rajasthan"/>
    <s v="Udaipur"/>
    <x v="2"/>
    <x v="5"/>
    <s v="Smart Accessories 542"/>
    <x v="1"/>
    <n v="3"/>
    <n v="2165.29"/>
    <n v="0"/>
    <n v="6495.87"/>
    <n v="4700.8900000000003"/>
    <n v="1794.98"/>
    <s v="Paid"/>
    <x v="0"/>
    <s v="Unique"/>
    <m/>
    <s v="Clean"/>
    <s v="valid"/>
    <n v="0"/>
    <n v="6495.87"/>
    <n v="1794.9799999999996"/>
    <n v="0.27632634273777024"/>
    <x v="8"/>
    <n v="2025"/>
    <s v="Clean"/>
  </r>
  <r>
    <x v="100"/>
    <s v="12 Sep 2025"/>
    <s v="18 Sep 2025"/>
    <s v="18-Sep-2025"/>
    <s v="12-Sep-2025"/>
    <n v="6"/>
    <s v="CUST-6015"/>
    <s v="Aarav Sharma"/>
    <x v="3"/>
    <x v="2"/>
    <s v="Kerala"/>
    <s v="Kochi"/>
    <x v="0"/>
    <x v="8"/>
    <s v="Eco Storage 936"/>
    <x v="3"/>
    <n v="6"/>
    <n v="1673.8"/>
    <n v="0.05"/>
    <n v="9540.66"/>
    <n v="5561.49"/>
    <n v="3979.17"/>
    <s v="Paid"/>
    <x v="0"/>
    <s v="Unique"/>
    <m/>
    <s v="Clean"/>
    <s v="valid"/>
    <n v="0.05"/>
    <n v="9540.659999999998"/>
    <n v="3979.1699999999983"/>
    <n v="0.41707491934520241"/>
    <x v="6"/>
    <n v="2025"/>
    <s v="Clean"/>
  </r>
  <r>
    <x v="101"/>
    <s v="06/22/2024"/>
    <s v="26-06-2024"/>
    <s v="26-Jun-2024"/>
    <s v="22-Jun-2024"/>
    <n v="4"/>
    <s v="CUST-7909"/>
    <s v="Rohan Mehta"/>
    <x v="3"/>
    <x v="1"/>
    <s v="Bihar"/>
    <s v="Patna"/>
    <x v="1"/>
    <x v="3"/>
    <s v="Classic Furnishings 682"/>
    <x v="2"/>
    <n v="5"/>
    <n v="4396.5200000000004"/>
    <n v="0.25"/>
    <n v="16486.95"/>
    <n v="12054.14"/>
    <n v="4432.8100000000004"/>
    <s v="Paid"/>
    <x v="0"/>
    <s v="Unique"/>
    <m/>
    <s v="Clean"/>
    <s v="valid"/>
    <n v="0.25"/>
    <n v="16486.95"/>
    <n v="4432.8100000000013"/>
    <n v="0.26886780150361356"/>
    <x v="10"/>
    <n v="2024"/>
    <s v="Clean"/>
  </r>
  <r>
    <x v="102"/>
    <s v="12 Jul 2025"/>
    <s v="2025-07-16"/>
    <s v="16-Jul-2025"/>
    <s v="12-Jul-2025"/>
    <n v="4"/>
    <s v="CUST-9603"/>
    <s v="Vikram Iyer"/>
    <x v="0"/>
    <x v="2"/>
    <s v="Karnataka"/>
    <s v="Bengaluru"/>
    <x v="1"/>
    <x v="4"/>
    <s v="Classic Chairs 604"/>
    <x v="2"/>
    <n v="4"/>
    <n v="2865.71"/>
    <n v="0"/>
    <n v="11462.84"/>
    <n v="8979.7800000000007"/>
    <n v="2483.06"/>
    <s v="Refunded"/>
    <x v="1"/>
    <s v="Unique"/>
    <m/>
    <s v="Clean"/>
    <s v="valid"/>
    <n v="0"/>
    <n v="11462.84"/>
    <n v="2483.0599999999995"/>
    <n v="0.21661822026653077"/>
    <x v="0"/>
    <n v="2025"/>
    <s v="Warning"/>
  </r>
  <r>
    <x v="103"/>
    <s v="05/02/2025"/>
    <s v="05/10/2025"/>
    <s v="05-Oct-2025"/>
    <s v="05-Feb-2025"/>
    <n v="242"/>
    <s v="CUST-6263"/>
    <s v="Kabir Singh"/>
    <x v="2"/>
    <x v="3"/>
    <s v="Maharashtra"/>
    <s v="Mumbai"/>
    <x v="1"/>
    <x v="1"/>
    <s v="Prime Tables 377"/>
    <x v="2"/>
    <n v="4"/>
    <n v="2440.34"/>
    <n v="0.2"/>
    <n v="7809.09"/>
    <n v="6657.75"/>
    <n v="1151.3399999999999"/>
    <s v="Paid"/>
    <x v="0"/>
    <s v="Unique"/>
    <m/>
    <s v="Clean"/>
    <s v="valid"/>
    <n v="0.2"/>
    <n v="7809.0880000000006"/>
    <n v="1151.3380000000006"/>
    <n v="0.14743565445798543"/>
    <x v="5"/>
    <n v="2025"/>
    <s v="Clean"/>
  </r>
  <r>
    <x v="104"/>
    <s v="2025-02-01"/>
    <s v="02/08/2025"/>
    <s v="02-Aug-2025"/>
    <s v="01-Feb-2025"/>
    <n v="182"/>
    <s v="CUST-1576"/>
    <s v="Ananya Rao"/>
    <x v="0"/>
    <x v="2"/>
    <s v="Karnataka"/>
    <s v="Bengaluru"/>
    <x v="0"/>
    <x v="7"/>
    <s v="Prime Labels 807"/>
    <x v="1"/>
    <n v="5"/>
    <n v="2112.54"/>
    <n v="0.25"/>
    <n v="8260.4599999999991"/>
    <n v="5619.95"/>
    <n v="2302.08"/>
    <s v="Paid"/>
    <x v="1"/>
    <s v="Unique"/>
    <m/>
    <s v="Clean"/>
    <s v="valid"/>
    <n v="0.25"/>
    <n v="7922.0250000000005"/>
    <n v="2302.0750000000007"/>
    <n v="0.29059173633004193"/>
    <x v="5"/>
    <n v="2025"/>
    <s v="Warning"/>
  </r>
  <r>
    <x v="105"/>
    <s v="06/24/2024"/>
    <s v="29-06-2024"/>
    <s v="29-Jun-2024"/>
    <s v="24-Jun-2024"/>
    <n v="5"/>
    <s v="CUST-6540"/>
    <s v="Mira Das"/>
    <x v="3"/>
    <x v="1"/>
    <s v="West Bengal"/>
    <s v="Kolkata"/>
    <x v="1"/>
    <x v="1"/>
    <s v="Eco Tables 575"/>
    <x v="0"/>
    <n v="2"/>
    <n v="685"/>
    <n v="0.1"/>
    <n v="1233"/>
    <n v="1006.9"/>
    <n v="226.1"/>
    <s v="Paid"/>
    <x v="0"/>
    <s v="Unique"/>
    <m/>
    <s v="Clean"/>
    <s v="valid"/>
    <n v="0.1"/>
    <n v="1233"/>
    <n v="226.10000000000002"/>
    <n v="0.18337388483373887"/>
    <x v="10"/>
    <n v="2024"/>
    <s v="Clean"/>
  </r>
  <r>
    <x v="106"/>
    <s v="20-02-2024"/>
    <s v="28 Feb 2024"/>
    <s v="28-Feb-2024"/>
    <s v="20-Feb-2024"/>
    <n v="8"/>
    <s v="CUST-4008"/>
    <s v="Arjun Bose"/>
    <x v="3"/>
    <x v="1"/>
    <s v="West Bengal"/>
    <s v="Kolkata"/>
    <x v="0"/>
    <x v="0"/>
    <s v="Eco Paper 918"/>
    <x v="3"/>
    <n v="2"/>
    <n v="4004.04"/>
    <n v="0"/>
    <n v="7207.27"/>
    <n v="5709.39"/>
    <n v="1497.88"/>
    <s v="Paid"/>
    <x v="1"/>
    <s v="Unique"/>
    <m/>
    <s v="Clean"/>
    <s v="valid"/>
    <n v="0"/>
    <n v="8008.08"/>
    <n v="2298.6899999999996"/>
    <n v="0.28704633320346445"/>
    <x v="5"/>
    <n v="2024"/>
    <s v="Warning"/>
  </r>
  <r>
    <x v="107"/>
    <s v="29 Oct 2024"/>
    <s v="2024-11-04"/>
    <s v="04-Nov-2024"/>
    <s v="29-Oct-2024"/>
    <n v="6"/>
    <s v="CUST-6604"/>
    <s v="Rohan Mehta"/>
    <x v="3"/>
    <x v="1"/>
    <s v="West Bengal"/>
    <s v="Kolkata"/>
    <x v="1"/>
    <x v="3"/>
    <s v="Prime Furnishings 952"/>
    <x v="2"/>
    <n v="3"/>
    <n v="4302.8900000000003"/>
    <n v="0.05"/>
    <n v="12263.24"/>
    <n v="8925.57"/>
    <n v="3337.67"/>
    <s v="Paid"/>
    <x v="0"/>
    <s v="Unique"/>
    <m/>
    <s v="Clean"/>
    <s v="valid"/>
    <n v="0.05"/>
    <n v="12263.236500000001"/>
    <n v="3337.6665000000012"/>
    <n v="0.27216848504878799"/>
    <x v="4"/>
    <n v="2024"/>
    <s v="Clean"/>
  </r>
  <r>
    <x v="108"/>
    <s v="15 Aug 2024"/>
    <s v="08/23/2024"/>
    <s v="23-Aug-2024"/>
    <s v="15-Aug-2024"/>
    <n v="8"/>
    <s v="CUST-4337"/>
    <s v="Aditi Sen"/>
    <x v="1"/>
    <x v="1"/>
    <s v="Odisha"/>
    <s v="Bhubaneswar"/>
    <x v="1"/>
    <x v="10"/>
    <s v="Prime Bookcases 631"/>
    <x v="1"/>
    <n v="2"/>
    <n v="537.54"/>
    <n v="0.25"/>
    <n v="806.31"/>
    <n v="498.5"/>
    <n v="307.81"/>
    <s v="Paid"/>
    <x v="0"/>
    <s v="Unique"/>
    <m/>
    <s v="Clean"/>
    <s v="valid"/>
    <n v="0.25"/>
    <n v="806.31"/>
    <n v="307.80999999999995"/>
    <n v="0.38175143555208291"/>
    <x v="1"/>
    <n v="2024"/>
    <s v="Clean"/>
  </r>
  <r>
    <x v="109"/>
    <s v="23-08-2025"/>
    <s v="08/27/2025"/>
    <s v="27-Aug-2025"/>
    <s v="23-Aug-2025"/>
    <n v="4"/>
    <s v="CUST-3740"/>
    <s v="Sneha Kapoor"/>
    <x v="0"/>
    <x v="0"/>
    <s v="Delhi"/>
    <s v="New Delhi"/>
    <x v="0"/>
    <x v="9"/>
    <s v="Classic Binders 660"/>
    <x v="0"/>
    <n v="1"/>
    <n v="2788.62"/>
    <n v="0.25"/>
    <n v="2091.4699999999998"/>
    <n v="1317.22"/>
    <n v="774.25"/>
    <s v="Paid"/>
    <x v="0"/>
    <s v="Unique"/>
    <m/>
    <s v="Clean"/>
    <s v="valid"/>
    <n v="0.25"/>
    <n v="2091.4650000000001"/>
    <n v="774.24500000000012"/>
    <n v="0.37019266399389905"/>
    <x v="1"/>
    <n v="2025"/>
    <s v="Clean"/>
  </r>
  <r>
    <x v="110"/>
    <s v="10/18/2024"/>
    <s v="2024-10-24"/>
    <s v="24-Oct-2024"/>
    <s v="18-Oct-2024"/>
    <n v="6"/>
    <s v="CUST-7128"/>
    <s v="Vikram Iyer"/>
    <x v="2"/>
    <x v="2"/>
    <s v="Kerala"/>
    <s v="Kochi"/>
    <x v="0"/>
    <x v="7"/>
    <s v="Pro Labels 255"/>
    <x v="2"/>
    <n v="2"/>
    <n v="2250.4699999999998"/>
    <n v="0"/>
    <n v="4500.9399999999996"/>
    <n v="2607.73"/>
    <n v="1893.21"/>
    <s v="Refunded"/>
    <x v="1"/>
    <s v="Unique"/>
    <m/>
    <s v="Clean"/>
    <s v="valid"/>
    <n v="0"/>
    <n v="4500.9399999999996"/>
    <n v="1893.2099999999996"/>
    <n v="0.42062546934640316"/>
    <x v="4"/>
    <n v="2024"/>
    <s v="Warning"/>
  </r>
  <r>
    <x v="111"/>
    <s v="06/27/2025"/>
    <s v="2025-06-30"/>
    <s v="30-Jun-2025"/>
    <s v="27-Jun-2025"/>
    <n v="3"/>
    <s v="CUST-4743"/>
    <s v="Neha Gupta"/>
    <x v="2"/>
    <x v="1"/>
    <s v="Bihar"/>
    <s v="Patna"/>
    <x v="2"/>
    <x v="5"/>
    <s v="Basic Accessories 187"/>
    <x v="2"/>
    <n v="1"/>
    <n v="1708.44"/>
    <n v="0.05"/>
    <n v="1623.02"/>
    <n v="1077.46"/>
    <n v="545.55999999999995"/>
    <s v="Pending"/>
    <x v="1"/>
    <s v="Unique"/>
    <m/>
    <s v="Clean"/>
    <s v="valid"/>
    <n v="0.05"/>
    <n v="1623.018"/>
    <n v="545.55799999999999"/>
    <n v="0.3361379849145234"/>
    <x v="10"/>
    <n v="2025"/>
    <s v="Warning"/>
  </r>
  <r>
    <x v="112"/>
    <s v="10 Jan 2024"/>
    <s v="14-01-2024"/>
    <s v="14-Jan-2024"/>
    <s v="10-Jan-2024"/>
    <n v="4"/>
    <s v="CUST-5213"/>
    <s v="Sneha Kapoor"/>
    <x v="0"/>
    <x v="4"/>
    <s v="Gujarat"/>
    <s v="Ahmedabad"/>
    <x v="2"/>
    <x v="5"/>
    <s v="Max Accessories 451"/>
    <x v="3"/>
    <n v="3"/>
    <n v="3829.48"/>
    <n v="0.05"/>
    <n v="10914.02"/>
    <n v="6548.74"/>
    <n v="4365.28"/>
    <s v="Paid"/>
    <x v="0"/>
    <s v="Unique"/>
    <m/>
    <s v="Clean"/>
    <s v="valid"/>
    <n v="0.05"/>
    <n v="10914.018"/>
    <n v="4365.2780000000002"/>
    <n v="0.39996983695647198"/>
    <x v="8"/>
    <n v="2024"/>
    <s v="Clean"/>
  </r>
  <r>
    <x v="113"/>
    <s v="12-02-2024"/>
    <s v="12-02-2024"/>
    <s v="12-Feb-2024"/>
    <s v="12-Feb-2024"/>
    <n v="0"/>
    <s v="CUST-4989"/>
    <s v="Isha Nair"/>
    <x v="3"/>
    <x v="2"/>
    <s v="Tamil Nadu"/>
    <s v="Chennai"/>
    <x v="1"/>
    <x v="1"/>
    <s v="Classic Tables 752"/>
    <x v="3"/>
    <n v="3"/>
    <n v="1089.1500000000001"/>
    <n v="0.25"/>
    <n v="2450.59"/>
    <n v="1639.89"/>
    <n v="810.7"/>
    <s v="Paid"/>
    <x v="0"/>
    <s v="Unique"/>
    <m/>
    <s v="Clean"/>
    <s v="valid"/>
    <n v="0.25"/>
    <n v="2450.5875000000001"/>
    <n v="810.69749999999999"/>
    <n v="0.33081761006289306"/>
    <x v="5"/>
    <n v="2024"/>
    <s v="Clean"/>
  </r>
  <r>
    <x v="114"/>
    <s v="2024-09-25"/>
    <s v="30 Sep 2024"/>
    <s v="30-Sep-2024"/>
    <s v="25-Sep-2024"/>
    <n v="5"/>
    <s v="CUST-2927"/>
    <s v="Neha Gupta"/>
    <x v="1"/>
    <x v="0"/>
    <s v="Rajasthan"/>
    <s v="Jaipur"/>
    <x v="2"/>
    <x v="5"/>
    <s v="Eco Accessories 452"/>
    <x v="0"/>
    <n v="1"/>
    <n v="4388.3999999999996"/>
    <n v="0.1"/>
    <n v="3949.56"/>
    <n v="3186.73"/>
    <n v="762.83"/>
    <s v="Pending"/>
    <x v="1"/>
    <s v="Unique"/>
    <m/>
    <s v="Clean"/>
    <s v="valid"/>
    <n v="0.1"/>
    <n v="3949.56"/>
    <n v="762.82999999999993"/>
    <n v="0.19314303365438173"/>
    <x v="6"/>
    <n v="2024"/>
    <s v="Warning"/>
  </r>
  <r>
    <x v="115"/>
    <s v="2024-12-27"/>
    <s v="01-01-2025"/>
    <s v="01-Jan-2025"/>
    <s v="27-Dec-2024"/>
    <n v="5"/>
    <s v="CUST-7764"/>
    <s v="Kabir Singh"/>
    <x v="2"/>
    <x v="2"/>
    <s v="Tamil Nadu"/>
    <s v="Chennai"/>
    <x v="0"/>
    <x v="9"/>
    <s v="Classic Binders 203"/>
    <x v="1"/>
    <n v="2"/>
    <n v="446.34"/>
    <n v="0.15"/>
    <n v="758.78"/>
    <n v="490.74"/>
    <n v="268.04000000000002"/>
    <s v="Paid"/>
    <x v="1"/>
    <s v="Unique"/>
    <m/>
    <s v="Clean"/>
    <s v="valid"/>
    <n v="0.15"/>
    <n v="758.77799999999991"/>
    <n v="268.0379999999999"/>
    <n v="0.35324956706704719"/>
    <x v="7"/>
    <n v="2024"/>
    <s v="Warning"/>
  </r>
  <r>
    <x v="116"/>
    <s v="2025-02-15"/>
    <s v="19 Feb 2025"/>
    <s v="19-Feb-2025"/>
    <s v="15-Feb-2025"/>
    <n v="4"/>
    <s v="CUST-3632"/>
    <s v="Ananya Rao"/>
    <x v="1"/>
    <x v="4"/>
    <s v="Madhya Pradesh"/>
    <s v="Indore"/>
    <x v="0"/>
    <x v="9"/>
    <s v="Basic Binders 859"/>
    <x v="2"/>
    <n v="9"/>
    <n v="531.99"/>
    <n v="0.25"/>
    <n v="3590.93"/>
    <n v="3061.39"/>
    <n v="529.54"/>
    <s v="Failed"/>
    <x v="1"/>
    <s v="Unique"/>
    <m/>
    <s v="Clean"/>
    <s v="valid"/>
    <n v="0.25"/>
    <n v="3590.9324999999999"/>
    <n v="529.54250000000002"/>
    <n v="0.14746657031286442"/>
    <x v="5"/>
    <n v="2025"/>
    <s v="Warning"/>
  </r>
  <r>
    <x v="117"/>
    <s v="2024-02-15"/>
    <s v="17 Feb 2024"/>
    <s v="17-Feb-2024"/>
    <s v="15-Feb-2024"/>
    <n v="2"/>
    <s v="CUST-9608"/>
    <s v="Mira Das"/>
    <x v="3"/>
    <x v="2"/>
    <s v="Tamil Nadu"/>
    <s v="Chennai"/>
    <x v="2"/>
    <x v="12"/>
    <s v="Elite Machines 705"/>
    <x v="3"/>
    <n v="9"/>
    <n v="3324.55"/>
    <s v="70%"/>
    <n v="25432.81"/>
    <n v="20370.16"/>
    <n v="5062.6499999999996"/>
    <s v="Paid"/>
    <x v="0"/>
    <s v="Unique"/>
    <m/>
    <s v="Invalid"/>
    <s v="valid"/>
    <n v="6.9999999999999993E-3"/>
    <n v="29711.503349999999"/>
    <n v="9341.3433499999992"/>
    <n v="0.31440157167274402"/>
    <x v="5"/>
    <n v="2024"/>
    <s v="Clean"/>
  </r>
  <r>
    <x v="118"/>
    <s v="06/10/2024"/>
    <s v="2024-06-18"/>
    <s v="18-Jun-2024"/>
    <s v="06-Oct-2024"/>
    <n v="-110"/>
    <s v="CUST-9135"/>
    <s v="Vikram  Iyer"/>
    <x v="3"/>
    <x v="2"/>
    <s v="Andhra Pradesh"/>
    <s v="Vijayawada"/>
    <x v="2"/>
    <x v="6"/>
    <s v="Pro Copiers 208"/>
    <x v="1"/>
    <n v="5"/>
    <n v="1580.27"/>
    <n v="0.2"/>
    <n v="6321.08"/>
    <n v="4407.22"/>
    <n v="1913.86"/>
    <s v="Paid"/>
    <x v="0"/>
    <s v="Unique"/>
    <m/>
    <s v="Clean"/>
    <s v="Invalid"/>
    <n v="0.2"/>
    <n v="6321.0800000000008"/>
    <n v="1913.8600000000006"/>
    <n v="0.30277420947053357"/>
    <x v="4"/>
    <n v="2024"/>
    <s v="Clean"/>
  </r>
  <r>
    <x v="119"/>
    <s v="12 Jun 2024"/>
    <s v="19 Jun 2024"/>
    <s v="19-Jun-2024"/>
    <s v="12-Jun-2024"/>
    <n v="7"/>
    <s v="CUST-7861"/>
    <s v="Aditi Sen"/>
    <x v="1"/>
    <x v="2"/>
    <s v="Kerala"/>
    <s v="Kochi"/>
    <x v="1"/>
    <x v="4"/>
    <s v="Elite Chairs 921"/>
    <x v="3"/>
    <n v="8"/>
    <n v="314.05"/>
    <n v="0.25"/>
    <n v="1884.3"/>
    <n v="1517.69"/>
    <n v="366.61"/>
    <s v="Refunded"/>
    <x v="2"/>
    <s v="Unique"/>
    <m/>
    <s v="Clean"/>
    <s v="valid"/>
    <n v="0.25"/>
    <n v="1884.3000000000002"/>
    <n v="366.61000000000013"/>
    <n v="0.19456031417502526"/>
    <x v="10"/>
    <n v="2024"/>
    <s v="Clean"/>
  </r>
  <r>
    <x v="120"/>
    <s v="2024-08-10"/>
    <s v="2024-08-18"/>
    <s v="18-Aug-2024"/>
    <s v="10-Aug-2024"/>
    <n v="8"/>
    <s v="CUST-6096"/>
    <s v="Sneha Kapoor"/>
    <x v="1"/>
    <x v="1"/>
    <s v="Bihar"/>
    <s v="Patna"/>
    <x v="2"/>
    <x v="11"/>
    <s v="Prime Phones 540"/>
    <x v="3"/>
    <n v="1"/>
    <n v="1823.67"/>
    <n v="0.2"/>
    <n v="1458.94"/>
    <n v="893.2"/>
    <n v="565.74"/>
    <s v="Paid"/>
    <x v="2"/>
    <s v="Unique"/>
    <m/>
    <s v="Clean"/>
    <s v="valid"/>
    <n v="0.2"/>
    <n v="1458.9360000000001"/>
    <n v="565.7360000000001"/>
    <n v="0.38777300717783375"/>
    <x v="1"/>
    <n v="2024"/>
    <s v="Clean"/>
  </r>
  <r>
    <x v="121"/>
    <s v="08/22/2025"/>
    <s v="08/26/2025"/>
    <s v="26-Aug-2025"/>
    <s v="22-Aug-2025"/>
    <n v="4"/>
    <s v="CUST-2044"/>
    <s v="Kabir Singh"/>
    <x v="1"/>
    <x v="2"/>
    <s v="Andhra Pradesh"/>
    <s v="Vijayawada"/>
    <x v="2"/>
    <x v="12"/>
    <s v="Max Machines 948"/>
    <x v="0"/>
    <n v="5"/>
    <n v="3482.92"/>
    <n v="0"/>
    <n v="17414.599999999999"/>
    <n v="11760.91"/>
    <n v="5653.69"/>
    <s v="Refunded"/>
    <x v="1"/>
    <s v="Unique"/>
    <m/>
    <s v="Clean"/>
    <s v="valid"/>
    <n v="0"/>
    <n v="17414.599999999999"/>
    <n v="5653.6899999999987"/>
    <n v="0.3246523032398102"/>
    <x v="1"/>
    <n v="2025"/>
    <s v="Warning"/>
  </r>
  <r>
    <x v="122"/>
    <s v="11/30/2024"/>
    <s v="04-12-2024"/>
    <s v="04-Dec-2024"/>
    <s v="30-Nov-2024"/>
    <n v="4"/>
    <s v="CUST-1721"/>
    <s v="Ananya Rao"/>
    <x v="1"/>
    <x v="1"/>
    <s v="Assam"/>
    <s v="Guwahati"/>
    <x v="1"/>
    <x v="4"/>
    <s v="Max Chairs 786"/>
    <x v="0"/>
    <n v="3"/>
    <n v="170.35"/>
    <n v="0"/>
    <n v="511.05"/>
    <n v="367.18"/>
    <n v="143.87"/>
    <s v="Paid"/>
    <x v="0"/>
    <s v="Unique"/>
    <m/>
    <s v="Clean"/>
    <s v="valid"/>
    <n v="0"/>
    <n v="511.04999999999995"/>
    <n v="143.86999999999995"/>
    <n v="0.28151844242246349"/>
    <x v="2"/>
    <n v="2024"/>
    <s v="Clean"/>
  </r>
  <r>
    <x v="123"/>
    <s v="05/24/2024"/>
    <s v="25 May 2024"/>
    <s v="25-May-2024"/>
    <s v="24-May-2024"/>
    <n v="1"/>
    <s v="CUST-1007"/>
    <s v="Sneha Kapoor"/>
    <x v="1"/>
    <x v="0"/>
    <s v="Punjab"/>
    <s v="Ludhiana"/>
    <x v="2"/>
    <x v="6"/>
    <s v="Max Copiers 970"/>
    <x v="1"/>
    <n v="1"/>
    <n v="634.13"/>
    <n v="0"/>
    <n v="634.13"/>
    <n v="453.35"/>
    <n v="180.78"/>
    <s v="Refunded"/>
    <x v="1"/>
    <s v="Duplicate Order ID"/>
    <s v="FLAG FOR REVIEW"/>
    <s v="Clean"/>
    <s v="valid"/>
    <n v="0"/>
    <n v="634.13"/>
    <n v="180.77999999999997"/>
    <n v="0.28508350022865969"/>
    <x v="3"/>
    <n v="2024"/>
    <s v="Warning"/>
  </r>
  <r>
    <x v="124"/>
    <s v="21 Jul 2024"/>
    <s v="07/24/2024"/>
    <s v="24-Jul-2024"/>
    <s v="21-Jul-2024"/>
    <n v="3"/>
    <s v="CUST-4450"/>
    <s v="Isha Nair"/>
    <x v="2"/>
    <x v="2"/>
    <s v="Karnataka"/>
    <s v="Bengaluru"/>
    <x v="2"/>
    <x v="6"/>
    <s v="Pro Copiers 769"/>
    <x v="3"/>
    <n v="9"/>
    <n v="465.06"/>
    <n v="-0.15"/>
    <n v="4185.54"/>
    <n v="3443.74"/>
    <n v="741.8"/>
    <s v="Paid"/>
    <x v="0"/>
    <s v="Unique"/>
    <m/>
    <s v="Invalid"/>
    <s v="valid"/>
    <n v="-0.15"/>
    <n v="4813.3709999999992"/>
    <n v="1369.6309999999994"/>
    <n v="0.28454715001191466"/>
    <x v="0"/>
    <n v="2024"/>
    <s v="Invalid"/>
  </r>
  <r>
    <x v="125"/>
    <s v="2025-07-17"/>
    <s v="18-07-2025"/>
    <s v="18-Jul-2025"/>
    <s v="17-Jul-2025"/>
    <n v="1"/>
    <s v="CUST-7924"/>
    <s v="Neha Gupta"/>
    <x v="1"/>
    <x v="3"/>
    <s v="Rajasthan"/>
    <s v="Udaipur"/>
    <x v="1"/>
    <x v="1"/>
    <s v="Basic Tables 753"/>
    <x v="1"/>
    <n v="6"/>
    <n v="3235.27"/>
    <n v="0.25"/>
    <n v="14558.72"/>
    <n v="9591.48"/>
    <n v="4967.24"/>
    <s v="Refunded"/>
    <x v="2"/>
    <s v="Unique"/>
    <m/>
    <s v="Clean"/>
    <s v="valid"/>
    <n v="0.25"/>
    <n v="14558.715"/>
    <n v="4967.2350000000006"/>
    <n v="0.34118636157105903"/>
    <x v="0"/>
    <n v="2025"/>
    <s v="Clean"/>
  </r>
  <r>
    <x v="126"/>
    <s v="24-09-2025"/>
    <s v="26 Sep 2025"/>
    <s v="26-Sep-2025"/>
    <s v="24-Sep-2025"/>
    <n v="2"/>
    <s v="CUST-1715"/>
    <s v="Priya Menon"/>
    <x v="2"/>
    <x v="0"/>
    <s v="Delhi"/>
    <s v="New Delhi"/>
    <x v="2"/>
    <x v="6"/>
    <s v="Prime Copiers 651"/>
    <x v="3"/>
    <n v="3"/>
    <n v="1593.86"/>
    <n v="0.1"/>
    <n v="4303.42"/>
    <n v="2568.5700000000002"/>
    <n v="1734.85"/>
    <s v="Paid"/>
    <x v="0"/>
    <s v="Unique"/>
    <m/>
    <s v="Clean"/>
    <s v="valid"/>
    <n v="0.1"/>
    <n v="4303.4220000000005"/>
    <n v="1734.8520000000003"/>
    <n v="0.40313313451481175"/>
    <x v="6"/>
    <n v="2025"/>
    <s v="Clean"/>
  </r>
  <r>
    <x v="127"/>
    <s v="01/30/2025"/>
    <s v="26-01-2025"/>
    <s v="26-Jan-2025"/>
    <s v="30-Jan-2025"/>
    <n v="-4"/>
    <s v="CUST-6802"/>
    <s v="Priya Menon"/>
    <x v="2"/>
    <x v="3"/>
    <s v="Madhya Pradesh"/>
    <s v="Indore"/>
    <x v="0"/>
    <x v="8"/>
    <s v="Basic Storage 321"/>
    <x v="0"/>
    <n v="2"/>
    <n v="3039.3"/>
    <n v="0.05"/>
    <n v="5774.67"/>
    <n v="3518.36"/>
    <n v="2256.31"/>
    <s v="Paid"/>
    <x v="0"/>
    <s v="Unique"/>
    <m/>
    <s v="Clean"/>
    <s v="Invalid"/>
    <n v="0.05"/>
    <n v="5774.67"/>
    <n v="2256.31"/>
    <n v="0.39072535746631409"/>
    <x v="8"/>
    <n v="2025"/>
    <s v="Clean"/>
  </r>
  <r>
    <x v="128"/>
    <s v="13 Dec 2024"/>
    <s v="16 Dec 2024"/>
    <s v="16-Dec-2024"/>
    <s v="13-Dec-2024"/>
    <n v="3"/>
    <s v="CUST-9328"/>
    <s v="Neha Gupta"/>
    <x v="1"/>
    <x v="1"/>
    <s v="Odisha"/>
    <s v="Bhubaneswar"/>
    <x v="1"/>
    <x v="3"/>
    <s v="Prime Furnishings 710"/>
    <x v="3"/>
    <n v="5"/>
    <n v="923.45"/>
    <n v="0.05"/>
    <n v="4386.3900000000003"/>
    <n v="3366.88"/>
    <n v="1019.51"/>
    <s v="Paid"/>
    <x v="2"/>
    <s v="Unique"/>
    <m/>
    <s v="Clean"/>
    <s v="valid"/>
    <n v="0.05"/>
    <n v="4386.3874999999998"/>
    <n v="1019.5074999999997"/>
    <n v="0.2324253158208206"/>
    <x v="7"/>
    <n v="2024"/>
    <s v="Clean"/>
  </r>
  <r>
    <x v="129"/>
    <s v="2024-07-19"/>
    <s v="25-07-2024"/>
    <s v="25-Jul-2024"/>
    <s v="19-Jul-2024"/>
    <n v="6"/>
    <s v="CUST-2588"/>
    <s v="Isha Nair"/>
    <x v="1"/>
    <x v="3"/>
    <s v="Goa"/>
    <s v="Panaji"/>
    <x v="0"/>
    <x v="9"/>
    <s v="Elite Binders 723"/>
    <x v="3"/>
    <n v="7"/>
    <n v="2741.29"/>
    <n v="0.05"/>
    <n v="18229.580000000002"/>
    <n v="15139.15"/>
    <n v="3090.43"/>
    <s v="Paid"/>
    <x v="0"/>
    <s v="Unique"/>
    <m/>
    <s v="Clean"/>
    <s v="valid"/>
    <n v="0.05"/>
    <n v="18229.5785"/>
    <n v="3090.4285"/>
    <n v="0.16952824773211295"/>
    <x v="0"/>
    <n v="2024"/>
    <s v="Clean"/>
  </r>
  <r>
    <x v="130"/>
    <s v="2024-01-27"/>
    <s v="02 Feb 2024"/>
    <s v="02-Feb-2024"/>
    <s v="27-Jan-2024"/>
    <n v="6"/>
    <s v="CUST-5435"/>
    <s v="Arjun Bose"/>
    <x v="0"/>
    <x v="3"/>
    <s v="Gujarat"/>
    <s v="Ahmedabad"/>
    <x v="0"/>
    <x v="7"/>
    <s v="Smart Labels 878"/>
    <x v="1"/>
    <n v="5"/>
    <n v="218.42"/>
    <n v="0.2"/>
    <n v="873.68"/>
    <n v="661.72"/>
    <n v="211.96"/>
    <s v="Pending"/>
    <x v="1"/>
    <s v="Unique"/>
    <m/>
    <s v="Clean"/>
    <s v="valid"/>
    <n v="0.2"/>
    <n v="873.68"/>
    <n v="211.95999999999992"/>
    <n v="0.24260598846259493"/>
    <x v="8"/>
    <n v="2024"/>
    <s v="Warning"/>
  </r>
  <r>
    <x v="131"/>
    <s v="09/29/2025"/>
    <s v="2025-10-04"/>
    <s v="04-Oct-2025"/>
    <s v="29-Sep-2025"/>
    <n v="5"/>
    <s v="CUST-7637"/>
    <s v="Ananya Rao"/>
    <x v="3"/>
    <x v="1"/>
    <s v="Jharkhand"/>
    <s v="Ranchi"/>
    <x v="0"/>
    <x v="0"/>
    <s v="Pro Paper 934"/>
    <x v="1"/>
    <n v="9"/>
    <n v="373.91"/>
    <n v="0.2"/>
    <n v="2692.15"/>
    <n v="2044.49"/>
    <n v="647.66"/>
    <s v="Paid"/>
    <x v="0"/>
    <s v="Unique"/>
    <m/>
    <s v="Clean"/>
    <s v="valid"/>
    <n v="0.2"/>
    <n v="2692.152"/>
    <n v="647.66200000000003"/>
    <n v="0.24057408348414205"/>
    <x v="6"/>
    <n v="2025"/>
    <s v="Clean"/>
  </r>
  <r>
    <x v="132"/>
    <s v="04 Nov 2024"/>
    <s v="04 Nov 2024"/>
    <s v="04-Nov-2024"/>
    <s v="04-Nov-2024"/>
    <n v="0"/>
    <s v="CUST-3602"/>
    <s v="Kabir Singh"/>
    <x v="2"/>
    <x v="1"/>
    <s v="Assam"/>
    <s v="Guwahati"/>
    <x v="2"/>
    <x v="12"/>
    <s v="Classic Machines 886"/>
    <x v="2"/>
    <n v="2"/>
    <n v="533.08000000000004"/>
    <n v="0"/>
    <n v="1066.1600000000001"/>
    <n v="656.3"/>
    <n v="409.86"/>
    <s v="Failed"/>
    <x v="1"/>
    <s v="Unique"/>
    <m/>
    <s v="Clean"/>
    <s v="valid"/>
    <n v="0"/>
    <n v="1066.1600000000001"/>
    <n v="409.86000000000013"/>
    <n v="0.38442635251744589"/>
    <x v="2"/>
    <n v="2024"/>
    <s v="Warning"/>
  </r>
  <r>
    <x v="133"/>
    <s v="2024-12-13"/>
    <s v="12/18/2024"/>
    <s v="18-Dec-2024"/>
    <s v="13-Dec-2024"/>
    <n v="5"/>
    <s v="CUST-9441"/>
    <s v="Karan Malhotra"/>
    <x v="0"/>
    <x v="3"/>
    <s v="Goa"/>
    <s v="Panaji"/>
    <x v="2"/>
    <x v="11"/>
    <s v="Prime Phones 419"/>
    <x v="0"/>
    <n v="8"/>
    <n v="3372.15"/>
    <n v="0.15"/>
    <n v="22930.62"/>
    <n v="16875.55"/>
    <n v="6055.07"/>
    <s v="Paid"/>
    <x v="0"/>
    <s v="Unique"/>
    <m/>
    <s v="Clean"/>
    <s v="valid"/>
    <n v="0.15"/>
    <n v="22930.62"/>
    <n v="6055.07"/>
    <n v="0.26406045715292475"/>
    <x v="7"/>
    <n v="2024"/>
    <s v="Clean"/>
  </r>
  <r>
    <x v="134"/>
    <s v="07/14/2025"/>
    <s v="2025-07-14"/>
    <s v="14-Jul-2025"/>
    <s v="14-Jul-2025"/>
    <n v="0"/>
    <s v="CUST-7361"/>
    <s v="Vikram Iyer"/>
    <x v="3"/>
    <x v="1"/>
    <s v="West Bengal"/>
    <s v="Kolkata"/>
    <x v="1"/>
    <x v="10"/>
    <s v="Elite Bookcases 266"/>
    <x v="4"/>
    <n v="5"/>
    <n v="383.1"/>
    <n v="0.25"/>
    <n v="1436.62"/>
    <n v="912.52"/>
    <n v="524.1"/>
    <s v="Pending"/>
    <x v="1"/>
    <s v="Unique"/>
    <m/>
    <s v="Clean"/>
    <s v="valid"/>
    <n v="0.25"/>
    <n v="1436.625"/>
    <n v="524.10500000000002"/>
    <n v="0.36481684503610895"/>
    <x v="0"/>
    <n v="2025"/>
    <s v="Warning"/>
  </r>
  <r>
    <x v="135"/>
    <s v="2025-08-24"/>
    <s v="2025-08-24"/>
    <s v="24-Aug-2025"/>
    <s v="24-Aug-2025"/>
    <n v="0"/>
    <s v="CUST-1148"/>
    <s v="Diya Patel"/>
    <x v="1"/>
    <x v="2"/>
    <s v="Kerala"/>
    <s v="Kochi"/>
    <x v="1"/>
    <x v="10"/>
    <s v="Prime Bookcases 954"/>
    <x v="3"/>
    <n v="1"/>
    <n v="3424.78"/>
    <n v="0"/>
    <n v="3424.78"/>
    <n v="1951.45"/>
    <n v="1473.33"/>
    <s v="Paid"/>
    <x v="0"/>
    <s v="Unique"/>
    <m/>
    <s v="Clean"/>
    <s v="valid"/>
    <n v="0"/>
    <n v="3424.78"/>
    <n v="1473.3300000000002"/>
    <n v="0.43019697615613267"/>
    <x v="1"/>
    <n v="2025"/>
    <s v="Clean"/>
  </r>
  <r>
    <x v="136"/>
    <s v="09-02-2025"/>
    <s v="15-02-2025"/>
    <s v="15-Feb-2025"/>
    <s v="09-Feb-2025"/>
    <n v="6"/>
    <s v="CUST-3350"/>
    <s v="Mira Das"/>
    <x v="3"/>
    <x v="1"/>
    <s v="Jharkhand"/>
    <s v="Ranchi"/>
    <x v="0"/>
    <x v="9"/>
    <s v="Max Binders 362"/>
    <x v="3"/>
    <n v="9"/>
    <n v="4330.33"/>
    <n v="0.2"/>
    <n v="31178.38"/>
    <n v="21421.09"/>
    <n v="9757.2900000000009"/>
    <s v="Paid"/>
    <x v="0"/>
    <s v="Unique"/>
    <m/>
    <s v="Clean"/>
    <s v="valid"/>
    <n v="0.2"/>
    <n v="31178.376000000004"/>
    <n v="9757.2860000000037"/>
    <n v="0.31295042435821552"/>
    <x v="5"/>
    <n v="2025"/>
    <s v="Clean"/>
  </r>
  <r>
    <x v="137"/>
    <s v="01/09/2025"/>
    <s v="2025-01-09"/>
    <s v="09-Jan-2025"/>
    <s v="01-Sep-2025"/>
    <n v="-235"/>
    <s v="CUST-7932"/>
    <s v="Sneha Kapoor"/>
    <x v="1"/>
    <x v="0"/>
    <s v="Rajasthan"/>
    <s v="Jaipur"/>
    <x v="1"/>
    <x v="4"/>
    <s v="Prime Chairs 261"/>
    <x v="1"/>
    <n v="8"/>
    <n v="2667.07"/>
    <n v="0.1"/>
    <n v="19202.900000000001"/>
    <n v="15526.62"/>
    <n v="3676.28"/>
    <s v="Paid"/>
    <x v="0"/>
    <s v="Unique"/>
    <m/>
    <s v="Clean"/>
    <s v="Invalid"/>
    <n v="0.1"/>
    <n v="19202.904000000002"/>
    <n v="3676.2840000000015"/>
    <n v="0.19144416906942829"/>
    <x v="6"/>
    <n v="2025"/>
    <s v="Clean"/>
  </r>
  <r>
    <x v="138"/>
    <s v="2024-01-20"/>
    <s v="26-01-2024"/>
    <s v="26-Jan-2024"/>
    <s v="20-Jan-2024"/>
    <n v="6"/>
    <s v="CUST-7173"/>
    <s v="Diya Patel"/>
    <x v="3"/>
    <x v="1"/>
    <s v="Jharkhand"/>
    <s v="Ranchi"/>
    <x v="2"/>
    <x v="12"/>
    <s v="Basic Machines 185"/>
    <x v="3"/>
    <n v="8"/>
    <n v="4003.05"/>
    <n v="0.25"/>
    <n v="24018.3"/>
    <n v="14070.78"/>
    <n v="9947.52"/>
    <s v="Paid"/>
    <x v="0"/>
    <s v="Unique"/>
    <m/>
    <s v="Clean"/>
    <s v="valid"/>
    <n v="0.25"/>
    <n v="24018.300000000003"/>
    <n v="9947.5200000000023"/>
    <n v="0.41416419979765434"/>
    <x v="8"/>
    <n v="2024"/>
    <s v="Clean"/>
  </r>
  <r>
    <x v="139"/>
    <s v="03/02/2025"/>
    <s v="07-03-2025"/>
    <s v="07-Mar-2025"/>
    <s v="03-Feb-2025"/>
    <n v="32"/>
    <s v="CUST-4225"/>
    <s v="Neha Gupta"/>
    <x v="3"/>
    <x v="2"/>
    <s v="Karnataka"/>
    <s v="Bengaluru"/>
    <x v="0"/>
    <x v="7"/>
    <s v="Basic Labels 509"/>
    <x v="3"/>
    <n v="8"/>
    <n v="1287.6300000000001"/>
    <n v="0"/>
    <n v="10301.040000000001"/>
    <n v="6564.06"/>
    <n v="3736.98"/>
    <s v="Paid"/>
    <x v="0"/>
    <s v="Unique"/>
    <m/>
    <s v="Clean"/>
    <s v="valid"/>
    <n v="0"/>
    <n v="10301.040000000001"/>
    <n v="3736.9800000000005"/>
    <n v="0.3627769623261341"/>
    <x v="5"/>
    <n v="2025"/>
    <s v="Clean"/>
  </r>
  <r>
    <x v="140"/>
    <s v="31-05-2024"/>
    <s v="01 Jun 2024"/>
    <s v="01-Jun-2024"/>
    <s v="31-May-2024"/>
    <n v="1"/>
    <s v="CUST-2149"/>
    <s v="Mira Das"/>
    <x v="2"/>
    <x v="2"/>
    <s v="Karnataka"/>
    <s v="Bengaluru"/>
    <x v="1"/>
    <x v="10"/>
    <s v="Elite Bookcases 696"/>
    <x v="1"/>
    <n v="3"/>
    <n v="2914.55"/>
    <n v="0"/>
    <n v="8743.65"/>
    <n v="6603.76"/>
    <n v="2139.89"/>
    <s v="Paid"/>
    <x v="0"/>
    <s v="Unique"/>
    <m/>
    <s v="Clean"/>
    <s v="valid"/>
    <n v="0"/>
    <n v="8743.6500000000015"/>
    <n v="2139.8900000000012"/>
    <n v="0.24473646589239059"/>
    <x v="3"/>
    <n v="2024"/>
    <s v="Clean"/>
  </r>
  <r>
    <x v="141"/>
    <s v="03/23/2024"/>
    <s v="2024-03-29"/>
    <s v="29-Mar-2024"/>
    <s v="23-Mar-2024"/>
    <n v="6"/>
    <s v="CUST-3314"/>
    <s v="Priya Menon"/>
    <x v="2"/>
    <x v="0"/>
    <s v="Delhi"/>
    <s v="New Delhi"/>
    <x v="1"/>
    <x v="10"/>
    <s v="Elite Bookcases 772"/>
    <x v="1"/>
    <n v="7"/>
    <n v="634.29"/>
    <n v="0.1"/>
    <n v="3996.03"/>
    <n v="2859.51"/>
    <n v="1136.52"/>
    <s v="Paid"/>
    <x v="2"/>
    <s v="Unique"/>
    <m/>
    <s v="Clean"/>
    <s v="valid"/>
    <n v="0.1"/>
    <n v="3996.027"/>
    <n v="1136.5169999999998"/>
    <n v="0.28441174196270441"/>
    <x v="9"/>
    <n v="2024"/>
    <s v="Clean"/>
  </r>
  <r>
    <x v="142"/>
    <s v="30 Mar 2024"/>
    <s v="26 Mar 2024"/>
    <s v="26-Mar-2024"/>
    <s v="30-Mar-2024"/>
    <n v="-4"/>
    <s v="CUST-8944"/>
    <s v="Aditi Sen"/>
    <x v="3"/>
    <x v="0"/>
    <s v="Rajasthan"/>
    <s v="Jaipur"/>
    <x v="2"/>
    <x v="11"/>
    <s v="Classic Phones 142"/>
    <x v="0"/>
    <n v="5"/>
    <n v="907.54"/>
    <n v="0.15"/>
    <n v="3857.04"/>
    <n v="2769.26"/>
    <n v="1087.78"/>
    <s v="Paid"/>
    <x v="0"/>
    <s v="Duplicate Order ID"/>
    <s v="FLAG FOR REVIEW"/>
    <s v="Clean"/>
    <s v="Invalid"/>
    <n v="0.15"/>
    <n v="3857.0449999999996"/>
    <n v="1087.7849999999994"/>
    <n v="0.28202548842442843"/>
    <x v="9"/>
    <n v="2024"/>
    <s v="Clean"/>
  </r>
  <r>
    <x v="143"/>
    <s v="03/24/2024"/>
    <s v="2024-03-26"/>
    <s v="26-Mar-2024"/>
    <s v="24-Mar-2024"/>
    <n v="2"/>
    <s v="CUST-3144"/>
    <s v="Priya Menon"/>
    <x v="0"/>
    <x v="3"/>
    <s v="Gujarat"/>
    <s v="Ahmedabad"/>
    <x v="0"/>
    <x v="0"/>
    <s v="Pro Paper 575"/>
    <x v="0"/>
    <n v="1"/>
    <n v="3409.5"/>
    <n v="0.1"/>
    <n v="3068.55"/>
    <n v="1916.16"/>
    <n v="1152.3900000000001"/>
    <s v="Paid"/>
    <x v="2"/>
    <s v="Unique"/>
    <m/>
    <s v="Clean"/>
    <s v="valid"/>
    <n v="0.1"/>
    <n v="3068.55"/>
    <n v="1152.3900000000001"/>
    <n v="0.3755487119323459"/>
    <x v="9"/>
    <n v="2024"/>
    <s v="Clean"/>
  </r>
  <r>
    <x v="144"/>
    <s v="07-06-2024"/>
    <s v="2024-06-15"/>
    <s v="15-Jun-2024"/>
    <s v="07-Jun-2024"/>
    <n v="8"/>
    <s v="CUST-6747"/>
    <s v="Kabir Singh"/>
    <x v="1"/>
    <x v="2"/>
    <s v="Telangana"/>
    <s v="Hyderabad"/>
    <x v="2"/>
    <x v="5"/>
    <s v="Elite Accessories 905"/>
    <x v="2"/>
    <n v="7"/>
    <n v="2147.9899999999998"/>
    <n v="0.25"/>
    <n v="11276.95"/>
    <n v="6908.76"/>
    <n v="4368.1899999999996"/>
    <s v="Refunded"/>
    <x v="2"/>
    <s v="Unique"/>
    <m/>
    <s v="Clean"/>
    <s v="valid"/>
    <n v="0.25"/>
    <n v="11276.947499999998"/>
    <n v="4368.1874999999982"/>
    <n v="0.38735548782150481"/>
    <x v="10"/>
    <n v="2024"/>
    <s v="Clean"/>
  </r>
  <r>
    <x v="145"/>
    <s v="11-04-2025"/>
    <s v="04/13/2025"/>
    <s v="13-Apr-2025"/>
    <s v="11-Apr-2025"/>
    <n v="2"/>
    <s v="CUST-6161"/>
    <s v="Mira Das"/>
    <x v="1"/>
    <x v="3"/>
    <s v="Goa"/>
    <s v="Panaji"/>
    <x v="0"/>
    <x v="0"/>
    <s v="Smart Paper 899"/>
    <x v="3"/>
    <n v="4"/>
    <n v="4182.1499999999996"/>
    <n v="0.1"/>
    <n v="15055.74"/>
    <n v="9808.83"/>
    <n v="5246.91"/>
    <s v="Paid"/>
    <x v="0"/>
    <s v="Unique"/>
    <m/>
    <s v="Clean"/>
    <s v="valid"/>
    <n v="0.1"/>
    <n v="15055.74"/>
    <n v="5246.91"/>
    <n v="0.34849897779850075"/>
    <x v="11"/>
    <n v="2025"/>
    <s v="Clean"/>
  </r>
  <r>
    <x v="146"/>
    <s v="30 Jul 2025"/>
    <s v="08/01/2025"/>
    <s v="08-Jan-2025"/>
    <s v="30-Jul-2025"/>
    <n v="-203"/>
    <s v="CUST-1460"/>
    <s v="Sneha Kapoor"/>
    <x v="1"/>
    <x v="2"/>
    <s v="Tamil Nadu"/>
    <s v="Chennai"/>
    <x v="0"/>
    <x v="8"/>
    <s v="Classic Storage 423"/>
    <x v="1"/>
    <n v="9"/>
    <n v="3165.43"/>
    <n v="0.1"/>
    <n v="25639.98"/>
    <n v="21635.08"/>
    <n v="4004.9"/>
    <s v="Paid"/>
    <x v="0"/>
    <s v="Unique"/>
    <m/>
    <s v="Clean"/>
    <s v="Invalid"/>
    <n v="0.1"/>
    <n v="25639.983"/>
    <n v="4004.9029999999984"/>
    <n v="0.1561975684617263"/>
    <x v="0"/>
    <n v="2025"/>
    <s v="Clean"/>
  </r>
  <r>
    <x v="147"/>
    <s v="23-12-2024"/>
    <s v="2024-12-30"/>
    <s v="30-Dec-2024"/>
    <s v="23-Dec-2024"/>
    <n v="7"/>
    <s v="CUST-2692"/>
    <s v="Priya Menon"/>
    <x v="3"/>
    <x v="3"/>
    <s v="Goa"/>
    <s v="Panaji"/>
    <x v="1"/>
    <x v="3"/>
    <s v="Classic Furnishings 743"/>
    <x v="2"/>
    <n v="8"/>
    <n v="386.1"/>
    <n v="0.1"/>
    <n v="2779.92"/>
    <n v="1744.05"/>
    <n v="1035.8699999999999"/>
    <s v="Paid"/>
    <x v="0"/>
    <s v="Unique"/>
    <m/>
    <s v="Clean"/>
    <s v="valid"/>
    <n v="0.1"/>
    <n v="2779.92"/>
    <n v="1035.8700000000001"/>
    <n v="0.37262583095916435"/>
    <x v="7"/>
    <n v="2024"/>
    <s v="Clean"/>
  </r>
  <r>
    <x v="148"/>
    <s v="09 Feb 2025"/>
    <s v="13-02-2025"/>
    <s v="13-Feb-2025"/>
    <s v="09-Feb-2025"/>
    <n v="4"/>
    <s v="CUST-2822"/>
    <s v="Mira Das"/>
    <x v="3"/>
    <x v="3"/>
    <s v="Madhya Pradesh"/>
    <s v="Indore"/>
    <x v="2"/>
    <x v="11"/>
    <s v="Smart Phones 336"/>
    <x v="4"/>
    <n v="8"/>
    <n v="1696.07"/>
    <n v="0.25"/>
    <n v="10176.42"/>
    <n v="7604.47"/>
    <n v="2571.9499999999998"/>
    <s v="Paid"/>
    <x v="0"/>
    <s v="Unique"/>
    <m/>
    <s v="Clean"/>
    <s v="valid"/>
    <n v="0.25"/>
    <n v="10176.42"/>
    <n v="2571.9499999999998"/>
    <n v="0.252736227474888"/>
    <x v="5"/>
    <n v="2025"/>
    <s v="Clean"/>
  </r>
  <r>
    <x v="149"/>
    <s v="30-01-2024"/>
    <s v="30-01-2024"/>
    <s v="30-Jan-2024"/>
    <s v="30-Jan-2024"/>
    <n v="0"/>
    <s v="CUST-5876"/>
    <s v="Aarav Sharma"/>
    <x v="1"/>
    <x v="3"/>
    <s v="Rajasthan"/>
    <s v="Udaipur"/>
    <x v="2"/>
    <x v="6"/>
    <s v="Eco Copiers 381"/>
    <x v="1"/>
    <n v="7"/>
    <n v="2527.61"/>
    <n v="0.25"/>
    <n v="13269.95"/>
    <n v="8977.1"/>
    <n v="4292.8500000000004"/>
    <s v="Paid"/>
    <x v="0"/>
    <s v="Unique"/>
    <m/>
    <s v="Clean"/>
    <s v="valid"/>
    <n v="0.25"/>
    <n v="13269.952499999999"/>
    <n v="4292.8524999999991"/>
    <n v="0.32350172315989822"/>
    <x v="8"/>
    <n v="2024"/>
    <s v="Clean"/>
  </r>
  <r>
    <x v="150"/>
    <s v="04-03-2024"/>
    <s v="2024-03-12"/>
    <s v="12-Mar-2024"/>
    <s v="04-Mar-2024"/>
    <n v="8"/>
    <s v="CUST-4661"/>
    <s v="Arjun Bose"/>
    <x v="0"/>
    <x v="4"/>
    <s v="Gujarat"/>
    <s v="Ahmedabad"/>
    <x v="1"/>
    <x v="10"/>
    <s v="Max Bookcases 595"/>
    <x v="2"/>
    <n v="1"/>
    <n v="1554.12"/>
    <n v="0.1"/>
    <n v="1398.71"/>
    <n v="1056.92"/>
    <n v="341.79"/>
    <s v="Paid"/>
    <x v="0"/>
    <s v="Unique"/>
    <m/>
    <s v="Clean"/>
    <s v="valid"/>
    <n v="0.1"/>
    <n v="1398.7079999999999"/>
    <n v="341.78799999999978"/>
    <n v="0.24435979489643286"/>
    <x v="9"/>
    <n v="2024"/>
    <s v="Clean"/>
  </r>
  <r>
    <x v="151"/>
    <s v="27 Jun 2024"/>
    <s v="06/27/2024"/>
    <s v="27-Jun-2024"/>
    <s v="27-Jun-2024"/>
    <n v="0"/>
    <s v="CUST-6011"/>
    <s v="Neha Gupta"/>
    <x v="3"/>
    <x v="4"/>
    <s v="Madhya Pradesh"/>
    <s v="Indore"/>
    <x v="2"/>
    <x v="6"/>
    <s v="Max Copiers 992"/>
    <x v="3"/>
    <n v="2"/>
    <n v="3859.11"/>
    <n v="0"/>
    <n v="7718.22"/>
    <n v="5355.93"/>
    <n v="2362.29"/>
    <s v="Pending"/>
    <x v="2"/>
    <s v="Unique"/>
    <m/>
    <s v="Clean"/>
    <s v="valid"/>
    <n v="0"/>
    <n v="7718.22"/>
    <n v="2362.29"/>
    <n v="0.30606668376905555"/>
    <x v="10"/>
    <n v="2024"/>
    <s v="Clean"/>
  </r>
  <r>
    <x v="152"/>
    <s v="14 Jun 2024"/>
    <s v="06/17/2024"/>
    <s v="17-Jun-2024"/>
    <s v="14-Jun-2024"/>
    <n v="3"/>
    <s v="CUST-6160"/>
    <s v="Kabir Singh"/>
    <x v="1"/>
    <x v="2"/>
    <s v="Kerala"/>
    <s v="Kochi"/>
    <x v="1"/>
    <x v="1"/>
    <s v="Pro Tables 407"/>
    <x v="0"/>
    <n v="6"/>
    <n v="1088.04"/>
    <n v="0.1"/>
    <n v="5875.42"/>
    <n v="4380.55"/>
    <n v="1494.87"/>
    <s v="Pending"/>
    <x v="2"/>
    <s v="Unique"/>
    <m/>
    <s v="Clean"/>
    <s v="valid"/>
    <n v="0.1"/>
    <n v="5875.4160000000002"/>
    <n v="1494.866"/>
    <n v="0.25442726098032886"/>
    <x v="10"/>
    <n v="2024"/>
    <s v="Clean"/>
  </r>
  <r>
    <x v="153"/>
    <s v="23 Sep 2025"/>
    <s v="2025-09-25"/>
    <s v="25-Sep-2025"/>
    <s v="23-Sep-2025"/>
    <n v="2"/>
    <s v="CUST-6971"/>
    <s v="Aditi Sen"/>
    <x v="0"/>
    <x v="1"/>
    <s v="Odisha"/>
    <s v="Bhubaneswar"/>
    <x v="0"/>
    <x v="7"/>
    <s v="Prime Labels 559"/>
    <x v="3"/>
    <n v="7"/>
    <n v="3280.31"/>
    <n v="0"/>
    <n v="22962.17"/>
    <n v="15716.5"/>
    <n v="7245.67"/>
    <s v="Refunded"/>
    <x v="2"/>
    <s v="Unique"/>
    <m/>
    <s v="Clean"/>
    <s v="valid"/>
    <n v="0"/>
    <n v="22962.17"/>
    <n v="7245.6699999999983"/>
    <n v="0.31554813852523517"/>
    <x v="6"/>
    <n v="2025"/>
    <s v="Clean"/>
  </r>
  <r>
    <x v="154"/>
    <s v="12 Feb 2024"/>
    <s v="02/11/2024"/>
    <s v="02-Nov-2024"/>
    <s v="12-Feb-2024"/>
    <n v="264"/>
    <s v="CUST-7764"/>
    <s v="Priya Menon"/>
    <x v="0"/>
    <x v="2"/>
    <s v="Tamil Nadu"/>
    <s v="Chennai"/>
    <x v="1"/>
    <x v="10"/>
    <s v="Classic Bookcases 847"/>
    <x v="1"/>
    <n v="1"/>
    <n v="2599.12"/>
    <n v="0.15"/>
    <n v="2209.25"/>
    <n v="1523.78"/>
    <n v="685.47"/>
    <s v="Paid"/>
    <x v="0"/>
    <s v="Unique"/>
    <m/>
    <s v="Clean"/>
    <s v="valid"/>
    <n v="0.15"/>
    <n v="2209.252"/>
    <n v="685.47199999999998"/>
    <n v="0.31027334138432372"/>
    <x v="5"/>
    <n v="2024"/>
    <s v="Clean"/>
  </r>
  <r>
    <x v="155"/>
    <s v="01/26/2025"/>
    <s v="03 Feb 2025"/>
    <s v="03-Feb-2025"/>
    <s v="26-Jan-2025"/>
    <n v="8"/>
    <s v="CUST-8327"/>
    <s v="Karan Malhotra"/>
    <x v="2"/>
    <x v="3"/>
    <s v="Rajasthan"/>
    <s v="Udaipur"/>
    <x v="1"/>
    <x v="3"/>
    <s v="Classic Furnishings 655"/>
    <x v="1"/>
    <n v="3"/>
    <n v="2859.32"/>
    <n v="0.1"/>
    <n v="7720.16"/>
    <n v="5881"/>
    <n v="1839.16"/>
    <s v="Refunded"/>
    <x v="2"/>
    <s v="Unique"/>
    <m/>
    <s v="Clean"/>
    <s v="valid"/>
    <n v="0.1"/>
    <n v="7720.1640000000007"/>
    <n v="1839.1640000000007"/>
    <n v="0.23822861794127695"/>
    <x v="8"/>
    <n v="2025"/>
    <s v="Clean"/>
  </r>
  <r>
    <x v="156"/>
    <s v="27-03-2025"/>
    <s v="27 Mar 2025"/>
    <s v="27-Mar-2025"/>
    <s v="27-Mar-2025"/>
    <n v="0"/>
    <s v="CUST-4058"/>
    <s v="Vikram Iyer"/>
    <x v="1"/>
    <x v="1"/>
    <s v="Bihar"/>
    <s v="Patna"/>
    <x v="2"/>
    <x v="12"/>
    <s v="Eco Machines 657"/>
    <x v="0"/>
    <n v="7"/>
    <n v="2305.37"/>
    <n v="0.25"/>
    <n v="12103.19"/>
    <n v="6717.87"/>
    <n v="5385.32"/>
    <s v="Paid"/>
    <x v="0"/>
    <s v="Unique"/>
    <m/>
    <s v="Clean"/>
    <s v="valid"/>
    <n v="0.25"/>
    <n v="12103.192500000001"/>
    <n v="5385.3225000000011"/>
    <n v="0.44495057812225997"/>
    <x v="9"/>
    <n v="2025"/>
    <s v="Clean"/>
  </r>
  <r>
    <x v="157"/>
    <s v="10/22/2024"/>
    <s v="24-10-2024"/>
    <s v="24-Oct-2024"/>
    <s v="22-Oct-2024"/>
    <n v="2"/>
    <s v="CUST-1142"/>
    <s v="Rohan Mehta"/>
    <x v="1"/>
    <x v="2"/>
    <s v="Andhra Pradesh"/>
    <s v="Vijayawada"/>
    <x v="1"/>
    <x v="10"/>
    <s v="Pro Bookcases 430"/>
    <x v="3"/>
    <n v="3"/>
    <n v="915.84"/>
    <n v="0.15"/>
    <n v="2335.39"/>
    <n v="1466.15"/>
    <n v="869.24"/>
    <s v="Paid"/>
    <x v="0"/>
    <s v="Unique"/>
    <m/>
    <s v="Clean"/>
    <s v="valid"/>
    <n v="0.15"/>
    <n v="2335.3919999999998"/>
    <n v="869.24199999999973"/>
    <n v="0.3722038955344541"/>
    <x v="4"/>
    <n v="2024"/>
    <s v="Clean"/>
  </r>
  <r>
    <x v="158"/>
    <s v="2024-09-09"/>
    <s v="09/11/2024"/>
    <s v="09-Nov-2024"/>
    <s v="09-Sep-2024"/>
    <n v="61"/>
    <s v="CUST-2324"/>
    <s v="Neha Gupta"/>
    <x v="3"/>
    <x v="2"/>
    <s v="Telangana"/>
    <s v="Hyderabad"/>
    <x v="1"/>
    <x v="10"/>
    <s v="Max Bookcases 881"/>
    <x v="2"/>
    <n v="1"/>
    <n v="4199.54"/>
    <n v="0.05"/>
    <n v="3989.56"/>
    <n v="2381.38"/>
    <n v="1608.18"/>
    <s v="Paid"/>
    <x v="0"/>
    <s v="Unique"/>
    <m/>
    <s v="Clean"/>
    <s v="valid"/>
    <n v="0.05"/>
    <n v="3989.5629999999996"/>
    <n v="1608.1829999999995"/>
    <n v="0.40309753223598666"/>
    <x v="6"/>
    <n v="2024"/>
    <s v="Clean"/>
  </r>
  <r>
    <x v="159"/>
    <s v="2025-01-30"/>
    <s v="04-02-2025"/>
    <s v="04-Feb-2025"/>
    <s v="30-Jan-2025"/>
    <n v="5"/>
    <s v="CUST-7717"/>
    <s v="Priya Menon"/>
    <x v="2"/>
    <x v="0"/>
    <s v="Haryana"/>
    <s v="Gurugram"/>
    <x v="1"/>
    <x v="4"/>
    <s v="Elite Chairs 998"/>
    <x v="1"/>
    <n v="9"/>
    <n v="4430.5"/>
    <n v="0.15"/>
    <n v="33893.32"/>
    <n v="25750.35"/>
    <n v="8142.97"/>
    <s v="Pending"/>
    <x v="1"/>
    <s v="Unique"/>
    <m/>
    <s v="Clean"/>
    <s v="valid"/>
    <n v="0.15"/>
    <n v="33893.324999999997"/>
    <n v="8142.9749999999985"/>
    <n v="0.24025305867748292"/>
    <x v="8"/>
    <n v="2025"/>
    <s v="Warning"/>
  </r>
  <r>
    <x v="160"/>
    <s v="08-10-2025"/>
    <s v="10/06/2025"/>
    <s v="10-Jun-2025"/>
    <s v="08-Oct-2025"/>
    <n v="-120"/>
    <s v="CUST-4932"/>
    <s v="Vikram Iyer"/>
    <x v="1"/>
    <x v="3"/>
    <s v="Maharashtra"/>
    <s v="Mumbai"/>
    <x v="0"/>
    <x v="0"/>
    <s v="Max Paper 113"/>
    <x v="0"/>
    <n v="4"/>
    <n v="1260.42"/>
    <n v="0.05"/>
    <n v="4789.6000000000004"/>
    <n v="4037.64"/>
    <n v="751.96"/>
    <s v="Pending"/>
    <x v="1"/>
    <s v="Unique"/>
    <m/>
    <s v="Clean"/>
    <s v="Invalid"/>
    <n v="0.05"/>
    <n v="4789.5960000000005"/>
    <n v="751.95600000000059"/>
    <n v="0.1569977927157114"/>
    <x v="4"/>
    <n v="2025"/>
    <s v="Warning"/>
  </r>
  <r>
    <x v="161"/>
    <s v="2025-07-24"/>
    <s v="30-07-2025"/>
    <s v="30-Jul-2025"/>
    <s v="24-Jul-2025"/>
    <n v="6"/>
    <s v="CUST-2367"/>
    <s v="Arjun Bose"/>
    <x v="0"/>
    <x v="3"/>
    <s v="Rajasthan"/>
    <s v="Udaipur"/>
    <x v="0"/>
    <x v="9"/>
    <s v="Smart Binders 267"/>
    <x v="3"/>
    <n v="1"/>
    <n v="1643.41"/>
    <n v="0"/>
    <n v="1643.41"/>
    <n v="907.4"/>
    <n v="736.01"/>
    <s v="Pending"/>
    <x v="1"/>
    <s v="Unique"/>
    <m/>
    <s v="Clean"/>
    <s v="valid"/>
    <n v="0"/>
    <n v="1643.41"/>
    <n v="736.0100000000001"/>
    <n v="0.44785537388722235"/>
    <x v="0"/>
    <n v="2025"/>
    <s v="Warning"/>
  </r>
  <r>
    <x v="162"/>
    <s v="2024-03-09"/>
    <s v="14 Mar 2024"/>
    <s v="14-Mar-2024"/>
    <s v="09-Mar-2024"/>
    <n v="5"/>
    <s v="CUST-4830"/>
    <s v="Neha Gupta"/>
    <x v="1"/>
    <x v="3"/>
    <s v="Goa"/>
    <s v="Panaji"/>
    <x v="1"/>
    <x v="3"/>
    <s v="Pro Furnishings 108"/>
    <x v="0"/>
    <n v="8"/>
    <n v="4472.84"/>
    <n v="0"/>
    <n v="35997.620000000003"/>
    <n v="26424.41"/>
    <n v="9358.31"/>
    <s v="Pending"/>
    <x v="2"/>
    <s v="Unique"/>
    <m/>
    <s v="Clean"/>
    <s v="valid"/>
    <n v="0"/>
    <n v="35782.720000000001"/>
    <n v="9358.3100000000013"/>
    <n v="0.2615315437171909"/>
    <x v="9"/>
    <n v="2024"/>
    <s v="Clean"/>
  </r>
  <r>
    <x v="163"/>
    <s v="09/21/2025"/>
    <s v="26 Sep 2025"/>
    <s v="26-Sep-2025"/>
    <s v="21-Sep-2025"/>
    <n v="5"/>
    <s v="CUST-2548"/>
    <s v="Rohan Mehta"/>
    <x v="3"/>
    <x v="3"/>
    <s v="Gujarat"/>
    <s v="Ahmedabad"/>
    <x v="1"/>
    <x v="1"/>
    <s v="Elite Tables 389"/>
    <x v="4"/>
    <n v="6"/>
    <n v="2903.58"/>
    <n v="0.1"/>
    <n v="15679.33"/>
    <n v="12477.82"/>
    <n v="3201.51"/>
    <s v="Pending"/>
    <x v="2"/>
    <s v="Unique"/>
    <m/>
    <s v="Clean"/>
    <s v="valid"/>
    <n v="0.1"/>
    <n v="15679.332"/>
    <n v="3201.5120000000006"/>
    <n v="0.20418675999717339"/>
    <x v="6"/>
    <n v="2025"/>
    <s v="Clean"/>
  </r>
  <r>
    <x v="164"/>
    <s v="09 Sep 2025"/>
    <s v="09/14/2025"/>
    <s v="14-Sep-2025"/>
    <s v="09-Sep-2025"/>
    <n v="5"/>
    <s v="CUST-3833"/>
    <s v="Rahul Verma"/>
    <x v="1"/>
    <x v="1"/>
    <s v="West Bengal"/>
    <s v="Kolkata"/>
    <x v="1"/>
    <x v="10"/>
    <s v="Pro Bookcases 595"/>
    <x v="0"/>
    <n v="1"/>
    <n v="3154.42"/>
    <n v="0.25"/>
    <n v="2365.8200000000002"/>
    <n v="1547.99"/>
    <n v="817.83"/>
    <s v="Paid"/>
    <x v="0"/>
    <s v="Unique"/>
    <m/>
    <s v="Clean"/>
    <s v="valid"/>
    <n v="0.25"/>
    <n v="2365.8150000000001"/>
    <n v="817.82500000000005"/>
    <n v="0.34568425679945392"/>
    <x v="6"/>
    <n v="2025"/>
    <s v="Clean"/>
  </r>
  <r>
    <x v="165"/>
    <s v="11/22/2024"/>
    <s v="29-11-2024"/>
    <s v="29-Nov-2024"/>
    <s v="22-Nov-2024"/>
    <n v="7"/>
    <s v="CUST-4598"/>
    <s v="Mira Das"/>
    <x v="3"/>
    <x v="1"/>
    <s v="Bihar"/>
    <s v="Patna"/>
    <x v="1"/>
    <x v="4"/>
    <s v="Max Chairs 148"/>
    <x v="3"/>
    <n v="4"/>
    <n v="3422.99"/>
    <n v="0.25"/>
    <n v="10268.969999999999"/>
    <n v="6470.92"/>
    <n v="3798.05"/>
    <s v="Paid"/>
    <x v="0"/>
    <s v="Unique"/>
    <m/>
    <s v="Clean"/>
    <s v="valid"/>
    <n v="0.25"/>
    <n v="10268.969999999999"/>
    <n v="3798.0499999999993"/>
    <n v="0.36985695741637181"/>
    <x v="2"/>
    <n v="2024"/>
    <s v="Clean"/>
  </r>
  <r>
    <x v="166"/>
    <s v="20-02-2025"/>
    <s v="26-02-2025"/>
    <s v="26-Feb-2025"/>
    <s v="20-Feb-2025"/>
    <n v="6"/>
    <s v="CUST-7215"/>
    <s v="Karan Malhotra"/>
    <x v="1"/>
    <x v="3"/>
    <s v="Gujarat"/>
    <s v="Ahmedabad"/>
    <x v="0"/>
    <x v="7"/>
    <s v="Basic Labels 671"/>
    <x v="2"/>
    <n v="1"/>
    <n v="2557.85"/>
    <n v="0.2"/>
    <n v="2046.28"/>
    <n v="1449.54"/>
    <n v="596.74"/>
    <s v="Paid"/>
    <x v="0"/>
    <s v="Unique"/>
    <m/>
    <s v="Clean"/>
    <s v="valid"/>
    <n v="0.2"/>
    <n v="2046.28"/>
    <n v="596.74"/>
    <n v="0.29162186992982386"/>
    <x v="5"/>
    <n v="2025"/>
    <s v="Clean"/>
  </r>
  <r>
    <x v="167"/>
    <s v="2025-08-18"/>
    <s v="08/18/2025"/>
    <s v="18-Aug-2025"/>
    <s v="18-Aug-2025"/>
    <n v="0"/>
    <s v="CUST-7770"/>
    <s v="Arjun Bose"/>
    <x v="3"/>
    <x v="2"/>
    <s v="Karnataka"/>
    <s v="Bengaluru"/>
    <x v="0"/>
    <x v="8"/>
    <s v="Elite Storage 628"/>
    <x v="2"/>
    <n v="9"/>
    <n v="3030.93"/>
    <n v="0.15"/>
    <n v="23186.61"/>
    <n v="17906.54"/>
    <n v="5280.07"/>
    <s v="Paid"/>
    <x v="2"/>
    <s v="Unique"/>
    <m/>
    <s v="Clean"/>
    <s v="valid"/>
    <n v="0.15"/>
    <n v="23186.6145"/>
    <n v="5280.0744999999988"/>
    <n v="0.22772080417345961"/>
    <x v="1"/>
    <n v="2025"/>
    <s v="Clean"/>
  </r>
  <r>
    <x v="168"/>
    <s v="01/20/2025"/>
    <s v="23 Jan 2025"/>
    <s v="23-Jan-2025"/>
    <s v="20-Jan-2025"/>
    <n v="3"/>
    <s v="CUST-9756"/>
    <s v="Kabir Singh"/>
    <x v="0"/>
    <x v="3"/>
    <s v="Maharashtra"/>
    <s v="Mumbai"/>
    <x v="2"/>
    <x v="5"/>
    <s v="Eco Accessories 590"/>
    <x v="1"/>
    <n v="5"/>
    <n v="639.27"/>
    <n v="0.2"/>
    <n v="2557.08"/>
    <n v="2025.69"/>
    <n v="531.39"/>
    <s v="Paid"/>
    <x v="1"/>
    <s v="Unique"/>
    <m/>
    <s v="Clean"/>
    <s v="valid"/>
    <n v="0.2"/>
    <n v="2557.08"/>
    <n v="531.38999999999987"/>
    <n v="0.2078112534609789"/>
    <x v="8"/>
    <n v="2025"/>
    <s v="Warning"/>
  </r>
  <r>
    <x v="169"/>
    <s v="2025-09-13"/>
    <s v="09/13/2025"/>
    <s v="13-Sep-2025"/>
    <s v="13-Sep-2025"/>
    <n v="0"/>
    <s v="CUST-2261"/>
    <s v="Diya Patel"/>
    <x v="0"/>
    <x v="1"/>
    <s v="Assam"/>
    <s v="Guwahati"/>
    <x v="0"/>
    <x v="2"/>
    <s v="Pro Art 734"/>
    <x v="3"/>
    <n v="8"/>
    <n v="733.9"/>
    <n v="0.05"/>
    <n v="5577.64"/>
    <n v="3541.29"/>
    <n v="2036.35"/>
    <s v="Pending"/>
    <x v="2"/>
    <s v="Unique"/>
    <m/>
    <s v="Clean"/>
    <s v="valid"/>
    <n v="0.05"/>
    <n v="5577.6399999999994"/>
    <n v="2036.3499999999995"/>
    <n v="0.36509168752375548"/>
    <x v="6"/>
    <n v="2025"/>
    <s v="Clean"/>
  </r>
  <r>
    <x v="170"/>
    <s v="07-09-2025"/>
    <s v="09/15/2025"/>
    <s v="15-Sep-2025"/>
    <s v="07-Sep-2025"/>
    <n v="8"/>
    <s v="CUST-3734"/>
    <s v="Rohan Mehta"/>
    <x v="2"/>
    <x v="1"/>
    <s v="Bihar"/>
    <s v="Patna"/>
    <x v="2"/>
    <x v="6"/>
    <s v="Eco Copiers 102"/>
    <x v="3"/>
    <n v="3"/>
    <n v="1711.32"/>
    <n v="0"/>
    <n v="5133.96"/>
    <n v="3930"/>
    <n v="1203.96"/>
    <s v="Paid"/>
    <x v="0"/>
    <s v="Duplicate Order ID"/>
    <s v="FLAG FOR REVIEW"/>
    <s v="Clean"/>
    <s v="valid"/>
    <n v="0"/>
    <n v="5133.96"/>
    <n v="1203.96"/>
    <n v="0.23450903396208775"/>
    <x v="6"/>
    <n v="2025"/>
    <s v="Clean"/>
  </r>
  <r>
    <x v="171"/>
    <s v="2025-02-23"/>
    <s v="02/25/2025"/>
    <s v="25-Feb-2025"/>
    <s v="23-Feb-2025"/>
    <n v="2"/>
    <s v="CUST-3436"/>
    <s v="Karan Malhotra"/>
    <x v="2"/>
    <x v="1"/>
    <s v="Bihar"/>
    <s v="Patna"/>
    <x v="0"/>
    <x v="7"/>
    <s v="Basic Labels 876"/>
    <x v="1"/>
    <n v="5"/>
    <n v="4246.2700000000004"/>
    <n v="0.25"/>
    <n v="15923.51"/>
    <n v="11291.8"/>
    <n v="4631.71"/>
    <s v="Paid"/>
    <x v="0"/>
    <s v="Unique"/>
    <m/>
    <s v="Clean"/>
    <s v="valid"/>
    <n v="0.25"/>
    <n v="15923.512500000001"/>
    <n v="4631.7125000000015"/>
    <n v="0.29087253832971849"/>
    <x v="5"/>
    <n v="2025"/>
    <s v="Clean"/>
  </r>
  <r>
    <x v="172"/>
    <s v="02-08-2025"/>
    <s v="10-08-2025"/>
    <s v="10-Aug-2025"/>
    <s v="02-Aug-2025"/>
    <n v="8"/>
    <s v="CUST-4845"/>
    <s v="Karan Malhotra"/>
    <x v="2"/>
    <x v="0"/>
    <s v="Delhi"/>
    <s v="New Delhi"/>
    <x v="1"/>
    <x v="3"/>
    <s v="Prime Furnishings 381"/>
    <x v="1"/>
    <n v="9"/>
    <n v="2962.62"/>
    <n v="0.1"/>
    <n v="23997.22"/>
    <n v="16134.63"/>
    <n v="7862.59"/>
    <s v="Refunded"/>
    <x v="2"/>
    <s v="Unique"/>
    <m/>
    <s v="Clean"/>
    <s v="valid"/>
    <n v="0.1"/>
    <n v="23997.221999999998"/>
    <n v="7862.5919999999987"/>
    <n v="0.32764592501582057"/>
    <x v="1"/>
    <n v="2025"/>
    <s v="Clean"/>
  </r>
  <r>
    <x v="173"/>
    <s v="02-05-2024"/>
    <s v="08 May 2024"/>
    <s v="08-May-2024"/>
    <s v="02-May-2024"/>
    <n v="6"/>
    <s v="CUST-6153"/>
    <s v="Priya Menon"/>
    <x v="3"/>
    <x v="0"/>
    <s v="Punjab"/>
    <s v="Ludhiana"/>
    <x v="2"/>
    <x v="6"/>
    <s v="Prime Copiers 440"/>
    <x v="0"/>
    <n v="1"/>
    <n v="2312.25"/>
    <n v="0.25"/>
    <n v="1734.19"/>
    <n v="1386.07"/>
    <n v="348.12"/>
    <s v="Paid"/>
    <x v="0"/>
    <s v="Unique"/>
    <m/>
    <s v="Clean"/>
    <s v="valid"/>
    <n v="0.25"/>
    <n v="1734.1875"/>
    <n v="348.11750000000006"/>
    <n v="0.20073809781237614"/>
    <x v="3"/>
    <n v="2024"/>
    <s v="Clean"/>
  </r>
  <r>
    <x v="174"/>
    <s v="28 Sep 2025"/>
    <s v="04-10-2025"/>
    <s v="04-Oct-2025"/>
    <s v="28-Sep-2025"/>
    <n v="6"/>
    <s v="CUST-5475"/>
    <s v="Karan Malhotra"/>
    <x v="1"/>
    <x v="2"/>
    <s v="Karnataka"/>
    <s v="Bengaluru"/>
    <x v="1"/>
    <x v="10"/>
    <s v="Pro Bookcases 319"/>
    <x v="2"/>
    <n v="6"/>
    <n v="1620.53"/>
    <n v="0.15"/>
    <n v="8264.7000000000007"/>
    <n v="4768.75"/>
    <n v="3495.95"/>
    <s v="Pending"/>
    <x v="2"/>
    <s v="Unique"/>
    <m/>
    <s v="Clean"/>
    <s v="valid"/>
    <n v="0.15"/>
    <n v="8264.7029999999995"/>
    <n v="3495.9529999999995"/>
    <n v="0.42299801940856191"/>
    <x v="6"/>
    <n v="2025"/>
    <s v="Clean"/>
  </r>
  <r>
    <x v="175"/>
    <s v="2024-01-27"/>
    <s v="2024-02-03"/>
    <s v="03-Feb-2024"/>
    <s v="27-Jan-2024"/>
    <n v="7"/>
    <s v="CUST-5580"/>
    <s v="Arjun Bose"/>
    <x v="1"/>
    <x v="1"/>
    <s v="Bihar"/>
    <s v="Patna"/>
    <x v="2"/>
    <x v="12"/>
    <s v="Basic Machines 584"/>
    <x v="1"/>
    <n v="7"/>
    <n v="2673.42"/>
    <n v="0.15"/>
    <n v="15906.85"/>
    <n v="11014.46"/>
    <n v="4892.3900000000003"/>
    <s v="Paid"/>
    <x v="2"/>
    <s v="Unique"/>
    <m/>
    <s v="Clean"/>
    <s v="valid"/>
    <n v="0.15"/>
    <n v="15906.849000000002"/>
    <n v="4892.3890000000029"/>
    <n v="0.30756493633654297"/>
    <x v="8"/>
    <n v="2024"/>
    <s v="Clean"/>
  </r>
  <r>
    <x v="176"/>
    <s v="18-03-2025"/>
    <s v="03/26/2025"/>
    <s v="26-Mar-2025"/>
    <s v="18-Mar-2025"/>
    <n v="8"/>
    <s v="CUST-3027"/>
    <s v="Vikram Iyer"/>
    <x v="2"/>
    <x v="1"/>
    <s v="Jharkhand"/>
    <s v="Ranchi"/>
    <x v="1"/>
    <x v="10"/>
    <s v="Pro Bookcases 612"/>
    <x v="3"/>
    <n v="8"/>
    <n v="3563.09"/>
    <n v="0.15"/>
    <n v="24229.01"/>
    <n v="13910.64"/>
    <n v="10318.370000000001"/>
    <s v="Paid"/>
    <x v="0"/>
    <s v="Unique"/>
    <m/>
    <s v="Clean"/>
    <s v="valid"/>
    <n v="0.15"/>
    <n v="24229.011999999999"/>
    <n v="10318.371999999999"/>
    <n v="0.42586845885420338"/>
    <x v="9"/>
    <n v="2025"/>
    <s v="Clean"/>
  </r>
  <r>
    <x v="177"/>
    <s v="01-06-2024"/>
    <s v="06/03/2024"/>
    <s v="06-Mar-2024"/>
    <s v="01-Jun-2024"/>
    <n v="-87"/>
    <s v="CUST-4399"/>
    <s v="Sneha Kapoor"/>
    <x v="3"/>
    <x v="4"/>
    <s v="Bihar"/>
    <s v="Patna"/>
    <x v="0"/>
    <x v="2"/>
    <s v="Classic Art 573"/>
    <x v="1"/>
    <n v="8"/>
    <n v="3879.95"/>
    <n v="0"/>
    <n v="31039.599999999999"/>
    <n v="20866.72"/>
    <n v="10172.879999999999"/>
    <s v="Paid"/>
    <x v="0"/>
    <s v="Unique"/>
    <m/>
    <s v="Clean"/>
    <s v="Invalid"/>
    <n v="0"/>
    <n v="31039.599999999999"/>
    <n v="10172.879999999997"/>
    <n v="0.32773875952009685"/>
    <x v="10"/>
    <n v="2024"/>
    <s v="Clean"/>
  </r>
  <r>
    <x v="178"/>
    <s v="30-09-2024"/>
    <s v="2024-09-30"/>
    <s v="30-Sep-2024"/>
    <s v="30-Sep-2024"/>
    <n v="0"/>
    <s v="CUST-3092"/>
    <s v="Isha Nair"/>
    <x v="2"/>
    <x v="2"/>
    <s v="Telangana"/>
    <s v="Hyderabad"/>
    <x v="0"/>
    <x v="2"/>
    <s v="Eco Art 854"/>
    <x v="3"/>
    <n v="4"/>
    <n v="3281.74"/>
    <n v="0"/>
    <n v="13126.96"/>
    <n v="10732.44"/>
    <n v="2394.52"/>
    <s v="Paid"/>
    <x v="0"/>
    <s v="Unique"/>
    <m/>
    <s v="Clean"/>
    <s v="valid"/>
    <n v="0"/>
    <n v="13126.96"/>
    <n v="2394.5199999999986"/>
    <n v="0.18241237879905162"/>
    <x v="6"/>
    <n v="2024"/>
    <s v="Clean"/>
  </r>
  <r>
    <x v="179"/>
    <s v="2024-03-15"/>
    <s v="03/19/2024"/>
    <s v="19-Mar-2024"/>
    <s v="15-Mar-2024"/>
    <n v="4"/>
    <s v="CUST-1778"/>
    <s v="Ananya Rao"/>
    <x v="1"/>
    <x v="2"/>
    <s v="Tamil Nadu"/>
    <s v="Chennai"/>
    <x v="1"/>
    <x v="3"/>
    <s v="Classic Furnishings 996"/>
    <x v="3"/>
    <n v="4"/>
    <n v="3186.3"/>
    <n v="0.25"/>
    <n v="9558.9"/>
    <n v="5516.76"/>
    <n v="4042.14"/>
    <s v="Refunded"/>
    <x v="2"/>
    <s v="Unique"/>
    <m/>
    <s v="Clean"/>
    <s v="valid"/>
    <n v="0.25"/>
    <n v="9558.9000000000015"/>
    <n v="4042.1400000000012"/>
    <n v="0.42286664783604816"/>
    <x v="9"/>
    <n v="2024"/>
    <s v="Clean"/>
  </r>
  <r>
    <x v="180"/>
    <s v="2024-08-26"/>
    <s v="26-08-2024"/>
    <s v="26-Aug-2024"/>
    <s v="26-Aug-2024"/>
    <n v="0"/>
    <s v="CUST-3787"/>
    <s v="Mira Das"/>
    <x v="3"/>
    <x v="0"/>
    <s v="Uttar Pradesh"/>
    <s v="Noida"/>
    <x v="0"/>
    <x v="9"/>
    <s v="Prime Binders 735"/>
    <x v="2"/>
    <n v="7"/>
    <n v="844.59"/>
    <n v="0.1"/>
    <n v="5320.92"/>
    <n v="3041.5"/>
    <n v="2279.42"/>
    <s v="Paid"/>
    <x v="0"/>
    <s v="Unique"/>
    <m/>
    <s v="Clean"/>
    <s v="valid"/>
    <n v="0.1"/>
    <n v="5320.9170000000004"/>
    <n v="2279.4170000000004"/>
    <n v="0.42838800154183954"/>
    <x v="1"/>
    <n v="2024"/>
    <s v="Clean"/>
  </r>
  <r>
    <x v="181"/>
    <s v="09/09/2025"/>
    <s v="10-09-2025"/>
    <s v="10-Sep-2025"/>
    <s v="09-Sep-2025"/>
    <n v="1"/>
    <s v="CUST-5119"/>
    <s v="Priya Menon"/>
    <x v="3"/>
    <x v="2"/>
    <s v="Tamil Nadu"/>
    <s v="Chennai"/>
    <x v="0"/>
    <x v="2"/>
    <s v="Pro Art 587"/>
    <x v="0"/>
    <n v="4"/>
    <n v="2551.4499999999998"/>
    <n v="0"/>
    <n v="10205.799999999999"/>
    <n v="5986.31"/>
    <n v="4219.49"/>
    <s v="Paid"/>
    <x v="0"/>
    <s v="Unique"/>
    <m/>
    <s v="Clean"/>
    <s v="valid"/>
    <n v="0"/>
    <n v="10205.799999999999"/>
    <n v="4219.4899999999989"/>
    <n v="0.41344039663720622"/>
    <x v="6"/>
    <n v="2025"/>
    <s v="Clean"/>
  </r>
  <r>
    <x v="182"/>
    <s v="16 Oct 2024"/>
    <s v="16 Oct 2024"/>
    <s v="16-Oct-2024"/>
    <s v="16-Oct-2024"/>
    <n v="0"/>
    <s v="CUST-4121"/>
    <s v="Ananya Rao"/>
    <x v="3"/>
    <x v="1"/>
    <s v="Bihar"/>
    <s v="Patna"/>
    <x v="2"/>
    <x v="12"/>
    <s v="Basic Machines 575"/>
    <x v="3"/>
    <n v="7"/>
    <n v="775.77"/>
    <n v="0"/>
    <n v="5430.39"/>
    <n v="3707.66"/>
    <n v="1722.73"/>
    <s v="Paid"/>
    <x v="0"/>
    <s v="Unique"/>
    <m/>
    <s v="Clean"/>
    <s v="valid"/>
    <n v="0"/>
    <n v="5430.3899999999994"/>
    <n v="1722.7299999999996"/>
    <n v="0.31723872502711586"/>
    <x v="4"/>
    <n v="2024"/>
    <s v="Clean"/>
  </r>
  <r>
    <x v="183"/>
    <s v="2025-06-24"/>
    <s v="27-06-2025"/>
    <s v="27-Jun-2025"/>
    <s v="24-Jun-2025"/>
    <n v="3"/>
    <s v="CUST-3366"/>
    <s v="Vikram Iyer"/>
    <x v="3"/>
    <x v="2"/>
    <s v="Telangana"/>
    <s v="Hyderabad"/>
    <x v="2"/>
    <x v="6"/>
    <s v="Elite Copiers 788"/>
    <x v="3"/>
    <n v="7"/>
    <n v="2304.86"/>
    <n v="0.2"/>
    <n v="12907.22"/>
    <n v="8327.89"/>
    <n v="4579.33"/>
    <s v="Paid"/>
    <x v="2"/>
    <s v="Unique"/>
    <m/>
    <s v="Clean"/>
    <s v="valid"/>
    <n v="0.2"/>
    <n v="12907.216"/>
    <n v="4579.3260000000009"/>
    <n v="0.3547880503433119"/>
    <x v="10"/>
    <n v="2025"/>
    <s v="Clean"/>
  </r>
  <r>
    <x v="184"/>
    <s v="2024-04-02"/>
    <s v="2024-04-06"/>
    <s v="06-Apr-2024"/>
    <s v="02-Apr-2024"/>
    <n v="4"/>
    <s v="CUST-1358"/>
    <s v="Vikram Iyer"/>
    <x v="2"/>
    <x v="3"/>
    <s v="Madhya Pradesh"/>
    <s v="Indore"/>
    <x v="1"/>
    <x v="10"/>
    <s v="Max Bookcases 472"/>
    <x v="3"/>
    <n v="2"/>
    <n v="888.98"/>
    <n v="0"/>
    <n v="1777.96"/>
    <n v="1021.16"/>
    <n v="756.8"/>
    <s v="Refunded"/>
    <x v="2"/>
    <s v="Unique"/>
    <m/>
    <s v="Clean"/>
    <s v="valid"/>
    <n v="0"/>
    <n v="1777.96"/>
    <n v="756.80000000000007"/>
    <n v="0.42565637022205227"/>
    <x v="11"/>
    <n v="2024"/>
    <s v="Clean"/>
  </r>
  <r>
    <x v="185"/>
    <s v="11/05/2024"/>
    <s v="2024-11-13"/>
    <s v="13-Nov-2024"/>
    <s v="11-May-2024"/>
    <n v="186"/>
    <s v="CUST-4968"/>
    <s v="Arjun Bose"/>
    <x v="0"/>
    <x v="4"/>
    <s v="Punjab"/>
    <s v="Ludhiana"/>
    <x v="0"/>
    <x v="7"/>
    <s v="Smart Labels 475"/>
    <x v="0"/>
    <n v="2"/>
    <n v="1003.17"/>
    <n v="0.2"/>
    <n v="1605.07"/>
    <n v="1337.28"/>
    <n v="267.79000000000002"/>
    <s v="Paid"/>
    <x v="0"/>
    <s v="Unique"/>
    <m/>
    <s v="Clean"/>
    <s v="valid"/>
    <n v="0.2"/>
    <n v="1605.0720000000001"/>
    <n v="267.79200000000014"/>
    <n v="0.16684111366966722"/>
    <x v="3"/>
    <n v="2024"/>
    <s v="Clean"/>
  </r>
  <r>
    <x v="186"/>
    <s v="19-07-2024"/>
    <s v="20 Jul 2024"/>
    <s v="20-Jul-2024"/>
    <s v="19-Jul-2024"/>
    <n v="1"/>
    <s v="CUST-2778"/>
    <s v="Vikram Iyer"/>
    <x v="0"/>
    <x v="2"/>
    <s v="Tamil Nadu"/>
    <s v="Chennai"/>
    <x v="1"/>
    <x v="1"/>
    <s v="Basic Tables 417"/>
    <x v="2"/>
    <n v="7"/>
    <n v="3608.43"/>
    <n v="0.05"/>
    <n v="23996.06"/>
    <n v="20167.28"/>
    <n v="3828.78"/>
    <s v="Paid"/>
    <x v="0"/>
    <s v="Unique"/>
    <m/>
    <s v="Clean"/>
    <s v="valid"/>
    <n v="0.05"/>
    <n v="23996.059499999996"/>
    <n v="3828.7794999999969"/>
    <n v="0.15955867670689838"/>
    <x v="0"/>
    <n v="2024"/>
    <s v="Clean"/>
  </r>
  <r>
    <x v="187"/>
    <s v="2025-05-01"/>
    <s v="02 May 2025"/>
    <s v="02-May-2025"/>
    <s v="01-May-2025"/>
    <n v="1"/>
    <s v="CUST-3109"/>
    <s v="Mira Das"/>
    <x v="0"/>
    <x v="3"/>
    <s v="Madhya Pradesh"/>
    <s v="Indore"/>
    <x v="1"/>
    <x v="4"/>
    <s v="Pro Chairs 844"/>
    <x v="1"/>
    <n v="3"/>
    <n v="2905.74"/>
    <n v="0"/>
    <n v="8717.2199999999993"/>
    <n v="6215.96"/>
    <n v="2501.2600000000002"/>
    <s v="Paid"/>
    <x v="2"/>
    <s v="Unique"/>
    <m/>
    <s v="Clean"/>
    <s v="valid"/>
    <n v="0"/>
    <n v="8717.2199999999993"/>
    <n v="2501.2599999999993"/>
    <n v="0.28693321953558582"/>
    <x v="3"/>
    <n v="2025"/>
    <s v="Clean"/>
  </r>
  <r>
    <x v="188"/>
    <s v="2025-05-21"/>
    <s v="28 May 2025"/>
    <s v="28-May-2025"/>
    <s v="21-May-2025"/>
    <n v="7"/>
    <s v="CUST-3422"/>
    <s v="Priya Menon"/>
    <x v="2"/>
    <x v="1"/>
    <s v="West Bengal"/>
    <s v="Kolkata"/>
    <x v="1"/>
    <x v="10"/>
    <s v="Elite Bookcases 883"/>
    <x v="1"/>
    <n v="2"/>
    <n v="3559.57"/>
    <n v="0.1"/>
    <n v="6553.95"/>
    <n v="4923.09"/>
    <n v="1484.14"/>
    <s v="Paid"/>
    <x v="0"/>
    <s v="Unique"/>
    <m/>
    <s v="Clean"/>
    <s v="valid"/>
    <n v="0.1"/>
    <n v="6407.2260000000006"/>
    <n v="1484.1360000000004"/>
    <n v="0.23163471992403581"/>
    <x v="3"/>
    <n v="2025"/>
    <s v="Clean"/>
  </r>
  <r>
    <x v="189"/>
    <s v="2025-05-06"/>
    <s v="07 May 2025"/>
    <s v="07-May-2025"/>
    <s v="06-May-2025"/>
    <n v="1"/>
    <s v="CUST-3375"/>
    <s v="Arjun Bose"/>
    <x v="0"/>
    <x v="3"/>
    <s v="Rajasthan"/>
    <s v="Udaipur"/>
    <x v="1"/>
    <x v="10"/>
    <s v="Basic Bookcases 754"/>
    <x v="2"/>
    <n v="9"/>
    <n v="3318.24"/>
    <n v="0"/>
    <n v="25384.54"/>
    <n v="16872.39"/>
    <n v="8512.15"/>
    <s v="Paid"/>
    <x v="0"/>
    <s v="Unique"/>
    <m/>
    <s v="Clean"/>
    <s v="valid"/>
    <n v="0"/>
    <n v="29864.159999999996"/>
    <n v="12991.769999999997"/>
    <n v="0.43502881045373448"/>
    <x v="3"/>
    <n v="2025"/>
    <s v="Clean"/>
  </r>
  <r>
    <x v="190"/>
    <s v="20-04-2025"/>
    <s v="04/21/2025"/>
    <s v="21-Apr-2025"/>
    <s v="20-Apr-2025"/>
    <n v="1"/>
    <s v="CUST-5138"/>
    <s v="Aditi Sen"/>
    <x v="0"/>
    <x v="2"/>
    <s v="Tamil Nadu"/>
    <s v="Chennai"/>
    <x v="0"/>
    <x v="8"/>
    <s v="Eco Storage 158"/>
    <x v="2"/>
    <n v="3"/>
    <n v="540.09"/>
    <n v="0.1"/>
    <n v="1458.24"/>
    <n v="943.32"/>
    <n v="514.91999999999996"/>
    <s v="Paid"/>
    <x v="0"/>
    <s v="Unique"/>
    <m/>
    <s v="Clean"/>
    <s v="valid"/>
    <n v="0.1"/>
    <n v="1458.2429999999999"/>
    <n v="514.92299999999989"/>
    <n v="0.35311192990468659"/>
    <x v="11"/>
    <n v="2025"/>
    <s v="Clean"/>
  </r>
  <r>
    <x v="191"/>
    <s v="19-10-2024"/>
    <s v="2024-10-24"/>
    <s v="24-Oct-2024"/>
    <s v="19-Oct-2024"/>
    <n v="5"/>
    <s v="CUST-7410"/>
    <s v="Sneha Kapoor"/>
    <x v="1"/>
    <x v="2"/>
    <s v="Tamil Nadu"/>
    <s v="Chennai"/>
    <x v="1"/>
    <x v="10"/>
    <s v="Prime Bookcases 602"/>
    <x v="0"/>
    <n v="6"/>
    <n v="4308.3999999999996"/>
    <n v="0.65"/>
    <n v="25850.400000000001"/>
    <n v="19397.68"/>
    <n v="6452.72"/>
    <s v="Paid"/>
    <x v="0"/>
    <s v="Unique"/>
    <m/>
    <s v="Invalid"/>
    <s v="valid"/>
    <n v="0.65"/>
    <n v="9047.64"/>
    <n v="-10350.040000000001"/>
    <n v="-1.1439491403283069"/>
    <x v="4"/>
    <n v="2024"/>
    <s v="Invalid"/>
  </r>
  <r>
    <x v="192"/>
    <s v="2024-12-09"/>
    <s v="12/16/2024"/>
    <s v="16-Dec-2024"/>
    <s v="09-Dec-2024"/>
    <n v="7"/>
    <s v="CUST-7115"/>
    <s v="Isha Nair"/>
    <x v="3"/>
    <x v="3"/>
    <s v="Gujarat"/>
    <s v="Ahmedabad"/>
    <x v="1"/>
    <x v="4"/>
    <s v="Eco Chairs 438"/>
    <x v="2"/>
    <n v="4"/>
    <n v="2191.0300000000002"/>
    <n v="0"/>
    <n v="8764.1200000000008"/>
    <n v="7220.05"/>
    <n v="1544.07"/>
    <s v="Paid"/>
    <x v="0"/>
    <s v="Unique"/>
    <m/>
    <s v="Clean"/>
    <s v="valid"/>
    <n v="0"/>
    <n v="8764.1200000000008"/>
    <n v="1544.0700000000006"/>
    <n v="0.17618083732308554"/>
    <x v="7"/>
    <n v="2024"/>
    <s v="Clean"/>
  </r>
  <r>
    <x v="193"/>
    <s v="2024-06-23"/>
    <s v="28-06-2024"/>
    <s v="28-Jun-2024"/>
    <s v="23-Jun-2024"/>
    <n v="5"/>
    <s v="CUST-9853"/>
    <s v="Priya Menon"/>
    <x v="1"/>
    <x v="0"/>
    <s v="Punjab"/>
    <s v="Ludhiana"/>
    <x v="2"/>
    <x v="6"/>
    <s v="Prime Copiers 142"/>
    <x v="1"/>
    <n v="6"/>
    <n v="1956.63"/>
    <n v="0.2"/>
    <n v="9391.82"/>
    <n v="6013.22"/>
    <n v="3378.6"/>
    <s v="Refunded"/>
    <x v="2"/>
    <s v="Unique"/>
    <m/>
    <s v="Clean"/>
    <s v="valid"/>
    <n v="0.2"/>
    <n v="9391.8240000000005"/>
    <n v="3378.6040000000003"/>
    <n v="0.35973885370935399"/>
    <x v="10"/>
    <n v="2024"/>
    <s v="Clean"/>
  </r>
  <r>
    <x v="194"/>
    <s v="2025-01-28"/>
    <s v="01/31/2025"/>
    <s v="31-Jan-2025"/>
    <s v="28-Jan-2025"/>
    <n v="3"/>
    <s v="CUST-3637"/>
    <s v="Priya Menon"/>
    <x v="0"/>
    <x v="3"/>
    <s v="Maharashtra"/>
    <s v="Mumbai"/>
    <x v="1"/>
    <x v="3"/>
    <s v="Prime Furnishings 433"/>
    <x v="2"/>
    <n v="9"/>
    <n v="858.39"/>
    <n v="0.05"/>
    <n v="7339.23"/>
    <n v="5434.12"/>
    <n v="1905.11"/>
    <s v="Pending"/>
    <x v="2"/>
    <s v="Unique"/>
    <m/>
    <s v="Clean"/>
    <s v="valid"/>
    <n v="0.05"/>
    <n v="7339.2344999999996"/>
    <n v="1905.1144999999997"/>
    <n v="0.25957945614082772"/>
    <x v="8"/>
    <n v="2025"/>
    <s v="Clean"/>
  </r>
  <r>
    <x v="195"/>
    <s v="22 Jul 2025"/>
    <s v="07/24/2025"/>
    <s v="24-Jul-2025"/>
    <s v="22-Jul-2025"/>
    <n v="2"/>
    <s v="CUST-4328"/>
    <s v="Neha Gupta"/>
    <x v="3"/>
    <x v="2"/>
    <s v="Andhra Pradesh"/>
    <s v="Vijayawada"/>
    <x v="1"/>
    <x v="3"/>
    <s v="Smart Furnishings 685"/>
    <x v="1"/>
    <n v="5"/>
    <n v="1922.83"/>
    <n v="0"/>
    <n v="9614.15"/>
    <n v="7576.84"/>
    <n v="2037.31"/>
    <s v="Paid"/>
    <x v="0"/>
    <s v="Unique"/>
    <m/>
    <s v="Clean"/>
    <s v="valid"/>
    <n v="0"/>
    <n v="9614.15"/>
    <n v="2037.3099999999995"/>
    <n v="0.21190744891644084"/>
    <x v="0"/>
    <n v="2025"/>
    <s v="Clean"/>
  </r>
  <r>
    <x v="196"/>
    <s v="22-01-2024"/>
    <s v="25 Jan 2024"/>
    <s v="25-Jan-2024"/>
    <s v="22-Jan-2024"/>
    <n v="3"/>
    <s v="CUST-8028"/>
    <s v="Kabir Singh"/>
    <x v="3"/>
    <x v="0"/>
    <s v="Uttar Pradesh"/>
    <s v="Noida"/>
    <x v="0"/>
    <x v="8"/>
    <s v="Elite Storage 915"/>
    <x v="2"/>
    <n v="3"/>
    <n v="1212.03"/>
    <n v="0.1"/>
    <n v="3272.48"/>
    <n v="2517.44"/>
    <n v="755.04"/>
    <s v="Paid"/>
    <x v="0"/>
    <s v="Unique"/>
    <m/>
    <s v="Clean"/>
    <s v="valid"/>
    <n v="0.1"/>
    <n v="3272.4810000000002"/>
    <n v="755.04100000000017"/>
    <n v="0.23072433422837293"/>
    <x v="8"/>
    <n v="2024"/>
    <s v="Clean"/>
  </r>
  <r>
    <x v="197"/>
    <s v="31 Mar 2025"/>
    <s v="07-04-2025"/>
    <s v="07-Apr-2025"/>
    <s v="31-Mar-2025"/>
    <n v="7"/>
    <s v="CUST-6106"/>
    <s v="Rahul Verma"/>
    <x v="1"/>
    <x v="1"/>
    <s v="Bihar"/>
    <s v="Patna"/>
    <x v="0"/>
    <x v="8"/>
    <s v="Basic Storage 961"/>
    <x v="0"/>
    <n v="5"/>
    <n v="4096.4399999999996"/>
    <n v="0.15"/>
    <n v="17409.87"/>
    <n v="14076.25"/>
    <n v="3333.62"/>
    <s v="Paid"/>
    <x v="0"/>
    <s v="Unique"/>
    <m/>
    <s v="Clean"/>
    <s v="valid"/>
    <n v="0.15"/>
    <n v="17409.869999999995"/>
    <n v="3333.6199999999953"/>
    <n v="0.19147874165631312"/>
    <x v="9"/>
    <n v="2025"/>
    <s v="Clean"/>
  </r>
  <r>
    <x v="198"/>
    <s v="05-06-2024"/>
    <s v="06/06/2024"/>
    <s v="06-Jun-2024"/>
    <s v="05-Jun-2024"/>
    <n v="1"/>
    <s v="CUST-7820"/>
    <s v="Sneha Kapoor"/>
    <x v="0"/>
    <x v="3"/>
    <s v="Gujarat"/>
    <s v="Ahmedabad"/>
    <x v="0"/>
    <x v="2"/>
    <s v="Classic Art 968"/>
    <x v="0"/>
    <n v="1"/>
    <n v="1184.58"/>
    <n v="0.05"/>
    <n v="1125.3499999999999"/>
    <n v="676.97"/>
    <n v="448.38"/>
    <s v="Failed"/>
    <x v="1"/>
    <s v="Unique"/>
    <m/>
    <s v="Clean"/>
    <s v="valid"/>
    <n v="0.05"/>
    <n v="1125.3509999999999"/>
    <n v="448.38099999999986"/>
    <n v="0.39843657667696558"/>
    <x v="10"/>
    <n v="2024"/>
    <s v="Warning"/>
  </r>
  <r>
    <x v="199"/>
    <s v="03/12/2024"/>
    <s v="12-03-2024"/>
    <s v="12-Mar-2024"/>
    <s v="03-Dec-2024"/>
    <n v="-266"/>
    <s v="CUST-4536"/>
    <s v="Rahul Verma"/>
    <x v="3"/>
    <x v="1"/>
    <s v="Bihar"/>
    <s v="Patna"/>
    <x v="2"/>
    <x v="12"/>
    <s v="Prime Machines 806"/>
    <x v="4"/>
    <n v="6"/>
    <n v="2185.58"/>
    <n v="0.25"/>
    <n v="9835.11"/>
    <n v="5437.64"/>
    <n v="4397.47"/>
    <s v="Paid"/>
    <x v="0"/>
    <s v="Unique"/>
    <m/>
    <s v="Clean"/>
    <s v="Invalid"/>
    <n v="0.25"/>
    <n v="9835.11"/>
    <n v="4397.47"/>
    <n v="0.44711955433136996"/>
    <x v="7"/>
    <n v="2024"/>
    <s v="Clean"/>
  </r>
  <r>
    <x v="200"/>
    <s v="27-06-2025"/>
    <s v="05 Jul 2025"/>
    <s v="05-Jul-2025"/>
    <s v="27-Jun-2025"/>
    <n v="8"/>
    <s v="CUST-7047"/>
    <s v="Priya Menon"/>
    <x v="1"/>
    <x v="0"/>
    <s v="Rajasthan"/>
    <s v="Jaipur"/>
    <x v="2"/>
    <x v="6"/>
    <s v="Classic Copiers 479"/>
    <x v="2"/>
    <n v="5"/>
    <n v="2868.44"/>
    <n v="0.1"/>
    <n v="12907.98"/>
    <n v="9197.08"/>
    <n v="3710.9"/>
    <s v="Pending"/>
    <x v="1"/>
    <s v="Unique"/>
    <m/>
    <s v="Clean"/>
    <s v="valid"/>
    <n v="0.1"/>
    <n v="12907.980000000001"/>
    <n v="3710.9000000000015"/>
    <n v="0.28748882474252369"/>
    <x v="10"/>
    <n v="2025"/>
    <s v="Warning"/>
  </r>
  <r>
    <x v="201"/>
    <s v="26-07-2025"/>
    <s v="08/03/2025"/>
    <s v="08-Mar-2025"/>
    <s v="26-Jul-2025"/>
    <n v="-140"/>
    <s v="CUST-8005"/>
    <s v="Vikram Iyer"/>
    <x v="0"/>
    <x v="3"/>
    <s v="Madhya Pradesh"/>
    <s v="Indore"/>
    <x v="0"/>
    <x v="7"/>
    <s v="Basic Labels 511"/>
    <x v="0"/>
    <n v="2"/>
    <n v="2503.5300000000002"/>
    <n v="-0.16"/>
    <n v="4756.71"/>
    <n v="2954.86"/>
    <n v="1801.85"/>
    <s v="Refunded"/>
    <x v="1"/>
    <s v="Unique"/>
    <m/>
    <s v="Invalid"/>
    <s v="Invalid"/>
    <n v="-0.16"/>
    <n v="5808.1895999999997"/>
    <n v="2853.3295999999996"/>
    <n v="0.49125972058487893"/>
    <x v="0"/>
    <n v="2025"/>
    <s v="Invalid"/>
  </r>
  <r>
    <x v="202"/>
    <s v="2025-03-28"/>
    <s v="28 Mar 2025"/>
    <s v="28-Mar-2025"/>
    <s v="28-Mar-2025"/>
    <n v="0"/>
    <s v="CUST-9378"/>
    <s v="Sneha Kapoor"/>
    <x v="2"/>
    <x v="3"/>
    <s v="Goa"/>
    <s v="Panaji"/>
    <x v="2"/>
    <x v="5"/>
    <s v="Prime Accessories 733"/>
    <x v="3"/>
    <n v="8"/>
    <n v="1740.94"/>
    <n v="0.05"/>
    <n v="13231.14"/>
    <n v="11290.06"/>
    <n v="1941.08"/>
    <s v="Paid"/>
    <x v="0"/>
    <s v="Unique"/>
    <m/>
    <s v="Clean"/>
    <s v="valid"/>
    <n v="0.05"/>
    <n v="13231.144"/>
    <n v="1941.0840000000007"/>
    <n v="0.14670568168557463"/>
    <x v="9"/>
    <n v="2025"/>
    <s v="Clean"/>
  </r>
  <r>
    <x v="203"/>
    <s v="28 Mar 2024"/>
    <s v="2024-03-30"/>
    <s v="30-Mar-2024"/>
    <s v="28-Mar-2024"/>
    <n v="2"/>
    <s v="CUST-3384"/>
    <s v="Sneha Kapoor"/>
    <x v="2"/>
    <x v="3"/>
    <s v="Rajasthan"/>
    <s v="Udaipur"/>
    <x v="2"/>
    <x v="5"/>
    <s v="Max Accessories 186"/>
    <x v="0"/>
    <n v="1"/>
    <n v="570.34"/>
    <n v="0.15"/>
    <n v="484.79"/>
    <n v="333.54"/>
    <n v="151.25"/>
    <s v="Paid"/>
    <x v="0"/>
    <s v="Unique"/>
    <m/>
    <s v="Clean"/>
    <s v="valid"/>
    <n v="0.15"/>
    <n v="484.78899999999999"/>
    <n v="151.24899999999997"/>
    <n v="0.3119893396921134"/>
    <x v="9"/>
    <n v="2024"/>
    <s v="Clean"/>
  </r>
  <r>
    <x v="204"/>
    <s v="20-07-2025"/>
    <s v="2025-07-23"/>
    <s v="23-Jul-2025"/>
    <s v="20-Jul-2025"/>
    <n v="3"/>
    <s v="CUST-1986"/>
    <s v="Mira Das"/>
    <x v="3"/>
    <x v="1"/>
    <s v="West Bengal"/>
    <s v="Kolkata"/>
    <x v="1"/>
    <x v="1"/>
    <s v="Elite Tables 318"/>
    <x v="0"/>
    <n v="4"/>
    <n v="477.69"/>
    <n v="0.15"/>
    <n v="1624.15"/>
    <n v="1217.99"/>
    <n v="406.16"/>
    <s v="Paid"/>
    <x v="0"/>
    <s v="Unique"/>
    <m/>
    <s v="Clean"/>
    <s v="valid"/>
    <n v="0.15"/>
    <n v="1624.146"/>
    <n v="406.15599999999995"/>
    <n v="0.25007357712914968"/>
    <x v="0"/>
    <n v="2025"/>
    <s v="Clean"/>
  </r>
  <r>
    <x v="205"/>
    <s v="21-04-2025"/>
    <s v="04/26/2025"/>
    <s v="26-Apr-2025"/>
    <s v="21-Apr-2025"/>
    <n v="5"/>
    <s v="CUST-3338"/>
    <s v="Ananya Rao"/>
    <x v="0"/>
    <x v="3"/>
    <s v="Maharashtra"/>
    <s v="Mumbai"/>
    <x v="0"/>
    <x v="7"/>
    <s v="Smart Labels 354"/>
    <x v="1"/>
    <n v="6"/>
    <n v="873.59"/>
    <n v="0.2"/>
    <n v="4193.2299999999996"/>
    <n v="3329.99"/>
    <n v="863.24"/>
    <s v="Paid"/>
    <x v="0"/>
    <s v="Unique"/>
    <m/>
    <s v="Clean"/>
    <s v="valid"/>
    <n v="0.2"/>
    <n v="4193.232"/>
    <n v="863.24200000000019"/>
    <n v="0.2058655471483572"/>
    <x v="11"/>
    <n v="2025"/>
    <s v="Clean"/>
  </r>
  <r>
    <x v="206"/>
    <s v="05/18/2025"/>
    <s v="20 May 2025"/>
    <s v="20-May-2025"/>
    <s v="18-May-2025"/>
    <n v="2"/>
    <s v="CUST-2343"/>
    <s v="Diya Patel"/>
    <x v="1"/>
    <x v="0"/>
    <s v="Uttar Pradesh"/>
    <s v="Noida"/>
    <x v="1"/>
    <x v="3"/>
    <s v="Pro Furnishings 981"/>
    <x v="2"/>
    <n v="2"/>
    <n v="215.13"/>
    <n v="0"/>
    <n v="430.26"/>
    <n v="286.38"/>
    <n v="143.88"/>
    <s v="Paid"/>
    <x v="0"/>
    <s v="Unique"/>
    <m/>
    <s v="Clean"/>
    <s v="valid"/>
    <n v="0"/>
    <n v="430.26"/>
    <n v="143.88"/>
    <n v="0.33440245432994004"/>
    <x v="3"/>
    <n v="2025"/>
    <s v="Clean"/>
  </r>
  <r>
    <x v="207"/>
    <s v="10 Jul 2024"/>
    <s v="2024-07-16"/>
    <s v="16-Jul-2024"/>
    <s v="10-Jul-2024"/>
    <n v="6"/>
    <s v="CUST-3362"/>
    <s v="Aarav Sharma"/>
    <x v="3"/>
    <x v="3"/>
    <s v="Goa"/>
    <s v="Panaji"/>
    <x v="1"/>
    <x v="10"/>
    <s v="Eco Bookcases 671"/>
    <x v="0"/>
    <n v="2"/>
    <n v="1095.45"/>
    <n v="0.2"/>
    <n v="1752.72"/>
    <n v="996.41"/>
    <n v="756.31"/>
    <s v="Paid"/>
    <x v="0"/>
    <s v="Unique"/>
    <m/>
    <s v="Clean"/>
    <s v="valid"/>
    <n v="0.2"/>
    <n v="1752.7200000000003"/>
    <n v="756.31000000000029"/>
    <n v="0.43150645853302305"/>
    <x v="0"/>
    <n v="2024"/>
    <s v="Clean"/>
  </r>
  <r>
    <x v="208"/>
    <s v="06/29/2025"/>
    <s v="05-07-2025"/>
    <s v="05-Jul-2025"/>
    <s v="29-Jun-2025"/>
    <n v="6"/>
    <s v="CUST-3662"/>
    <s v="Diya Patel"/>
    <x v="0"/>
    <x v="0"/>
    <s v="Punjab"/>
    <s v="Ludhiana"/>
    <x v="1"/>
    <x v="4"/>
    <s v="Max Chairs 151"/>
    <x v="1"/>
    <n v="1"/>
    <n v="999.83"/>
    <n v="0"/>
    <n v="999.83"/>
    <n v="634.91"/>
    <n v="364.92"/>
    <s v="Paid"/>
    <x v="0"/>
    <s v="Unique"/>
    <m/>
    <s v="Clean"/>
    <s v="valid"/>
    <n v="0"/>
    <n v="999.83"/>
    <n v="364.92000000000007"/>
    <n v="0.3649820469479812"/>
    <x v="10"/>
    <n v="2025"/>
    <s v="Clean"/>
  </r>
  <r>
    <x v="209"/>
    <s v="08/13/2025"/>
    <s v="08/14/2025"/>
    <s v="14-Aug-2025"/>
    <s v="13-Aug-2025"/>
    <n v="1"/>
    <s v="CUST-4947"/>
    <s v="Rohan Mehta"/>
    <x v="1"/>
    <x v="2"/>
    <s v="Andhra Pradesh"/>
    <s v="Vijayawada"/>
    <x v="0"/>
    <x v="0"/>
    <s v="Prime Paper 903"/>
    <x v="2"/>
    <n v="9"/>
    <n v="864.98"/>
    <n v="0.1"/>
    <n v="7006.34"/>
    <n v="4640.88"/>
    <n v="2365.46"/>
    <s v="Paid"/>
    <x v="0"/>
    <s v="Unique"/>
    <m/>
    <s v="Clean"/>
    <s v="valid"/>
    <n v="0.1"/>
    <n v="7006.3379999999997"/>
    <n v="2365.4579999999996"/>
    <n v="0.33761688345609359"/>
    <x v="1"/>
    <n v="2025"/>
    <s v="Clean"/>
  </r>
  <r>
    <x v="210"/>
    <s v="03/15/2024"/>
    <s v="18-03-2024"/>
    <s v="18-Mar-2024"/>
    <s v="15-Mar-2024"/>
    <n v="3"/>
    <s v="CUST-3076"/>
    <s v="Kabir Singh"/>
    <x v="3"/>
    <x v="2"/>
    <s v="Karnataka"/>
    <s v="Bengaluru"/>
    <x v="2"/>
    <x v="12"/>
    <s v="Classic Machines 944"/>
    <x v="0"/>
    <n v="1"/>
    <n v="4131.3599999999997"/>
    <n v="0"/>
    <n v="4131.3599999999997"/>
    <n v="2937.07"/>
    <n v="1194.29"/>
    <s v="Failed"/>
    <x v="2"/>
    <s v="Unique"/>
    <m/>
    <s v="Clean"/>
    <s v="valid"/>
    <n v="0"/>
    <n v="4131.3599999999997"/>
    <n v="1194.2899999999995"/>
    <n v="0.28907914100925591"/>
    <x v="9"/>
    <n v="2024"/>
    <s v="Warning"/>
  </r>
  <r>
    <x v="211"/>
    <s v="05/16/2024"/>
    <s v="05/17/2024"/>
    <s v="17-May-2024"/>
    <s v="16-May-2024"/>
    <n v="1"/>
    <s v="CUST-2222"/>
    <s v="Rohan Mehta"/>
    <x v="2"/>
    <x v="1"/>
    <s v="West Bengal"/>
    <s v="Kolkata"/>
    <x v="2"/>
    <x v="6"/>
    <s v="Basic Copiers 222"/>
    <x v="0"/>
    <n v="8"/>
    <n v="4221.95"/>
    <n v="0.2"/>
    <n v="27020.48"/>
    <n v="22885.24"/>
    <n v="4135.24"/>
    <s v="Paid"/>
    <x v="0"/>
    <s v="Unique"/>
    <m/>
    <s v="Clean"/>
    <s v="valid"/>
    <n v="0.2"/>
    <n v="27020.48"/>
    <n v="4135.239999999998"/>
    <n v="0.15304095264036752"/>
    <x v="3"/>
    <n v="2024"/>
    <s v="Clean"/>
  </r>
  <r>
    <x v="212"/>
    <s v="09/21/2024"/>
    <s v="2024-09-21"/>
    <s v="21-Sep-2024"/>
    <s v="21-Sep-2024"/>
    <n v="0"/>
    <s v="CUST-3610"/>
    <s v="Ananya Rao"/>
    <x v="1"/>
    <x v="1"/>
    <s v="Odisha"/>
    <s v="Bhubaneswar"/>
    <x v="2"/>
    <x v="11"/>
    <s v="Max Phones 329"/>
    <x v="1"/>
    <n v="2"/>
    <n v="214.5"/>
    <n v="0.15"/>
    <n v="364.65"/>
    <n v="280.74"/>
    <n v="83.91"/>
    <s v="Paid"/>
    <x v="0"/>
    <s v="Unique"/>
    <m/>
    <s v="Clean"/>
    <s v="valid"/>
    <n v="0.15"/>
    <n v="364.65"/>
    <n v="83.909999999999968"/>
    <n v="0.23011106540518297"/>
    <x v="6"/>
    <n v="2024"/>
    <s v="Clean"/>
  </r>
  <r>
    <x v="213"/>
    <s v="15 May 2024"/>
    <s v="21-05-2024"/>
    <s v="21-May-2024"/>
    <s v="15-May-2024"/>
    <n v="6"/>
    <s v="CUST-9136"/>
    <s v="Isha Nair"/>
    <x v="1"/>
    <x v="1"/>
    <s v="Bihar"/>
    <s v="Patna"/>
    <x v="2"/>
    <x v="5"/>
    <s v="Classic Accessories 840"/>
    <x v="0"/>
    <n v="4"/>
    <n v="4332.7299999999996"/>
    <n v="0.2"/>
    <n v="13864.74"/>
    <n v="11294.06"/>
    <n v="2570.6799999999998"/>
    <s v="Paid"/>
    <x v="0"/>
    <s v="Unique"/>
    <m/>
    <s v="Clean"/>
    <s v="valid"/>
    <n v="0.2"/>
    <n v="13864.735999999999"/>
    <n v="2570.6759999999995"/>
    <n v="0.18541110339208763"/>
    <x v="3"/>
    <n v="2024"/>
    <s v="Clean"/>
  </r>
  <r>
    <x v="214"/>
    <s v="17 Mar 2024"/>
    <s v="23-03-2024"/>
    <s v="23-Mar-2024"/>
    <s v="17-Mar-2024"/>
    <n v="6"/>
    <s v="CUST-1301"/>
    <s v="Rahul Verma"/>
    <x v="0"/>
    <x v="0"/>
    <s v="Haryana"/>
    <s v="Gurugram"/>
    <x v="2"/>
    <x v="5"/>
    <s v="Classic Accessories 757"/>
    <x v="2"/>
    <n v="3"/>
    <n v="248.18"/>
    <n v="0.05"/>
    <n v="707.31"/>
    <n v="569"/>
    <n v="138.31"/>
    <s v="Paid"/>
    <x v="0"/>
    <s v="Unique"/>
    <m/>
    <s v="Clean"/>
    <s v="valid"/>
    <n v="0.05"/>
    <n v="707.31299999999999"/>
    <n v="138.31299999999999"/>
    <n v="0.19554709159876885"/>
    <x v="9"/>
    <n v="2024"/>
    <s v="Clean"/>
  </r>
  <r>
    <x v="215"/>
    <s v="01-03-2024"/>
    <s v="2024-03-04"/>
    <s v="04-Mar-2024"/>
    <s v="01-Mar-2024"/>
    <n v="3"/>
    <s v="CUST-8603"/>
    <s v="Mira Das"/>
    <x v="0"/>
    <x v="3"/>
    <s v="Madhya Pradesh"/>
    <s v="Indore"/>
    <x v="0"/>
    <x v="0"/>
    <s v="Prime Paper 286"/>
    <x v="2"/>
    <n v="8"/>
    <n v="3202.4"/>
    <n v="0.25"/>
    <n v="19214.400000000001"/>
    <n v="10916.01"/>
    <n v="8298.39"/>
    <s v="Paid"/>
    <x v="0"/>
    <s v="Unique"/>
    <m/>
    <s v="Clean"/>
    <s v="valid"/>
    <n v="0.25"/>
    <n v="19214.400000000001"/>
    <n v="8298.3900000000012"/>
    <n v="0.43188389957531853"/>
    <x v="9"/>
    <n v="2024"/>
    <s v="Clean"/>
  </r>
  <r>
    <x v="216"/>
    <s v="04/10/2025"/>
    <s v="15 Apr 2025"/>
    <s v="15-Apr-2025"/>
    <s v="04-Oct-2025"/>
    <n v="-172"/>
    <s v="CUST-4330"/>
    <s v="Isha Nair"/>
    <x v="0"/>
    <x v="3"/>
    <s v="Gujarat"/>
    <s v="Ahmedabad"/>
    <x v="1"/>
    <x v="1"/>
    <s v="Basic Tables 400"/>
    <x v="3"/>
    <n v="8"/>
    <n v="1839.87"/>
    <n v="0.25"/>
    <n v="11039.22"/>
    <n v="7642.91"/>
    <n v="3396.31"/>
    <s v="Failed"/>
    <x v="2"/>
    <s v="Unique"/>
    <m/>
    <s v="Clean"/>
    <s v="Invalid"/>
    <n v="0.25"/>
    <n v="11039.22"/>
    <n v="3396.3099999999995"/>
    <n v="0.30765851210502188"/>
    <x v="4"/>
    <n v="2025"/>
    <s v="Warning"/>
  </r>
  <r>
    <x v="217"/>
    <s v="01-04-2025"/>
    <s v="04/08/2025"/>
    <s v="04-Aug-2025"/>
    <s v="01-Apr-2025"/>
    <n v="125"/>
    <s v="CUST-4533"/>
    <s v="Aditi Sen"/>
    <x v="0"/>
    <x v="1"/>
    <s v="Odisha"/>
    <s v="Bhubaneswar"/>
    <x v="1"/>
    <x v="10"/>
    <s v="Basic Bookcases 405"/>
    <x v="0"/>
    <n v="5"/>
    <n v="1021.28"/>
    <n v="0.1"/>
    <n v="4595.76"/>
    <n v="3396.8"/>
    <n v="1198.96"/>
    <s v="Refunded"/>
    <x v="1"/>
    <s v="Unique"/>
    <m/>
    <s v="Clean"/>
    <s v="valid"/>
    <n v="0.1"/>
    <n v="4595.76"/>
    <n v="1198.96"/>
    <n v="0.26088394520166414"/>
    <x v="11"/>
    <n v="2025"/>
    <s v="Warning"/>
  </r>
  <r>
    <x v="218"/>
    <s v="26 Feb 2025"/>
    <s v="27-02-2025"/>
    <s v="27-Feb-2025"/>
    <s v="26-Feb-2025"/>
    <n v="1"/>
    <s v="CUST-8270"/>
    <s v="Priya Menon"/>
    <x v="2"/>
    <x v="3"/>
    <s v="Gujarat"/>
    <s v="Ahmedabad"/>
    <x v="1"/>
    <x v="10"/>
    <s v="Classic Bookcases 139"/>
    <x v="3"/>
    <n v="5"/>
    <n v="258.27999999999997"/>
    <n v="0"/>
    <n v="1291.4000000000001"/>
    <n v="756.93"/>
    <n v="534.47"/>
    <s v="Paid"/>
    <x v="0"/>
    <s v="Unique"/>
    <m/>
    <s v="Clean"/>
    <s v="valid"/>
    <n v="0"/>
    <n v="1291.3999999999999"/>
    <n v="534.46999999999991"/>
    <n v="0.41386866966083319"/>
    <x v="5"/>
    <n v="2025"/>
    <s v="Clean"/>
  </r>
  <r>
    <x v="219"/>
    <s v="2024-06-18"/>
    <s v="06/19/2024"/>
    <s v="19-Jun-2024"/>
    <s v="18-Jun-2024"/>
    <n v="1"/>
    <s v="CUST-1472"/>
    <s v="Rahul Verma"/>
    <x v="0"/>
    <x v="1"/>
    <s v="Bihar"/>
    <s v="Patna"/>
    <x v="2"/>
    <x v="12"/>
    <s v="Elite Machines 290"/>
    <x v="2"/>
    <n v="2"/>
    <n v="121.49"/>
    <s v="85%"/>
    <n v="242.98"/>
    <n v="161.41999999999999"/>
    <n v="81.56"/>
    <s v="Paid"/>
    <x v="0"/>
    <s v="Unique"/>
    <m/>
    <s v="Invalid"/>
    <s v="valid"/>
    <n v="8.5000000000000006E-3"/>
    <n v="240.91467"/>
    <n v="79.494670000000013"/>
    <n v="0.32997023385915025"/>
    <x v="10"/>
    <n v="2024"/>
    <s v="Clean"/>
  </r>
  <r>
    <x v="220"/>
    <s v="09/03/2024"/>
    <s v="09/03/2024"/>
    <s v="09-Mar-2024"/>
    <s v="09-Mar-2024"/>
    <n v="0"/>
    <s v="CUST-1031"/>
    <s v="Sneha Kapoor"/>
    <x v="0"/>
    <x v="2"/>
    <s v="Kerala"/>
    <s v="Kochi"/>
    <x v="0"/>
    <x v="8"/>
    <s v="Elite Storage 925"/>
    <x v="2"/>
    <n v="4"/>
    <n v="2810.17"/>
    <n v="0.15"/>
    <n v="9554.58"/>
    <n v="6068.47"/>
    <n v="3486.11"/>
    <s v="Refunded"/>
    <x v="1"/>
    <s v="Unique"/>
    <m/>
    <s v="Clean"/>
    <s v="valid"/>
    <n v="0.15"/>
    <n v="9554.5779999999995"/>
    <n v="3486.1079999999993"/>
    <n v="0.36486258210462036"/>
    <x v="9"/>
    <n v="2024"/>
    <s v="Warning"/>
  </r>
  <r>
    <x v="221"/>
    <s v="12-01-2025"/>
    <s v="2025-01-15"/>
    <s v="15-Jan-2025"/>
    <s v="12-Jan-2025"/>
    <n v="3"/>
    <s v="CUST-2495"/>
    <s v="Mira Das"/>
    <x v="2"/>
    <x v="2"/>
    <s v="Karnataka"/>
    <s v="Bengaluru"/>
    <x v="1"/>
    <x v="4"/>
    <s v="Classic Chairs 231"/>
    <x v="1"/>
    <n v="4"/>
    <n v="1531.53"/>
    <n v="0.2"/>
    <n v="4900.8999999999996"/>
    <n v="3552.69"/>
    <n v="1348.21"/>
    <s v="Paid"/>
    <x v="0"/>
    <s v="Unique"/>
    <m/>
    <s v="Clean"/>
    <s v="valid"/>
    <n v="0.2"/>
    <n v="4900.8959999999997"/>
    <n v="1348.2059999999997"/>
    <n v="0.27509377877024932"/>
    <x v="8"/>
    <n v="2025"/>
    <s v="Clean"/>
  </r>
  <r>
    <x v="222"/>
    <s v="04/29/2025"/>
    <s v="02 May 2025"/>
    <s v="02-May-2025"/>
    <s v="29-Apr-2025"/>
    <n v="3"/>
    <s v="CUST-4583"/>
    <s v="Vikram Iyer"/>
    <x v="1"/>
    <x v="3"/>
    <s v="Goa"/>
    <s v="Panaji"/>
    <x v="0"/>
    <x v="8"/>
    <s v="Prime Storage 818"/>
    <x v="2"/>
    <n v="6"/>
    <n v="4308.09"/>
    <n v="0"/>
    <n v="25848.54"/>
    <n v="17729.09"/>
    <n v="8119.45"/>
    <s v="Paid"/>
    <x v="0"/>
    <s v="Unique"/>
    <m/>
    <s v="Clean"/>
    <s v="valid"/>
    <n v="0"/>
    <n v="25848.54"/>
    <n v="8119.4500000000007"/>
    <n v="0.31411638723115504"/>
    <x v="11"/>
    <n v="2025"/>
    <s v="Clean"/>
  </r>
  <r>
    <x v="223"/>
    <s v="19-02-2025"/>
    <s v="02/26/2025"/>
    <s v="26-Feb-2025"/>
    <s v="19-Feb-2025"/>
    <n v="7"/>
    <s v="CUST-5319"/>
    <s v="Mira Das"/>
    <x v="2"/>
    <x v="3"/>
    <s v="Maharashtra"/>
    <s v="Mumbai"/>
    <x v="1"/>
    <x v="3"/>
    <s v="Elite Furnishings 449"/>
    <x v="2"/>
    <n v="3"/>
    <n v="490.3"/>
    <n v="0.2"/>
    <n v="1176.72"/>
    <n v="654.33000000000004"/>
    <n v="522.39"/>
    <s v="Pending"/>
    <x v="2"/>
    <s v="Unique"/>
    <m/>
    <s v="Clean"/>
    <s v="valid"/>
    <n v="0.2"/>
    <n v="1176.72"/>
    <n v="522.39"/>
    <n v="0.44393738527432181"/>
    <x v="5"/>
    <n v="2025"/>
    <s v="Clean"/>
  </r>
  <r>
    <x v="224"/>
    <s v="10/02/2025"/>
    <s v="08 Oct 2025"/>
    <s v="08-Oct-2025"/>
    <s v="10-Feb-2025"/>
    <n v="240"/>
    <s v="CUST-9871"/>
    <s v="Isha Nair"/>
    <x v="1"/>
    <x v="0"/>
    <s v="Punjab"/>
    <s v="Ludhiana"/>
    <x v="1"/>
    <x v="3"/>
    <s v="Classic Furnishings 109"/>
    <x v="3"/>
    <n v="4"/>
    <n v="3944.64"/>
    <n v="0.25"/>
    <n v="11833.92"/>
    <n v="6682.92"/>
    <n v="5151"/>
    <s v="Paid"/>
    <x v="1"/>
    <s v="Duplicate Order ID"/>
    <s v="FLAG FOR REVIEW"/>
    <s v="Clean"/>
    <s v="valid"/>
    <n v="0.25"/>
    <n v="11833.92"/>
    <n v="5151"/>
    <n v="0.43527419485681834"/>
    <x v="5"/>
    <n v="2025"/>
    <s v="Warning"/>
  </r>
  <r>
    <x v="225"/>
    <s v="02 Sep 2024"/>
    <s v="2024-09-10"/>
    <s v="10-Sep-2024"/>
    <s v="02-Sep-2024"/>
    <n v="8"/>
    <s v="CUST-1266"/>
    <s v="Mira Das"/>
    <x v="2"/>
    <x v="3"/>
    <s v="Goa"/>
    <s v="Panaji"/>
    <x v="2"/>
    <x v="11"/>
    <s v="Classic Phones 548"/>
    <x v="3"/>
    <n v="6"/>
    <n v="1032.47"/>
    <n v="0.15"/>
    <n v="5265.6"/>
    <n v="4293.1099999999997"/>
    <n v="787.57"/>
    <s v="Paid"/>
    <x v="0"/>
    <s v="Unique"/>
    <m/>
    <s v="Clean"/>
    <s v="valid"/>
    <n v="0.15"/>
    <n v="5265.5969999999998"/>
    <n v="972.48700000000008"/>
    <n v="0.18468694053114967"/>
    <x v="6"/>
    <n v="2024"/>
    <s v="Clean"/>
  </r>
  <r>
    <x v="226"/>
    <s v="10-04-2025"/>
    <s v="15 Apr 2025"/>
    <s v="15-Apr-2025"/>
    <s v="10-Apr-2025"/>
    <n v="5"/>
    <s v="CUST-2545"/>
    <s v="Diya Patel"/>
    <x v="3"/>
    <x v="4"/>
    <s v="Kerala"/>
    <s v="Kochi"/>
    <x v="2"/>
    <x v="6"/>
    <s v="Max Copiers 363"/>
    <x v="1"/>
    <n v="1"/>
    <n v="2208.27"/>
    <n v="0.1"/>
    <n v="1987.44"/>
    <n v="1110.23"/>
    <n v="877.21"/>
    <s v="Paid"/>
    <x v="0"/>
    <s v="Unique"/>
    <m/>
    <s v="Clean"/>
    <s v="valid"/>
    <n v="0.1"/>
    <n v="1987.443"/>
    <n v="877.21299999999997"/>
    <n v="0.44137768982556985"/>
    <x v="11"/>
    <n v="2025"/>
    <s v="Clean"/>
  </r>
  <r>
    <x v="227"/>
    <s v="2024-07-05"/>
    <s v="12 Jul 2024"/>
    <s v="12-Jul-2024"/>
    <s v="05-Jul-2024"/>
    <n v="7"/>
    <s v="CUST-2819"/>
    <s v="Ananya Rao"/>
    <x v="1"/>
    <x v="3"/>
    <s v="Goa"/>
    <s v="Panaji"/>
    <x v="0"/>
    <x v="9"/>
    <s v="Prime Binders 507"/>
    <x v="2"/>
    <n v="3"/>
    <n v="577.75"/>
    <n v="0.15"/>
    <n v="1473.26"/>
    <n v="899.86"/>
    <n v="573.4"/>
    <s v="Paid"/>
    <x v="0"/>
    <s v="Unique"/>
    <m/>
    <s v="Clean"/>
    <s v="valid"/>
    <n v="0.15"/>
    <n v="1473.2625"/>
    <n v="573.40250000000003"/>
    <n v="0.38920592901808065"/>
    <x v="0"/>
    <n v="2024"/>
    <s v="Clean"/>
  </r>
  <r>
    <x v="228"/>
    <s v="24-04-2024"/>
    <s v="28 Apr 2024"/>
    <s v="28-Apr-2024"/>
    <s v="24-Apr-2024"/>
    <n v="4"/>
    <s v="CUST-1076"/>
    <s v="Karan Malhotra"/>
    <x v="1"/>
    <x v="2"/>
    <s v="Telangana"/>
    <s v="Hyderabad"/>
    <x v="0"/>
    <x v="7"/>
    <s v="Smart Labels 914"/>
    <x v="0"/>
    <n v="1"/>
    <n v="3194.37"/>
    <n v="0.15"/>
    <n v="2715.21"/>
    <n v="1551.55"/>
    <n v="1163.6600000000001"/>
    <s v="Paid"/>
    <x v="0"/>
    <s v="Unique"/>
    <m/>
    <s v="Clean"/>
    <s v="valid"/>
    <n v="0.15"/>
    <n v="2715.2145"/>
    <n v="1163.6645000000001"/>
    <n v="0.42857184948003191"/>
    <x v="11"/>
    <n v="2024"/>
    <s v="Clean"/>
  </r>
  <r>
    <x v="229"/>
    <s v="2025-06-28"/>
    <s v="07/04/2025"/>
    <s v="07-Apr-2025"/>
    <s v="28-Jun-2025"/>
    <n v="-82"/>
    <s v="CUST-1943"/>
    <s v="Rohan Mehta"/>
    <x v="0"/>
    <x v="2"/>
    <s v="Telangana"/>
    <s v="Hyderabad"/>
    <x v="1"/>
    <x v="10"/>
    <s v="Smart Bookcases 662"/>
    <x v="2"/>
    <n v="3"/>
    <n v="2886.23"/>
    <n v="0"/>
    <n v="8658.69"/>
    <n v="5535.94"/>
    <n v="3122.75"/>
    <s v="Refunded"/>
    <x v="2"/>
    <s v="Unique"/>
    <m/>
    <s v="Clean"/>
    <s v="Invalid"/>
    <n v="0"/>
    <n v="8658.69"/>
    <n v="3122.7500000000009"/>
    <n v="0.36064924370776652"/>
    <x v="10"/>
    <n v="2025"/>
    <s v="Clean"/>
  </r>
  <r>
    <x v="230"/>
    <s v="28-05-2024"/>
    <s v="03-06-2024"/>
    <s v="03-Jun-2024"/>
    <s v="28-May-2024"/>
    <n v="6"/>
    <s v="CUST-3434"/>
    <s v="Neha Gupta"/>
    <x v="1"/>
    <x v="0"/>
    <s v="Rajasthan"/>
    <s v="Jaipur"/>
    <x v="0"/>
    <x v="0"/>
    <s v="Eco Paper 937"/>
    <x v="3"/>
    <n v="8"/>
    <n v="1540.33"/>
    <n v="0.1"/>
    <n v="11090.38"/>
    <n v="8840.9500000000007"/>
    <n v="2249.4299999999998"/>
    <s v="Paid"/>
    <x v="0"/>
    <s v="Unique"/>
    <m/>
    <s v="Clean"/>
    <s v="valid"/>
    <n v="0.1"/>
    <n v="11090.376"/>
    <n v="2249.4259999999995"/>
    <n v="0.20282684734944958"/>
    <x v="3"/>
    <n v="2024"/>
    <s v="Clean"/>
  </r>
  <r>
    <x v="231"/>
    <s v="2024-05-02"/>
    <s v="05/02/2024"/>
    <s v="05-Feb-2024"/>
    <s v="02-May-2024"/>
    <n v="-87"/>
    <s v="CUST-9139"/>
    <s v="Ananya Rao"/>
    <x v="2"/>
    <x v="0"/>
    <s v="Rajasthan"/>
    <s v="Jaipur"/>
    <x v="0"/>
    <x v="7"/>
    <s v="Max Labels 370"/>
    <x v="2"/>
    <n v="7"/>
    <n v="2183.38"/>
    <n v="0.25"/>
    <n v="11462.74"/>
    <n v="7163.54"/>
    <n v="4299.2"/>
    <s v="Refunded"/>
    <x v="1"/>
    <s v="Unique"/>
    <m/>
    <s v="Clean"/>
    <s v="Invalid"/>
    <n v="0.25"/>
    <n v="11462.744999999999"/>
    <n v="4299.204999999999"/>
    <n v="0.37505894094302888"/>
    <x v="3"/>
    <n v="2024"/>
    <s v="Warning"/>
  </r>
  <r>
    <x v="232"/>
    <s v="2025-06-04"/>
    <s v="2025-06-10"/>
    <s v="10-Jun-2025"/>
    <s v="04-Jun-2025"/>
    <n v="6"/>
    <s v="CUST-5341"/>
    <s v="Rahul Verma"/>
    <x v="0"/>
    <x v="2"/>
    <s v="Andhra Pradesh"/>
    <s v="Vijayawada"/>
    <x v="2"/>
    <x v="11"/>
    <s v="Classic Phones 530"/>
    <x v="3"/>
    <n v="4"/>
    <n v="223.37"/>
    <n v="0.25"/>
    <n v="670.11"/>
    <n v="559.57000000000005"/>
    <n v="110.54"/>
    <s v="Paid"/>
    <x v="0"/>
    <s v="Unique"/>
    <m/>
    <s v="Clean"/>
    <s v="valid"/>
    <n v="0.25"/>
    <n v="670.11"/>
    <n v="110.53999999999996"/>
    <n v="0.16495799197146732"/>
    <x v="10"/>
    <n v="2025"/>
    <s v="Clean"/>
  </r>
  <r>
    <x v="233"/>
    <s v="14-10-2024"/>
    <s v="10/14/2024"/>
    <s v="14-Oct-2024"/>
    <s v="14-Oct-2024"/>
    <n v="0"/>
    <s v="CUST-3710"/>
    <s v="Vikram Iyer"/>
    <x v="2"/>
    <x v="2"/>
    <s v="Karnataka"/>
    <s v="Bengaluru"/>
    <x v="1"/>
    <x v="10"/>
    <s v="Smart Bookcases 328"/>
    <x v="4"/>
    <n v="8"/>
    <n v="3904.59"/>
    <n v="0"/>
    <n v="31236.720000000001"/>
    <n v="26377.7"/>
    <n v="4859.0200000000004"/>
    <s v="Paid"/>
    <x v="0"/>
    <s v="Unique"/>
    <m/>
    <s v="Clean"/>
    <s v="valid"/>
    <n v="0"/>
    <n v="31236.720000000001"/>
    <n v="4859.0200000000004"/>
    <n v="0.15555474454424154"/>
    <x v="4"/>
    <n v="2024"/>
    <s v="Clean"/>
  </r>
  <r>
    <x v="234"/>
    <s v="09/02/2024"/>
    <s v="03 Sep 2024"/>
    <s v="03-Sep-2024"/>
    <s v="09-Feb-2024"/>
    <n v="207"/>
    <s v="CUST-9754"/>
    <s v="Kabir Singh"/>
    <x v="3"/>
    <x v="0"/>
    <s v="Delhi"/>
    <s v="New Delhi"/>
    <x v="1"/>
    <x v="3"/>
    <s v="Eco Furnishings 981"/>
    <x v="2"/>
    <n v="9"/>
    <n v="1353.61"/>
    <n v="0.1"/>
    <n v="10964.24"/>
    <n v="9262.4699999999993"/>
    <n v="1701.77"/>
    <s v="Paid"/>
    <x v="0"/>
    <s v="Unique"/>
    <m/>
    <s v="Clean"/>
    <s v="valid"/>
    <n v="0.1"/>
    <n v="10964.241"/>
    <n v="1701.7710000000006"/>
    <n v="0.15521101734265058"/>
    <x v="5"/>
    <n v="2024"/>
    <s v="Clean"/>
  </r>
  <r>
    <x v="235"/>
    <s v="11/02/2024"/>
    <s v="11/03/2024"/>
    <s v="11-Mar-2024"/>
    <s v="11-Feb-2024"/>
    <n v="29"/>
    <s v="CUST-6256"/>
    <s v="Rahul Verma"/>
    <x v="1"/>
    <x v="3"/>
    <s v="Rajasthan"/>
    <s v="Udaipur"/>
    <x v="0"/>
    <x v="8"/>
    <s v="Basic Storage 195"/>
    <x v="3"/>
    <n v="6"/>
    <n v="2671.29"/>
    <n v="0.05"/>
    <n v="15226.35"/>
    <n v="11145.28"/>
    <n v="4081.07"/>
    <s v="Paid"/>
    <x v="0"/>
    <s v="Unique"/>
    <m/>
    <s v="Clean"/>
    <s v="valid"/>
    <n v="0.05"/>
    <n v="15226.352999999999"/>
    <n v="4081.0729999999985"/>
    <n v="0.26802695300706603"/>
    <x v="5"/>
    <n v="2024"/>
    <s v="Clean"/>
  </r>
  <r>
    <x v="236"/>
    <s v="10/14/2024"/>
    <s v="21 Oct 2024"/>
    <s v="21-Oct-2024"/>
    <s v="14-Oct-2024"/>
    <n v="7"/>
    <s v="CUST-7113"/>
    <s v="Priya Menon"/>
    <x v="2"/>
    <x v="0"/>
    <s v="Uttar Pradesh"/>
    <s v="Noida"/>
    <x v="1"/>
    <x v="10"/>
    <s v="Elite Bookcases 907"/>
    <x v="2"/>
    <n v="6"/>
    <n v="4062.78"/>
    <n v="0"/>
    <n v="24376.68"/>
    <n v="18533.39"/>
    <n v="5843.29"/>
    <s v="Paid"/>
    <x v="0"/>
    <s v="Unique"/>
    <m/>
    <s v="Clean"/>
    <s v="valid"/>
    <n v="0"/>
    <n v="24376.68"/>
    <n v="5843.2900000000009"/>
    <n v="0.23970819652224998"/>
    <x v="4"/>
    <n v="2024"/>
    <s v="Clean"/>
  </r>
  <r>
    <x v="237"/>
    <s v="2024-08-27"/>
    <s v="2024-08-27"/>
    <s v="27-Aug-2024"/>
    <s v="27-Aug-2024"/>
    <n v="0"/>
    <s v="CUST-3827"/>
    <s v="Mira Das"/>
    <x v="0"/>
    <x v="0"/>
    <s v="Haryana"/>
    <s v="Gurugram"/>
    <x v="2"/>
    <x v="6"/>
    <s v="Smart Copiers 471"/>
    <x v="3"/>
    <n v="9"/>
    <n v="2330.3000000000002"/>
    <n v="0"/>
    <n v="20972.7"/>
    <n v="13504.88"/>
    <n v="7467.82"/>
    <s v="Paid"/>
    <x v="0"/>
    <s v="Unique"/>
    <m/>
    <s v="Clean"/>
    <s v="valid"/>
    <n v="0"/>
    <n v="20972.7"/>
    <n v="7467.8200000000015"/>
    <n v="0.35607337157352181"/>
    <x v="1"/>
    <n v="2024"/>
    <s v="Clean"/>
  </r>
  <r>
    <x v="238"/>
    <s v="01/12/2024"/>
    <s v="01/17/2024"/>
    <s v="17-Jan-2024"/>
    <s v="01-Dec-2024"/>
    <n v="-319"/>
    <s v="CUST-2375"/>
    <s v="Arjun Bose"/>
    <x v="0"/>
    <x v="2"/>
    <s v="Andhra Pradesh"/>
    <s v="Vijayawada"/>
    <x v="0"/>
    <x v="8"/>
    <s v="Prime Storage 625"/>
    <x v="2"/>
    <n v="7"/>
    <n v="4005.05"/>
    <n v="0.55000000000000004"/>
    <n v="26633.58"/>
    <n v="18838.75"/>
    <n v="7794.83"/>
    <s v="Paid"/>
    <x v="0"/>
    <s v="Unique"/>
    <m/>
    <s v="Invalid"/>
    <s v="Invalid"/>
    <n v="0.55000000000000004"/>
    <n v="12615.907499999999"/>
    <n v="-6222.8425000000007"/>
    <n v="-0.4932536561480021"/>
    <x v="7"/>
    <n v="2024"/>
    <s v="Invalid"/>
  </r>
  <r>
    <x v="239"/>
    <s v="21-09-2024"/>
    <s v="09/21/2024"/>
    <s v="21-Sep-2024"/>
    <s v="21-Sep-2024"/>
    <n v="0"/>
    <s v="CUST-2233"/>
    <s v="Kabir Singh"/>
    <x v="2"/>
    <x v="2"/>
    <s v="Karnataka"/>
    <s v="Bengaluru"/>
    <x v="2"/>
    <x v="12"/>
    <s v="Smart Machines 801"/>
    <x v="2"/>
    <n v="2"/>
    <n v="1960.06"/>
    <n v="0.2"/>
    <n v="3136.1"/>
    <n v="2279.4899999999998"/>
    <n v="856.61"/>
    <s v="Paid"/>
    <x v="0"/>
    <s v="Unique"/>
    <m/>
    <s v="Clean"/>
    <s v="valid"/>
    <n v="0.2"/>
    <n v="3136.096"/>
    <n v="856.60600000000022"/>
    <n v="0.273144061916472"/>
    <x v="6"/>
    <n v="2024"/>
    <s v="Clean"/>
  </r>
  <r>
    <x v="240"/>
    <s v="17 Dec 2024"/>
    <s v="23-12-2024"/>
    <s v="23-Dec-2024"/>
    <s v="17-Dec-2024"/>
    <n v="6"/>
    <s v="CUST-9778"/>
    <s v="Aarav Sharma"/>
    <x v="2"/>
    <x v="2"/>
    <s v="Telangana"/>
    <s v="Hyderabad"/>
    <x v="0"/>
    <x v="9"/>
    <s v="Max Binders 170"/>
    <x v="2"/>
    <n v="9"/>
    <n v="2315.1"/>
    <n v="0"/>
    <n v="20835.900000000001"/>
    <n v="13928.19"/>
    <n v="6907.71"/>
    <s v="Paid"/>
    <x v="0"/>
    <s v="Unique"/>
    <m/>
    <s v="Clean"/>
    <s v="valid"/>
    <n v="0"/>
    <n v="20835.899999999998"/>
    <n v="6907.7099999999973"/>
    <n v="0.33152923559817421"/>
    <x v="7"/>
    <n v="2024"/>
    <s v="Clean"/>
  </r>
  <r>
    <x v="241"/>
    <s v="07/06/2025"/>
    <s v="06-07-2025"/>
    <s v="06-Jul-2025"/>
    <s v="07-Jun-2025"/>
    <n v="29"/>
    <s v="CUST-6949"/>
    <s v="Sneha Kapoor"/>
    <x v="2"/>
    <x v="0"/>
    <s v="Haryana"/>
    <s v="Gurugram"/>
    <x v="0"/>
    <x v="8"/>
    <s v="Basic Storage 737"/>
    <x v="3"/>
    <n v="1"/>
    <n v="1617.2"/>
    <n v="0.25"/>
    <n v="1212.9000000000001"/>
    <n v="690.52"/>
    <n v="522.38"/>
    <s v="Pending"/>
    <x v="2"/>
    <s v="Unique"/>
    <m/>
    <s v="Clean"/>
    <s v="valid"/>
    <n v="0.25"/>
    <n v="1212.9000000000001"/>
    <n v="522.38000000000011"/>
    <n v="0.4306867837414462"/>
    <x v="10"/>
    <n v="2025"/>
    <s v="Clean"/>
  </r>
  <r>
    <x v="242"/>
    <s v="07 Feb 2025"/>
    <s v="2025-02-07"/>
    <s v="07-Feb-2025"/>
    <s v="07-Feb-2025"/>
    <n v="0"/>
    <s v="CUST-3430"/>
    <s v="Arjun Bose"/>
    <x v="0"/>
    <x v="0"/>
    <s v="Uttar Pradesh"/>
    <s v="Noida"/>
    <x v="0"/>
    <x v="2"/>
    <s v="Classic Art 126"/>
    <x v="0"/>
    <n v="3"/>
    <n v="1999.24"/>
    <n v="0.05"/>
    <n v="5697.83"/>
    <n v="4251.5"/>
    <n v="1446.33"/>
    <s v="Paid"/>
    <x v="0"/>
    <s v="Unique"/>
    <m/>
    <s v="Clean"/>
    <s v="valid"/>
    <n v="0.05"/>
    <n v="5697.8339999999998"/>
    <n v="1446.3339999999998"/>
    <n v="0.25383926593860051"/>
    <x v="5"/>
    <n v="2025"/>
    <s v="Clean"/>
  </r>
  <r>
    <x v="243"/>
    <s v="29-07-2025"/>
    <s v="02 Aug 2025"/>
    <s v="02-Aug-2025"/>
    <s v="29-Jul-2025"/>
    <n v="4"/>
    <s v="CUST-6310"/>
    <s v="Sneha Kapoor"/>
    <x v="1"/>
    <x v="4"/>
    <s v="Madhya Pradesh"/>
    <s v="Indore"/>
    <x v="2"/>
    <x v="5"/>
    <s v="Prime Accessories 243"/>
    <x v="2"/>
    <n v="1"/>
    <n v="4499.46"/>
    <n v="0.1"/>
    <n v="4049.51"/>
    <n v="2509.1999999999998"/>
    <n v="1540.31"/>
    <s v="Paid"/>
    <x v="0"/>
    <s v="Unique"/>
    <m/>
    <s v="Clean"/>
    <s v="valid"/>
    <n v="0.1"/>
    <n v="4049.5140000000001"/>
    <n v="1540.3140000000003"/>
    <n v="0.38037008885510715"/>
    <x v="0"/>
    <n v="2025"/>
    <s v="Clean"/>
  </r>
  <r>
    <x v="244"/>
    <s v="08/23/2024"/>
    <s v="2024-08-24"/>
    <s v="24-Aug-2024"/>
    <s v="23-Aug-2024"/>
    <n v="1"/>
    <s v="CUST-6008"/>
    <s v="Neha Gupta"/>
    <x v="0"/>
    <x v="2"/>
    <s v="Telangana"/>
    <s v="Hyderabad"/>
    <x v="1"/>
    <x v="10"/>
    <s v="Eco Bookcases 768"/>
    <x v="1"/>
    <n v="6"/>
    <n v="1021.89"/>
    <n v="0"/>
    <n v="6131.34"/>
    <n v="4060.88"/>
    <n v="2070.46"/>
    <s v="Paid"/>
    <x v="0"/>
    <s v="Unique"/>
    <m/>
    <s v="Clean"/>
    <s v="valid"/>
    <n v="0"/>
    <n v="6131.34"/>
    <n v="2070.46"/>
    <n v="0.33768474754295147"/>
    <x v="1"/>
    <n v="2024"/>
    <s v="Clean"/>
  </r>
  <r>
    <x v="245"/>
    <s v="10/18/2024"/>
    <s v="24-10-2024"/>
    <s v="24-Oct-2024"/>
    <s v="18-Oct-2024"/>
    <n v="6"/>
    <s v="CUST-1704"/>
    <s v="Neha Gupta"/>
    <x v="3"/>
    <x v="2"/>
    <s v="Kerala"/>
    <s v="Kochi"/>
    <x v="1"/>
    <x v="4"/>
    <s v="Pro Chairs 316"/>
    <x v="0"/>
    <n v="3"/>
    <n v="3275.93"/>
    <n v="0"/>
    <n v="9827.7900000000009"/>
    <n v="5478.28"/>
    <n v="4349.51"/>
    <s v="Paid"/>
    <x v="0"/>
    <s v="Unique"/>
    <m/>
    <s v="Clean"/>
    <s v="valid"/>
    <n v="0"/>
    <n v="9827.7899999999991"/>
    <n v="4349.5099999999993"/>
    <n v="0.44257254174132737"/>
    <x v="4"/>
    <n v="2024"/>
    <s v="Clean"/>
  </r>
  <r>
    <x v="246"/>
    <s v="04 May 2024"/>
    <s v="09 May 2024"/>
    <s v="09-May-2024"/>
    <s v="04-May-2024"/>
    <n v="5"/>
    <s v="CUST-1827"/>
    <s v="Ananya Rao"/>
    <x v="2"/>
    <x v="0"/>
    <s v="Punjab"/>
    <s v="Ludhiana"/>
    <x v="2"/>
    <x v="12"/>
    <s v="Classic Machines 819"/>
    <x v="1"/>
    <n v="3"/>
    <n v="231.95"/>
    <n v="0.25"/>
    <n v="521.89"/>
    <n v="444.52"/>
    <n v="77.37"/>
    <s v="Refunded"/>
    <x v="1"/>
    <s v="Unique"/>
    <m/>
    <s v="Clean"/>
    <s v="valid"/>
    <n v="0.25"/>
    <n v="521.88749999999993"/>
    <n v="77.36749999999995"/>
    <n v="0.14824555100476627"/>
    <x v="3"/>
    <n v="2024"/>
    <s v="Warning"/>
  </r>
  <r>
    <x v="247"/>
    <s v="07/25/2024"/>
    <s v="01 Aug 2024"/>
    <s v="01-Aug-2024"/>
    <s v="25-Jul-2024"/>
    <n v="7"/>
    <s v="CUST-6663"/>
    <s v="Rahul Verma"/>
    <x v="2"/>
    <x v="0"/>
    <s v="Rajasthan"/>
    <s v="Jaipur"/>
    <x v="2"/>
    <x v="5"/>
    <s v="Smart Accessories 572"/>
    <x v="0"/>
    <n v="8"/>
    <n v="2493.4"/>
    <n v="0.25"/>
    <n v="14960.4"/>
    <n v="12500.84"/>
    <n v="2459.56"/>
    <s v="Paid"/>
    <x v="0"/>
    <s v="Unique"/>
    <m/>
    <s v="Clean"/>
    <s v="valid"/>
    <n v="0.25"/>
    <n v="14960.400000000001"/>
    <n v="2459.5600000000013"/>
    <n v="0.16440469506162944"/>
    <x v="0"/>
    <n v="2024"/>
    <s v="Clean"/>
  </r>
  <r>
    <x v="248"/>
    <s v="06/02/2024"/>
    <s v="07-06-2024"/>
    <s v="07-Jun-2024"/>
    <s v="06-Feb-2024"/>
    <n v="122"/>
    <s v="CUST-6278"/>
    <s v="Rohan Mehta"/>
    <x v="3"/>
    <x v="1"/>
    <s v="Odisha"/>
    <s v="Bhubaneswar"/>
    <x v="0"/>
    <x v="7"/>
    <s v="Basic Labels 432"/>
    <x v="0"/>
    <n v="9"/>
    <n v="787.91"/>
    <n v="0.15"/>
    <n v="6027.51"/>
    <n v="4883.82"/>
    <n v="1143.69"/>
    <s v="Paid"/>
    <x v="0"/>
    <s v="Unique"/>
    <m/>
    <s v="Clean"/>
    <s v="valid"/>
    <n v="0.15"/>
    <n v="6027.5114999999996"/>
    <n v="1143.6914999999999"/>
    <n v="0.18974522072666306"/>
    <x v="5"/>
    <n v="2024"/>
    <s v="Clean"/>
  </r>
  <r>
    <x v="249"/>
    <s v="08/01/2025"/>
    <s v="08/02/2025"/>
    <s v="08-Feb-2025"/>
    <s v="08-Jan-2025"/>
    <n v="31"/>
    <s v="CUST-2305"/>
    <s v="Mira Das"/>
    <x v="2"/>
    <x v="0"/>
    <s v="Rajasthan"/>
    <s v="Jaipur"/>
    <x v="1"/>
    <x v="3"/>
    <s v="Classic Furnishings 378"/>
    <x v="2"/>
    <n v="4"/>
    <n v="2790.29"/>
    <n v="0.2"/>
    <n v="8928.93"/>
    <n v="5634.38"/>
    <n v="3294.55"/>
    <s v="Paid"/>
    <x v="0"/>
    <s v="Unique"/>
    <m/>
    <s v="Clean"/>
    <s v="valid"/>
    <n v="0.2"/>
    <n v="8928.9279999999999"/>
    <n v="3294.5479999999998"/>
    <n v="0.36897464062875185"/>
    <x v="8"/>
    <n v="2025"/>
    <s v="Clean"/>
  </r>
  <r>
    <x v="250"/>
    <s v="02/21/2024"/>
    <s v="02/27/2024"/>
    <s v="27-Feb-2024"/>
    <s v="21-Feb-2024"/>
    <n v="6"/>
    <s v="CUST-5351"/>
    <s v="Arjun Bose"/>
    <x v="1"/>
    <x v="1"/>
    <s v="West Bengal"/>
    <s v="Kolkata"/>
    <x v="1"/>
    <x v="3"/>
    <s v="Prime Furnishings 781"/>
    <x v="3"/>
    <n v="5"/>
    <n v="3373.86"/>
    <n v="0.15"/>
    <n v="14338.9"/>
    <n v="11897.65"/>
    <n v="2441.25"/>
    <s v="Pending"/>
    <x v="2"/>
    <s v="Unique"/>
    <m/>
    <s v="Clean"/>
    <s v="valid"/>
    <n v="0.15"/>
    <n v="14338.904999999999"/>
    <n v="2441.2549999999992"/>
    <n v="0.17025393501107647"/>
    <x v="5"/>
    <n v="2024"/>
    <s v="Clean"/>
  </r>
  <r>
    <x v="251"/>
    <s v="2025-04-06"/>
    <s v="04/10/2025"/>
    <s v="04-Oct-2025"/>
    <s v="06-Apr-2025"/>
    <n v="181"/>
    <s v="CUST-6268"/>
    <s v="Ananya Rao"/>
    <x v="2"/>
    <x v="3"/>
    <s v="Gujarat"/>
    <s v="Ahmedabad"/>
    <x v="1"/>
    <x v="1"/>
    <s v="Prime Tables 263"/>
    <x v="0"/>
    <n v="6"/>
    <n v="1022.16"/>
    <n v="0"/>
    <n v="6132.96"/>
    <n v="4881.1000000000004"/>
    <n v="1251.8599999999999"/>
    <s v="Paid"/>
    <x v="0"/>
    <s v="Unique"/>
    <m/>
    <s v="Clean"/>
    <s v="valid"/>
    <n v="0"/>
    <n v="6132.96"/>
    <n v="1251.8599999999997"/>
    <n v="0.20412003339333692"/>
    <x v="11"/>
    <n v="2025"/>
    <s v="Clean"/>
  </r>
  <r>
    <x v="252"/>
    <s v="25-06-2025"/>
    <s v="2025-06-28"/>
    <s v="28-Jun-2025"/>
    <s v="25-Jun-2025"/>
    <n v="3"/>
    <s v="CUST-2103"/>
    <s v="Arjun Bose"/>
    <x v="2"/>
    <x v="0"/>
    <s v="Haryana"/>
    <s v="Gurugram"/>
    <x v="0"/>
    <x v="8"/>
    <s v="Basic Storage 269"/>
    <x v="2"/>
    <n v="2"/>
    <n v="1455.92"/>
    <n v="0.2"/>
    <n v="2329.4699999999998"/>
    <n v="1603.62"/>
    <n v="725.85"/>
    <s v="Pending"/>
    <x v="2"/>
    <s v="Unique"/>
    <m/>
    <s v="Clean"/>
    <s v="valid"/>
    <n v="0.2"/>
    <n v="2329.4720000000002"/>
    <n v="725.85200000000032"/>
    <n v="0.31159507390515973"/>
    <x v="10"/>
    <n v="2025"/>
    <s v="Clean"/>
  </r>
  <r>
    <x v="253"/>
    <s v="2024-09-12"/>
    <s v="09/13/2024"/>
    <s v="13-Sep-2024"/>
    <s v="12-Sep-2024"/>
    <n v="1"/>
    <s v="CUST-5394"/>
    <s v="Priya Menon"/>
    <x v="1"/>
    <x v="0"/>
    <s v="Rajasthan"/>
    <s v="Jaipur"/>
    <x v="2"/>
    <x v="11"/>
    <s v="Classic Phones 442"/>
    <x v="1"/>
    <n v="6"/>
    <n v="832.79"/>
    <n v="0.05"/>
    <n v="4746.8999999999996"/>
    <n v="2825.38"/>
    <n v="1472.89"/>
    <s v="Refunded"/>
    <x v="1"/>
    <s v="Unique"/>
    <m/>
    <s v="Clean"/>
    <s v="valid"/>
    <n v="0.05"/>
    <n v="4746.9029999999993"/>
    <n v="1921.5229999999992"/>
    <n v="0.40479508428969363"/>
    <x v="6"/>
    <n v="2024"/>
    <s v="Warning"/>
  </r>
  <r>
    <x v="254"/>
    <s v="01/01/2025"/>
    <s v="03-01-2025"/>
    <s v="03-Jan-2025"/>
    <s v="01-Jan-2025"/>
    <n v="2"/>
    <s v="CUST-6853"/>
    <s v="Ananya Rao"/>
    <x v="0"/>
    <x v="3"/>
    <s v="Madhya Pradesh"/>
    <s v="Indore"/>
    <x v="2"/>
    <x v="5"/>
    <s v="Elite Accessories 978"/>
    <x v="1"/>
    <n v="7"/>
    <n v="1000.55"/>
    <n v="0.2"/>
    <n v="5603.08"/>
    <n v="3132.52"/>
    <n v="2470.56"/>
    <s v="Paid"/>
    <x v="2"/>
    <s v="Unique"/>
    <m/>
    <s v="Clean"/>
    <s v="valid"/>
    <n v="0.2"/>
    <n v="5603.08"/>
    <n v="2470.56"/>
    <n v="0.44092891766671188"/>
    <x v="8"/>
    <n v="2025"/>
    <s v="Clean"/>
  </r>
  <r>
    <x v="255"/>
    <s v="2025-02-04"/>
    <s v="02/10/2025"/>
    <s v="02-Oct-2025"/>
    <s v="04-Feb-2025"/>
    <n v="240"/>
    <s v="CUST-1549"/>
    <s v="Isha Nair"/>
    <x v="2"/>
    <x v="3"/>
    <s v="Maharashtra"/>
    <s v="Mumbai"/>
    <x v="2"/>
    <x v="11"/>
    <s v="Eco Phones 132"/>
    <x v="2"/>
    <n v="7"/>
    <n v="1830"/>
    <n v="0"/>
    <n v="12810"/>
    <n v="9334.1200000000008"/>
    <n v="3475.88"/>
    <s v="Paid"/>
    <x v="0"/>
    <s v="Unique"/>
    <m/>
    <s v="Clean"/>
    <s v="valid"/>
    <n v="0"/>
    <n v="12810"/>
    <n v="3475.8799999999992"/>
    <n v="0.27134113973458229"/>
    <x v="5"/>
    <n v="2025"/>
    <s v="Clean"/>
  </r>
  <r>
    <x v="256"/>
    <s v="2024-11-05"/>
    <s v="03 Nov 2024"/>
    <s v="03-Nov-2024"/>
    <s v="05-Nov-2024"/>
    <n v="-2"/>
    <s v="CUST-8411"/>
    <s v="Ananya Rao"/>
    <x v="0"/>
    <x v="1"/>
    <s v="West Bengal"/>
    <s v="Kolkata"/>
    <x v="1"/>
    <x v="1"/>
    <s v="Prime Tables 481"/>
    <x v="2"/>
    <n v="9"/>
    <n v="2260.61"/>
    <n v="0.05"/>
    <n v="19328.22"/>
    <n v="12039.5"/>
    <n v="7288.72"/>
    <s v="Paid"/>
    <x v="0"/>
    <s v="Unique"/>
    <m/>
    <s v="Clean"/>
    <s v="Invalid"/>
    <n v="0.05"/>
    <n v="19328.215500000002"/>
    <n v="7288.7155000000021"/>
    <n v="0.3771023507058891"/>
    <x v="2"/>
    <n v="2024"/>
    <s v="Clean"/>
  </r>
  <r>
    <x v="257"/>
    <s v="2025-08-09"/>
    <s v="2025-08-12"/>
    <s v="12-Aug-2025"/>
    <s v="09-Aug-2025"/>
    <n v="3"/>
    <s v="CUST-5615"/>
    <s v="Diya Patel"/>
    <x v="2"/>
    <x v="2"/>
    <s v="Karnataka"/>
    <s v="Bengaluru"/>
    <x v="2"/>
    <x v="5"/>
    <s v="Smart Accessories 180"/>
    <x v="0"/>
    <n v="2"/>
    <n v="3237.27"/>
    <n v="0"/>
    <n v="6474.54"/>
    <n v="5095.91"/>
    <n v="1378.63"/>
    <s v="Paid"/>
    <x v="1"/>
    <s v="Unique"/>
    <m/>
    <s v="Clean"/>
    <s v="valid"/>
    <n v="0"/>
    <n v="6474.54"/>
    <n v="1378.63"/>
    <n v="0.21293095725719513"/>
    <x v="1"/>
    <n v="2025"/>
    <s v="Warning"/>
  </r>
  <r>
    <x v="258"/>
    <s v="2024-12-30"/>
    <s v="2025-01-04"/>
    <s v="04-Jan-2025"/>
    <s v="30-Dec-2024"/>
    <n v="5"/>
    <s v="CUST-8467"/>
    <s v="Sneha Kapoor"/>
    <x v="2"/>
    <x v="2"/>
    <s v="Tamil Nadu"/>
    <s v="Chennai"/>
    <x v="1"/>
    <x v="1"/>
    <s v="Smart Tables 774"/>
    <x v="1"/>
    <n v="2"/>
    <n v="3720.07"/>
    <n v="0.25"/>
    <n v="5580.11"/>
    <n v="4307.01"/>
    <n v="1273.0999999999999"/>
    <s v="Paid"/>
    <x v="0"/>
    <s v="Unique"/>
    <m/>
    <s v="Clean"/>
    <s v="valid"/>
    <n v="0.25"/>
    <n v="5580.1050000000005"/>
    <n v="1273.0950000000003"/>
    <n v="0.22814893268137429"/>
    <x v="7"/>
    <n v="2024"/>
    <s v="Clean"/>
  </r>
  <r>
    <x v="259"/>
    <s v="06/21/2024"/>
    <s v="29 Jun 2024"/>
    <s v="29-Jun-2024"/>
    <s v="21-Jun-2024"/>
    <n v="8"/>
    <s v="CUST-5174"/>
    <s v="Neha Gupta"/>
    <x v="0"/>
    <x v="2"/>
    <s v="Tamil Nadu"/>
    <s v="Chennai"/>
    <x v="2"/>
    <x v="12"/>
    <s v="Prime Machines 793"/>
    <x v="3"/>
    <n v="8"/>
    <n v="2853.92"/>
    <n v="0.2"/>
    <n v="18265.09"/>
    <n v="10437.14"/>
    <n v="7827.95"/>
    <s v="Paid"/>
    <x v="0"/>
    <s v="Unique"/>
    <m/>
    <s v="Clean"/>
    <s v="valid"/>
    <n v="0.2"/>
    <n v="18265.088"/>
    <n v="7827.9480000000003"/>
    <n v="0.42857433810338064"/>
    <x v="10"/>
    <n v="2024"/>
    <s v="Clean"/>
  </r>
  <r>
    <x v="260"/>
    <s v="2025-09-23"/>
    <s v="09/27/2025"/>
    <s v="27-Sep-2025"/>
    <s v="23-Sep-2025"/>
    <n v="4"/>
    <s v="CUST-3543"/>
    <s v="Aditi Sen"/>
    <x v="2"/>
    <x v="1"/>
    <s v="West Bengal"/>
    <s v="Kolkata"/>
    <x v="0"/>
    <x v="9"/>
    <s v="Elite Binders 827"/>
    <x v="1"/>
    <n v="7"/>
    <n v="2897.12"/>
    <n v="0.25"/>
    <n v="15209.88"/>
    <n v="10891.15"/>
    <n v="4318.7299999999996"/>
    <s v="Failed"/>
    <x v="2"/>
    <s v="Unique"/>
    <m/>
    <s v="Clean"/>
    <s v="valid"/>
    <n v="0.25"/>
    <n v="15209.880000000001"/>
    <n v="4318.7300000000014"/>
    <n v="0.28394241111698454"/>
    <x v="6"/>
    <n v="2025"/>
    <s v="Warning"/>
  </r>
  <r>
    <x v="261"/>
    <s v="06/18/2025"/>
    <s v="06/24/2025"/>
    <s v="24-Jun-2025"/>
    <s v="18-Jun-2025"/>
    <n v="6"/>
    <s v="CUST-7623"/>
    <s v="Sneha Kapoor"/>
    <x v="2"/>
    <x v="0"/>
    <s v="Rajasthan"/>
    <s v="Jaipur"/>
    <x v="0"/>
    <x v="7"/>
    <s v="Prime Labels 326"/>
    <x v="3"/>
    <n v="3"/>
    <n v="686.74"/>
    <n v="0.2"/>
    <n v="1648.18"/>
    <n v="987.91"/>
    <n v="660.27"/>
    <s v="Failed"/>
    <x v="1"/>
    <s v="Unique"/>
    <m/>
    <s v="Clean"/>
    <s v="valid"/>
    <n v="0.2"/>
    <n v="1648.1760000000004"/>
    <n v="660.26600000000042"/>
    <n v="0.40060406170214846"/>
    <x v="10"/>
    <n v="2025"/>
    <s v="Warning"/>
  </r>
  <r>
    <x v="262"/>
    <s v="2025-05-26"/>
    <s v="01 Jun 2025"/>
    <s v="01-Jun-2025"/>
    <s v="26-May-2025"/>
    <n v="6"/>
    <s v="CUST-6153"/>
    <s v="Arjun Bose"/>
    <x v="1"/>
    <x v="0"/>
    <s v="Delhi"/>
    <s v="New Delhi"/>
    <x v="2"/>
    <x v="11"/>
    <s v="Eco Phones 245"/>
    <x v="1"/>
    <n v="4"/>
    <n v="3349.86"/>
    <n v="0"/>
    <n v="13399.44"/>
    <n v="8581.35"/>
    <n v="4818.09"/>
    <s v="Pending"/>
    <x v="2"/>
    <s v="Unique"/>
    <m/>
    <s v="Clean"/>
    <s v="valid"/>
    <n v="0"/>
    <n v="13399.44"/>
    <n v="4818.09"/>
    <n v="0.3595739821962709"/>
    <x v="3"/>
    <n v="2025"/>
    <s v="Clean"/>
  </r>
  <r>
    <x v="263"/>
    <s v="06 Aug 2025"/>
    <s v="10-08-2025"/>
    <s v="10-Aug-2025"/>
    <s v="06-Aug-2025"/>
    <n v="4"/>
    <s v="CUST-8265"/>
    <s v="Rohan Mehta"/>
    <x v="1"/>
    <x v="0"/>
    <s v="Delhi"/>
    <s v="New Delhi"/>
    <x v="0"/>
    <x v="9"/>
    <s v="Smart Binders 905"/>
    <x v="0"/>
    <n v="9"/>
    <n v="4042.45"/>
    <n v="0.1"/>
    <n v="32743.84"/>
    <n v="22452.05"/>
    <n v="10291.790000000001"/>
    <s v="Pending"/>
    <x v="2"/>
    <s v="Unique"/>
    <m/>
    <s v="Clean"/>
    <s v="valid"/>
    <n v="0.1"/>
    <n v="32743.844999999998"/>
    <n v="10291.794999999998"/>
    <n v="0.314312353970647"/>
    <x v="1"/>
    <n v="2025"/>
    <s v="Clean"/>
  </r>
  <r>
    <x v="264"/>
    <s v="16-05-2024"/>
    <s v="05/21/2024"/>
    <s v="21-May-2024"/>
    <s v="16-May-2024"/>
    <n v="5"/>
    <s v="CUST-4750"/>
    <s v="Diya Patel"/>
    <x v="1"/>
    <x v="1"/>
    <s v="Bihar"/>
    <s v="Patna"/>
    <x v="2"/>
    <x v="6"/>
    <s v="Pro Copiers 599"/>
    <x v="3"/>
    <n v="4"/>
    <n v="1503.07"/>
    <n v="0"/>
    <n v="6012.28"/>
    <n v="3927.64"/>
    <n v="2084.64"/>
    <s v="Paid"/>
    <x v="0"/>
    <s v="Unique"/>
    <m/>
    <s v="Clean"/>
    <s v="valid"/>
    <n v="0"/>
    <n v="6012.28"/>
    <n v="2084.64"/>
    <n v="0.34673035853286938"/>
    <x v="3"/>
    <n v="2024"/>
    <s v="Clean"/>
  </r>
  <r>
    <x v="265"/>
    <s v="14 Nov 2024"/>
    <s v="11/22/2024"/>
    <s v="22-Nov-2024"/>
    <s v="14-Nov-2024"/>
    <n v="8"/>
    <s v="CUST-3974"/>
    <s v="Priya Menon"/>
    <x v="2"/>
    <x v="1"/>
    <s v="Bihar"/>
    <s v="Patna"/>
    <x v="1"/>
    <x v="10"/>
    <s v="Basic Bookcases 570"/>
    <x v="1"/>
    <n v="1"/>
    <n v="582.37"/>
    <n v="0.15"/>
    <n v="495.01"/>
    <n v="285.13"/>
    <n v="209.88"/>
    <s v="Refunded"/>
    <x v="1"/>
    <s v="Unique"/>
    <m/>
    <s v="Clean"/>
    <s v="valid"/>
    <n v="0.15"/>
    <n v="495.0145"/>
    <n v="209.8845"/>
    <n v="0.42399667080459258"/>
    <x v="2"/>
    <n v="2024"/>
    <s v="Warning"/>
  </r>
  <r>
    <x v="266"/>
    <s v="2025-05-03"/>
    <s v="2025-05-10"/>
    <s v="10-May-2025"/>
    <s v="03-May-2025"/>
    <n v="7"/>
    <s v="CUST-7114"/>
    <s v="Neha Gupta"/>
    <x v="3"/>
    <x v="3"/>
    <s v="Maharashtra"/>
    <s v="Mumbai"/>
    <x v="0"/>
    <x v="8"/>
    <s v="Classic Storage 926"/>
    <x v="0"/>
    <n v="3"/>
    <n v="4339.24"/>
    <n v="0"/>
    <n v="13017.72"/>
    <n v="10170.57"/>
    <n v="2847.15"/>
    <s v="Paid"/>
    <x v="0"/>
    <s v="Unique"/>
    <m/>
    <s v="Clean"/>
    <s v="valid"/>
    <n v="0"/>
    <n v="13017.72"/>
    <n v="2847.1499999999996"/>
    <n v="0.21871341525244051"/>
    <x v="3"/>
    <n v="2025"/>
    <s v="Clean"/>
  </r>
  <r>
    <x v="267"/>
    <s v="28 May 2025"/>
    <s v="04-06-2025"/>
    <s v="04-Jun-2025"/>
    <s v="28-May-2025"/>
    <n v="7"/>
    <s v="CUST-4431"/>
    <s v="Diya Patel"/>
    <x v="2"/>
    <x v="1"/>
    <s v="Jharkhand"/>
    <s v="Ranchi"/>
    <x v="1"/>
    <x v="3"/>
    <s v="Basic Furnishings 372"/>
    <x v="2"/>
    <n v="4"/>
    <n v="261.8"/>
    <n v="0.25"/>
    <n v="785.4"/>
    <n v="557.22"/>
    <n v="228.18"/>
    <s v="Paid"/>
    <x v="0"/>
    <s v="Unique"/>
    <m/>
    <s v="Clean"/>
    <s v="valid"/>
    <n v="0.25"/>
    <n v="785.40000000000009"/>
    <n v="228.18000000000006"/>
    <n v="0.29052711993888469"/>
    <x v="3"/>
    <n v="2025"/>
    <s v="Clean"/>
  </r>
  <r>
    <x v="268"/>
    <s v="08/17/2025"/>
    <s v="08/17/2025"/>
    <s v="17-Aug-2025"/>
    <s v="17-Aug-2025"/>
    <n v="0"/>
    <s v="CUST-1488"/>
    <s v="Aarav Sharma"/>
    <x v="3"/>
    <x v="0"/>
    <s v="Punjab"/>
    <s v="Ludhiana"/>
    <x v="2"/>
    <x v="5"/>
    <s v="Prime Accessories 367"/>
    <x v="2"/>
    <n v="7"/>
    <n v="632.20000000000005"/>
    <n v="0.25"/>
    <n v="3319.05"/>
    <n v="2124.6"/>
    <n v="1194.45"/>
    <s v="Paid"/>
    <x v="0"/>
    <s v="Unique"/>
    <m/>
    <s v="Clean"/>
    <s v="valid"/>
    <n v="0.25"/>
    <n v="3319.05"/>
    <n v="1194.4500000000003"/>
    <n v="0.35987707325891449"/>
    <x v="1"/>
    <n v="2025"/>
    <s v="Clean"/>
  </r>
  <r>
    <x v="269"/>
    <s v="02/10/2025"/>
    <s v="02/12/2025"/>
    <s v="02-Dec-2025"/>
    <s v="02-Oct-2025"/>
    <n v="61"/>
    <s v="CUST-1586"/>
    <s v="Rahul Verma"/>
    <x v="1"/>
    <x v="3"/>
    <s v="Rajasthan"/>
    <s v="Udaipur"/>
    <x v="1"/>
    <x v="1"/>
    <s v="Max Tables 526"/>
    <x v="1"/>
    <n v="1"/>
    <n v="1925.86"/>
    <n v="0"/>
    <n v="1925.86"/>
    <n v="1321.89"/>
    <n v="603.97"/>
    <s v="Paid"/>
    <x v="0"/>
    <s v="Unique"/>
    <m/>
    <s v="Clean"/>
    <s v="valid"/>
    <n v="0"/>
    <n v="1925.86"/>
    <n v="603.9699999999998"/>
    <n v="0.31361054282242729"/>
    <x v="4"/>
    <n v="2025"/>
    <s v="Clean"/>
  </r>
  <r>
    <x v="270"/>
    <s v="01/12/2024"/>
    <s v="13-01-2024"/>
    <s v="13-Jan-2024"/>
    <s v="01-Dec-2024"/>
    <n v="-323"/>
    <s v="CUST-2487"/>
    <s v="Aditi Sen"/>
    <x v="2"/>
    <x v="0"/>
    <s v="Uttar Pradesh"/>
    <s v="Noida"/>
    <x v="2"/>
    <x v="12"/>
    <s v="Prime Machines 794"/>
    <x v="1"/>
    <n v="3"/>
    <n v="827.44"/>
    <n v="0"/>
    <n v="2482.3200000000002"/>
    <n v="1520.21"/>
    <n v="962.11"/>
    <s v="Paid"/>
    <x v="0"/>
    <s v="Unique"/>
    <m/>
    <s v="Clean"/>
    <s v="Invalid"/>
    <n v="0"/>
    <n v="2482.3200000000002"/>
    <n v="962.11000000000013"/>
    <n v="0.38758500112797706"/>
    <x v="7"/>
    <n v="2024"/>
    <s v="Clean"/>
  </r>
  <r>
    <x v="271"/>
    <s v="21 Dec 2024"/>
    <s v="25 Dec 2024"/>
    <s v="25-Dec-2024"/>
    <s v="21-Dec-2024"/>
    <n v="4"/>
    <s v="CUST-8009"/>
    <s v="Aditi Sen"/>
    <x v="0"/>
    <x v="2"/>
    <s v="Telangana"/>
    <s v="Hyderabad"/>
    <x v="0"/>
    <x v="9"/>
    <s v="Max Binders 927"/>
    <x v="3"/>
    <n v="7"/>
    <n v="1667.75"/>
    <n v="0"/>
    <n v="11674.25"/>
    <n v="9621.19"/>
    <n v="2053.06"/>
    <s v="Failed"/>
    <x v="1"/>
    <s v="Unique"/>
    <m/>
    <s v="Clean"/>
    <s v="valid"/>
    <n v="0"/>
    <n v="11674.25"/>
    <n v="2053.0599999999995"/>
    <n v="0.17586226095894808"/>
    <x v="7"/>
    <n v="2024"/>
    <s v="Warning"/>
  </r>
  <r>
    <x v="272"/>
    <s v="08/18/2024"/>
    <s v="24 Aug 2024"/>
    <s v="24-Aug-2024"/>
    <s v="18-Aug-2024"/>
    <n v="6"/>
    <s v="CUST-7389"/>
    <s v="Arjun Bose"/>
    <x v="0"/>
    <x v="2"/>
    <s v="Andhra Pradesh"/>
    <s v="Vijayawada"/>
    <x v="1"/>
    <x v="4"/>
    <s v="Eco Chairs 314"/>
    <x v="2"/>
    <n v="7"/>
    <n v="557.21"/>
    <n v="0.1"/>
    <n v="3510.42"/>
    <n v="2191.5"/>
    <n v="1213.48"/>
    <s v="Paid"/>
    <x v="0"/>
    <s v="Duplicate Order ID"/>
    <s v="FLAG FOR REVIEW"/>
    <s v="Clean"/>
    <s v="valid"/>
    <n v="0.1"/>
    <n v="3510.4230000000002"/>
    <n v="1318.9230000000002"/>
    <n v="0.37571625983535323"/>
    <x v="1"/>
    <n v="2024"/>
    <s v="Clean"/>
  </r>
  <r>
    <x v="273"/>
    <s v="02/13/2025"/>
    <s v="13 Feb 2025"/>
    <s v="13-Feb-2025"/>
    <s v="13-Feb-2025"/>
    <n v="0"/>
    <s v="CUST-8249"/>
    <s v="Isha Nair"/>
    <x v="0"/>
    <x v="1"/>
    <s v="Bihar"/>
    <s v="Patna"/>
    <x v="0"/>
    <x v="0"/>
    <s v="Basic Paper 657"/>
    <x v="0"/>
    <n v="9"/>
    <n v="2521.63"/>
    <n v="0"/>
    <n v="22694.67"/>
    <n v="15405.36"/>
    <n v="7289.31"/>
    <s v="Paid"/>
    <x v="2"/>
    <s v="Unique"/>
    <m/>
    <s v="Clean"/>
    <s v="valid"/>
    <n v="0"/>
    <n v="22694.670000000002"/>
    <n v="7289.3100000000013"/>
    <n v="0.32119039404406413"/>
    <x v="5"/>
    <n v="2025"/>
    <s v="Clean"/>
  </r>
  <r>
    <x v="274"/>
    <s v="07-04-2024"/>
    <s v="14-04-2024"/>
    <s v="14-Apr-2024"/>
    <s v="07-Apr-2024"/>
    <n v="7"/>
    <s v="CUST-4202"/>
    <s v="Rohan Mehta"/>
    <x v="0"/>
    <x v="2"/>
    <s v="Kerala"/>
    <s v="Kochi"/>
    <x v="2"/>
    <x v="6"/>
    <s v="Pro Copiers 406"/>
    <x v="3"/>
    <n v="6"/>
    <n v="4246.71"/>
    <n v="0.15"/>
    <n v="21658.22"/>
    <n v="15490.69"/>
    <n v="6167.53"/>
    <s v="Failed"/>
    <x v="2"/>
    <s v="Unique"/>
    <m/>
    <s v="Clean"/>
    <s v="valid"/>
    <n v="0.15"/>
    <n v="21658.221000000001"/>
    <n v="6167.5310000000009"/>
    <n v="0.28476627881856043"/>
    <x v="11"/>
    <n v="2024"/>
    <s v="Warning"/>
  </r>
  <r>
    <x v="275"/>
    <s v="2024-02-15"/>
    <s v="02/22/2024"/>
    <s v="22-Feb-2024"/>
    <s v="15-Feb-2024"/>
    <n v="7"/>
    <s v="CUST-2875"/>
    <s v="Priya Menon"/>
    <x v="1"/>
    <x v="1"/>
    <s v="West Bengal"/>
    <s v="Kolkata"/>
    <x v="1"/>
    <x v="3"/>
    <s v="Eco Furnishings 678"/>
    <x v="1"/>
    <n v="1"/>
    <n v="980.51"/>
    <n v="0"/>
    <n v="980.51"/>
    <n v="660.92"/>
    <n v="319.58999999999997"/>
    <s v="Paid"/>
    <x v="0"/>
    <s v="Unique"/>
    <m/>
    <s v="Clean"/>
    <s v="valid"/>
    <n v="0"/>
    <n v="980.51"/>
    <n v="319.59000000000003"/>
    <n v="0.32594262169687205"/>
    <x v="5"/>
    <n v="2024"/>
    <s v="Clean"/>
  </r>
  <r>
    <x v="276"/>
    <s v="22-01-2024"/>
    <s v="23-01-2024"/>
    <s v="23-Jan-2024"/>
    <s v="22-Jan-2024"/>
    <n v="1"/>
    <s v="CUST-7039"/>
    <s v="Aarav Sharma"/>
    <x v="1"/>
    <x v="4"/>
    <s v="Assam"/>
    <s v="Guwahati"/>
    <x v="1"/>
    <x v="4"/>
    <s v="Basic Chairs 141"/>
    <x v="0"/>
    <n v="6"/>
    <n v="3391.53"/>
    <n v="-0.14000000000000001"/>
    <n v="15261.89"/>
    <n v="8413.5300000000007"/>
    <n v="6848.36"/>
    <s v="Paid"/>
    <x v="0"/>
    <s v="Unique"/>
    <m/>
    <s v="Invalid"/>
    <s v="valid"/>
    <n v="-0.14000000000000001"/>
    <n v="23198.065200000005"/>
    <n v="14784.535200000004"/>
    <n v="0.63731759836591895"/>
    <x v="8"/>
    <n v="2024"/>
    <s v="Invalid"/>
  </r>
  <r>
    <x v="277"/>
    <s v="04 Jun 2025"/>
    <s v="04 Jun 2025"/>
    <s v="04-Jun-2025"/>
    <s v="04-Jun-2025"/>
    <n v="0"/>
    <s v="CUST-2819"/>
    <s v="Isha Nair"/>
    <x v="2"/>
    <x v="0"/>
    <s v="Haryana"/>
    <s v="Gurugram"/>
    <x v="2"/>
    <x v="5"/>
    <s v="Elite Accessories 291"/>
    <x v="0"/>
    <n v="1"/>
    <n v="2133.73"/>
    <n v="0.15"/>
    <n v="2008.39"/>
    <n v="1002.57"/>
    <n v="811.1"/>
    <s v="Pending"/>
    <x v="1"/>
    <s v="Unique"/>
    <m/>
    <s v="Clean"/>
    <s v="valid"/>
    <n v="0.15"/>
    <n v="1813.6704999999999"/>
    <n v="811.1004999999999"/>
    <n v="0.4472149158295291"/>
    <x v="10"/>
    <n v="2025"/>
    <s v="Warning"/>
  </r>
  <r>
    <x v="278"/>
    <s v="07-03-2025"/>
    <s v="2025-03-14"/>
    <s v="14-Mar-2025"/>
    <s v="07-Mar-2025"/>
    <n v="7"/>
    <s v="CUST-8242"/>
    <s v="Priya Menon "/>
    <x v="1"/>
    <x v="0"/>
    <s v="Delhi"/>
    <s v="New Delhi"/>
    <x v="2"/>
    <x v="5"/>
    <s v="Pro Accessories 207"/>
    <x v="1"/>
    <n v="1"/>
    <n v="3979.64"/>
    <n v="0.05"/>
    <n v="3780.66"/>
    <n v="2148.31"/>
    <n v="1632.35"/>
    <s v="Paid"/>
    <x v="2"/>
    <s v="Unique"/>
    <m/>
    <s v="Clean"/>
    <s v="valid"/>
    <n v="0.05"/>
    <n v="3780.6579999999999"/>
    <n v="1632.348"/>
    <n v="0.43176293650470365"/>
    <x v="9"/>
    <n v="2025"/>
    <s v="Clean"/>
  </r>
  <r>
    <x v="279"/>
    <s v="04/09/2024"/>
    <s v="10 Apr 2024"/>
    <s v="10-Apr-2024"/>
    <s v="04-Sep-2024"/>
    <n v="-147"/>
    <s v="CUST-4571"/>
    <s v="Rohan Mehta"/>
    <x v="1"/>
    <x v="3"/>
    <s v="Maharashtra"/>
    <s v="Mumbai"/>
    <x v="0"/>
    <x v="8"/>
    <s v="Max Storage 564"/>
    <x v="2"/>
    <n v="1"/>
    <n v="4359.12"/>
    <n v="0.05"/>
    <n v="4141.16"/>
    <n v="2754.17"/>
    <n v="1386.99"/>
    <s v="Paid"/>
    <x v="0"/>
    <s v="Unique"/>
    <m/>
    <s v="Clean"/>
    <s v="Invalid"/>
    <n v="0.05"/>
    <n v="4141.1639999999998"/>
    <n v="1386.9939999999997"/>
    <n v="0.33492853700070796"/>
    <x v="6"/>
    <n v="2024"/>
    <s v="Clean"/>
  </r>
  <r>
    <x v="280"/>
    <s v="12/23/2024"/>
    <s v="26-12-2024"/>
    <s v="26-Dec-2024"/>
    <s v="23-Dec-2024"/>
    <n v="3"/>
    <s v="CUST-4098"/>
    <s v="Aditi Sen"/>
    <x v="0"/>
    <x v="2"/>
    <s v="Karnataka"/>
    <s v="Bengaluru"/>
    <x v="2"/>
    <x v="6"/>
    <s v="Prime Copiers 961"/>
    <x v="3"/>
    <n v="9"/>
    <n v="993.67"/>
    <n v="0"/>
    <n v="8943.0300000000007"/>
    <n v="5165.38"/>
    <n v="3777.65"/>
    <s v="Paid"/>
    <x v="0"/>
    <s v="Unique"/>
    <m/>
    <s v="Clean"/>
    <s v="valid"/>
    <n v="0"/>
    <n v="8943.0299999999988"/>
    <n v="3777.6499999999987"/>
    <n v="0.42241276167026154"/>
    <x v="7"/>
    <n v="2024"/>
    <s v="Clean"/>
  </r>
  <r>
    <x v="281"/>
    <s v="25-07-2025"/>
    <s v="07/27/2025"/>
    <s v="27-Jul-2025"/>
    <s v="25-Jul-2025"/>
    <n v="2"/>
    <s v="CUST-2052"/>
    <s v="Kabir Singh"/>
    <x v="0"/>
    <x v="1"/>
    <s v="Jharkhand"/>
    <s v="Ranchi"/>
    <x v="0"/>
    <x v="9"/>
    <s v="Basic Binders 637"/>
    <x v="0"/>
    <n v="6"/>
    <n v="3438.38"/>
    <n v="0.2"/>
    <n v="16504.22"/>
    <n v="11262.71"/>
    <n v="5241.51"/>
    <s v="Paid"/>
    <x v="0"/>
    <s v="Unique"/>
    <m/>
    <s v="Clean"/>
    <s v="valid"/>
    <n v="0.2"/>
    <n v="16504.223999999998"/>
    <n v="5241.5139999999992"/>
    <n v="0.31758621308096641"/>
    <x v="0"/>
    <n v="2025"/>
    <s v="Clean"/>
  </r>
  <r>
    <x v="282"/>
    <s v="2024-10-01"/>
    <s v="10/02/2024"/>
    <s v="10-Feb-2024"/>
    <s v="01-Oct-2024"/>
    <n v="-234"/>
    <s v="CUST-9445"/>
    <s v="Karan Malhotra"/>
    <x v="3"/>
    <x v="1"/>
    <s v="Assam"/>
    <s v="Guwahati"/>
    <x v="1"/>
    <x v="1"/>
    <s v="Classic Tables 811"/>
    <x v="0"/>
    <n v="2"/>
    <n v="2298"/>
    <n v="0"/>
    <n v="4596"/>
    <n v="3220.33"/>
    <n v="1375.67"/>
    <s v="Paid"/>
    <x v="0"/>
    <s v="Unique"/>
    <m/>
    <s v="Clean"/>
    <s v="Invalid"/>
    <n v="0"/>
    <n v="4596"/>
    <n v="1375.67"/>
    <n v="0.29931897302001742"/>
    <x v="4"/>
    <n v="2024"/>
    <s v="Clean"/>
  </r>
  <r>
    <x v="283"/>
    <s v="03/13/2025"/>
    <s v="20-03-2025"/>
    <s v="20-Mar-2025"/>
    <s v="13-Mar-2025"/>
    <n v="7"/>
    <s v="CUST-6568"/>
    <s v="Vikram Iyer"/>
    <x v="0"/>
    <x v="3"/>
    <s v="Maharashtra"/>
    <s v="Mumbai"/>
    <x v="1"/>
    <x v="3"/>
    <s v="Classic Furnishings 819"/>
    <x v="2"/>
    <n v="1"/>
    <n v="1814.01"/>
    <n v="0"/>
    <n v="1814.01"/>
    <n v="1033.47"/>
    <n v="780.54"/>
    <s v="Paid"/>
    <x v="0"/>
    <s v="Unique"/>
    <m/>
    <s v="Clean"/>
    <s v="valid"/>
    <n v="0"/>
    <n v="1814.01"/>
    <n v="780.54"/>
    <n v="0.43028428729720342"/>
    <x v="9"/>
    <n v="2025"/>
    <s v="Clean"/>
  </r>
  <r>
    <x v="284"/>
    <s v="12/08/2024"/>
    <s v="12/14/2024"/>
    <s v="14-Dec-2024"/>
    <s v="12-Aug-2024"/>
    <n v="124"/>
    <s v="CUST-2076"/>
    <s v="Karan Malhotra"/>
    <x v="0"/>
    <x v="1"/>
    <s v="Odisha"/>
    <s v="Bhubaneswar"/>
    <x v="1"/>
    <x v="1"/>
    <s v="Prime Tables 542"/>
    <x v="1"/>
    <n v="3"/>
    <n v="1576.92"/>
    <n v="0"/>
    <n v="4730.76"/>
    <n v="3139.73"/>
    <n v="1591.03"/>
    <s v="Paid"/>
    <x v="2"/>
    <s v="Unique"/>
    <m/>
    <s v="Clean"/>
    <s v="valid"/>
    <n v="0"/>
    <n v="4730.76"/>
    <n v="1591.0300000000002"/>
    <n v="0.33631594077907145"/>
    <x v="1"/>
    <n v="2024"/>
    <s v="Clean"/>
  </r>
  <r>
    <x v="285"/>
    <s v="2025-08-15"/>
    <s v="2025-08-20"/>
    <s v="20-Aug-2025"/>
    <s v="15-Aug-2025"/>
    <n v="5"/>
    <s v="CUST-5610"/>
    <s v="Neha Gupta"/>
    <x v="3"/>
    <x v="0"/>
    <s v="Rajasthan"/>
    <s v="Jaipur"/>
    <x v="0"/>
    <x v="8"/>
    <s v="Basic Storage 771"/>
    <x v="3"/>
    <n v="9"/>
    <n v="4081.77"/>
    <n v="0"/>
    <n v="36735.93"/>
    <n v="30820.84"/>
    <n v="5915.09"/>
    <s v="Paid"/>
    <x v="0"/>
    <s v="Unique"/>
    <m/>
    <s v="Clean"/>
    <s v="valid"/>
    <n v="0"/>
    <n v="36735.93"/>
    <n v="5915.09"/>
    <n v="0.16101647624001897"/>
    <x v="1"/>
    <n v="2025"/>
    <s v="Clean"/>
  </r>
  <r>
    <x v="286"/>
    <s v="28-02-2024"/>
    <s v="03/02/2024"/>
    <s v="03-Feb-2024"/>
    <s v="28-Feb-2024"/>
    <n v="-25"/>
    <s v="CUST-5823"/>
    <s v="Priya Menon"/>
    <x v="1"/>
    <x v="0"/>
    <s v="Delhi"/>
    <s v="New Delhi"/>
    <x v="1"/>
    <x v="3"/>
    <s v="Pro Furnishings 848"/>
    <x v="2"/>
    <n v="7"/>
    <n v="701.8"/>
    <n v="0.1"/>
    <n v="4421.34"/>
    <n v="2489.98"/>
    <n v="1931.36"/>
    <s v="Pending"/>
    <x v="2"/>
    <s v="Unique"/>
    <m/>
    <s v="Clean"/>
    <s v="Invalid"/>
    <n v="0.1"/>
    <n v="4421.3399999999992"/>
    <n v="1931.3599999999992"/>
    <n v="0.43682684435035524"/>
    <x v="5"/>
    <n v="2024"/>
    <s v="Clean"/>
  </r>
  <r>
    <x v="287"/>
    <s v="09/05/2024"/>
    <s v="07-09-2024"/>
    <s v="07-Sep-2024"/>
    <s v="09-May-2024"/>
    <n v="121"/>
    <s v="CUST-7095"/>
    <s v="Neha Gupta"/>
    <x v="1"/>
    <x v="2"/>
    <s v="Tamil Nadu"/>
    <s v="Chennai"/>
    <x v="2"/>
    <x v="6"/>
    <s v="Prime Copiers 924"/>
    <x v="3"/>
    <n v="3"/>
    <n v="2555.66"/>
    <n v="0.15"/>
    <n v="6516.93"/>
    <n v="4511.54"/>
    <n v="2005.39"/>
    <s v="Paid"/>
    <x v="1"/>
    <s v="Unique"/>
    <m/>
    <s v="Clean"/>
    <s v="valid"/>
    <n v="0.15"/>
    <n v="6516.9329999999991"/>
    <n v="2005.3929999999991"/>
    <n v="0.30772036477895343"/>
    <x v="3"/>
    <n v="2024"/>
    <s v="Warning"/>
  </r>
  <r>
    <x v="288"/>
    <s v="2024-06-24"/>
    <s v="2024-06-24"/>
    <s v="24-Jun-2024"/>
    <s v="24-Jun-2024"/>
    <n v="0"/>
    <s v="CUST-4805"/>
    <s v="Rohan Mehta"/>
    <x v="1"/>
    <x v="1"/>
    <s v="Bihar"/>
    <s v="Patna"/>
    <x v="0"/>
    <x v="9"/>
    <s v="Classic Binders 721"/>
    <x v="1"/>
    <n v="2"/>
    <n v="4359.8999999999996"/>
    <n v="0.15"/>
    <n v="7411.83"/>
    <n v="4904.63"/>
    <n v="2507.1999999999998"/>
    <s v="Paid"/>
    <x v="0"/>
    <s v="Unique"/>
    <m/>
    <s v="Clean"/>
    <s v="valid"/>
    <n v="0.15"/>
    <n v="7411.829999999999"/>
    <n v="2507.1999999999989"/>
    <n v="0.3382700358750807"/>
    <x v="10"/>
    <n v="2024"/>
    <s v="Clean"/>
  </r>
  <r>
    <x v="289"/>
    <s v="19-06-2025"/>
    <s v="06/27/2025"/>
    <s v="27-Jun-2025"/>
    <s v="19-Jun-2025"/>
    <n v="8"/>
    <s v="CUST-9114"/>
    <s v="Karan Malhotra"/>
    <x v="3"/>
    <x v="2"/>
    <s v="Tamil Nadu"/>
    <s v="Chennai"/>
    <x v="1"/>
    <x v="10"/>
    <s v="Basic Bookcases 823"/>
    <x v="2"/>
    <n v="2"/>
    <n v="4346.6899999999996"/>
    <n v="0.05"/>
    <n v="8258.7099999999991"/>
    <n v="7018.97"/>
    <n v="1239.74"/>
    <s v="Paid"/>
    <x v="0"/>
    <s v="Unique"/>
    <m/>
    <s v="Clean"/>
    <s v="valid"/>
    <n v="0.05"/>
    <n v="8258.7109999999993"/>
    <n v="1239.7409999999991"/>
    <n v="0.15011313508851432"/>
    <x v="10"/>
    <n v="2025"/>
    <s v="Clean"/>
  </r>
  <r>
    <x v="290"/>
    <s v="22 Aug 2025"/>
    <s v="2025-08-26"/>
    <s v="26-Aug-2025"/>
    <s v="22-Aug-2025"/>
    <n v="4"/>
    <s v="CUST-8557"/>
    <s v="Diya Patel"/>
    <x v="3"/>
    <x v="1"/>
    <s v="Jharkhand"/>
    <s v="Ranchi"/>
    <x v="1"/>
    <x v="1"/>
    <s v="Classic Tables 178"/>
    <x v="3"/>
    <n v="1"/>
    <n v="1842.63"/>
    <n v="0.1"/>
    <n v="1658.37"/>
    <n v="971.12"/>
    <n v="687.25"/>
    <s v="Paid"/>
    <x v="0"/>
    <s v="Unique"/>
    <m/>
    <s v="Clean"/>
    <s v="valid"/>
    <n v="0.1"/>
    <n v="1658.3670000000002"/>
    <n v="687.24700000000018"/>
    <n v="0.41441188832146331"/>
    <x v="1"/>
    <n v="2025"/>
    <s v="Clean"/>
  </r>
  <r>
    <x v="291"/>
    <s v="04/05/2024"/>
    <s v="2024-04-10"/>
    <s v="10-Apr-2024"/>
    <s v="04-May-2024"/>
    <n v="-24"/>
    <s v="CUST-2860"/>
    <s v="Priya Menon"/>
    <x v="3"/>
    <x v="0"/>
    <s v="Rajasthan"/>
    <s v="Jaipur"/>
    <x v="0"/>
    <x v="9"/>
    <s v="Eco Binders 153"/>
    <x v="3"/>
    <n v="4"/>
    <n v="3228.66"/>
    <n v="0.25"/>
    <n v="9685.98"/>
    <n v="7730.04"/>
    <n v="1955.94"/>
    <s v="Paid"/>
    <x v="0"/>
    <s v="Unique"/>
    <m/>
    <s v="Clean"/>
    <s v="Invalid"/>
    <n v="0.25"/>
    <n v="9685.98"/>
    <n v="1955.9399999999996"/>
    <n v="0.20193516815025425"/>
    <x v="3"/>
    <n v="2024"/>
    <s v="Clean"/>
  </r>
  <r>
    <x v="292"/>
    <s v="28 Feb 2025"/>
    <s v="03-03-2025"/>
    <s v="03-Mar-2025"/>
    <s v="28-Feb-2025"/>
    <n v="3"/>
    <s v="CUST-7837"/>
    <s v="Kabir Singh"/>
    <x v="3"/>
    <x v="0"/>
    <s v="Haryana"/>
    <s v="Gurugram"/>
    <x v="0"/>
    <x v="2"/>
    <s v="Classic Art 183"/>
    <x v="1"/>
    <n v="9"/>
    <n v="3748.95"/>
    <n v="0"/>
    <n v="33740.550000000003"/>
    <n v="24621.89"/>
    <n v="9118.66"/>
    <s v="Pending"/>
    <x v="1"/>
    <s v="Unique"/>
    <m/>
    <s v="Clean"/>
    <s v="valid"/>
    <n v="0"/>
    <n v="33740.549999999996"/>
    <n v="9118.6599999999962"/>
    <n v="0.2702581908119458"/>
    <x v="5"/>
    <n v="2025"/>
    <s v="Warning"/>
  </r>
  <r>
    <x v="293"/>
    <s v="03/07/2024"/>
    <s v="11-03-2024"/>
    <s v="11-Mar-2024"/>
    <s v="03-Jul-2024"/>
    <n v="-114"/>
    <s v="CUST-7010"/>
    <s v="Arjun Bose"/>
    <x v="3"/>
    <x v="2"/>
    <s v="Telangana"/>
    <s v="Hyderabad"/>
    <x v="2"/>
    <x v="11"/>
    <s v="Pro Phones 455"/>
    <x v="2"/>
    <n v="2"/>
    <n v="4401.51"/>
    <n v="0.65"/>
    <n v="8362.8700000000008"/>
    <n v="6541.04"/>
    <n v="1821.83"/>
    <s v="Paid"/>
    <x v="0"/>
    <s v="Unique"/>
    <m/>
    <s v="Invalid"/>
    <s v="Invalid"/>
    <n v="0.65"/>
    <n v="3081.0569999999998"/>
    <n v="-3459.9830000000002"/>
    <n v="-1.1229857156164267"/>
    <x v="0"/>
    <n v="2024"/>
    <s v="Invalid"/>
  </r>
  <r>
    <x v="294"/>
    <s v="16 Jul 2025"/>
    <s v="07/22/2025"/>
    <s v="22-Jul-2025"/>
    <s v="16-Jul-2025"/>
    <n v="6"/>
    <s v="CUST-4755"/>
    <s v="Priya Menon"/>
    <x v="0"/>
    <x v="1"/>
    <s v="Odisha"/>
    <s v="Bhubaneswar"/>
    <x v="2"/>
    <x v="11"/>
    <s v="Basic Phones 326"/>
    <x v="0"/>
    <n v="6"/>
    <n v="4159.33"/>
    <n v="0.25"/>
    <n v="18716.990000000002"/>
    <n v="12282.43"/>
    <n v="6434.56"/>
    <s v="Paid"/>
    <x v="2"/>
    <s v="Unique"/>
    <m/>
    <s v="Clean"/>
    <s v="valid"/>
    <n v="0.25"/>
    <n v="18716.985000000001"/>
    <n v="6434.5550000000003"/>
    <n v="0.34378159730319813"/>
    <x v="0"/>
    <n v="2025"/>
    <s v="Clean"/>
  </r>
  <r>
    <x v="295"/>
    <s v="25 Jun 2025"/>
    <s v="28 Jun 2025"/>
    <s v="28-Jun-2025"/>
    <s v="25-Jun-2025"/>
    <n v="3"/>
    <s v="CUST-6778"/>
    <s v="Aditi Sen"/>
    <x v="1"/>
    <x v="1"/>
    <s v="Assam"/>
    <s v="Guwahati"/>
    <x v="0"/>
    <x v="9"/>
    <s v="Max Binders 587"/>
    <x v="3"/>
    <n v="3"/>
    <n v="3476.05"/>
    <n v="0.1"/>
    <n v="9385.34"/>
    <n v="5828.54"/>
    <n v="3556.8"/>
    <s v="Paid"/>
    <x v="0"/>
    <s v="Unique"/>
    <m/>
    <s v="Clean"/>
    <s v="valid"/>
    <n v="0.1"/>
    <n v="9385.3350000000009"/>
    <n v="3556.795000000001"/>
    <n v="0.37897368607513748"/>
    <x v="10"/>
    <n v="2025"/>
    <s v="Clean"/>
  </r>
  <r>
    <x v="296"/>
    <s v="24 May 2025"/>
    <s v="05/26/2025"/>
    <s v="26-May-2025"/>
    <s v="24-May-2025"/>
    <n v="2"/>
    <s v="CUST-7629"/>
    <s v="Aditi Sen"/>
    <x v="3"/>
    <x v="0"/>
    <s v="Haryana"/>
    <s v="Gurugram"/>
    <x v="1"/>
    <x v="3"/>
    <s v="Basic Furnishings 617"/>
    <x v="1"/>
    <n v="6"/>
    <n v="3495.41"/>
    <n v="0.15"/>
    <n v="17826.59"/>
    <n v="10855.35"/>
    <n v="6971.24"/>
    <s v="Paid"/>
    <x v="0"/>
    <s v="Unique"/>
    <m/>
    <s v="Clean"/>
    <s v="valid"/>
    <n v="0.15"/>
    <n v="17826.591"/>
    <n v="6971.241"/>
    <n v="0.39105855965394615"/>
    <x v="3"/>
    <n v="2025"/>
    <s v="Clean"/>
  </r>
  <r>
    <x v="297"/>
    <s v="2024-10-29"/>
    <s v="06-11-2024"/>
    <s v="06-Nov-2024"/>
    <s v="29-Oct-2024"/>
    <n v="8"/>
    <s v="CUST-6724"/>
    <s v="Sneha Kapoor"/>
    <x v="2"/>
    <x v="2"/>
    <s v="Tamil Nadu"/>
    <s v="Chennai"/>
    <x v="2"/>
    <x v="6"/>
    <s v="Prime Copiers 669"/>
    <x v="1"/>
    <n v="6"/>
    <n v="1169.92"/>
    <n v="0.15"/>
    <n v="5966.59"/>
    <n v="3994.72"/>
    <n v="1971.87"/>
    <s v="Paid"/>
    <x v="0"/>
    <s v="Unique"/>
    <m/>
    <s v="Clean"/>
    <s v="valid"/>
    <n v="0.15"/>
    <n v="5966.5920000000006"/>
    <n v="1971.8720000000008"/>
    <n v="0.33048547646629778"/>
    <x v="4"/>
    <n v="2024"/>
    <s v="Clean"/>
  </r>
  <r>
    <x v="298"/>
    <s v="23-01-2025"/>
    <s v="2025-01-26"/>
    <s v="26-Jan-2025"/>
    <s v="23-Jan-2025"/>
    <n v="3"/>
    <s v="CUST-2141"/>
    <s v="Isha Nair"/>
    <x v="0"/>
    <x v="2"/>
    <s v="Kerala"/>
    <s v="Kochi"/>
    <x v="2"/>
    <x v="6"/>
    <s v="Eco Copiers 894"/>
    <x v="2"/>
    <n v="7"/>
    <n v="348.49"/>
    <n v="0.2"/>
    <n v="1951.54"/>
    <n v="1609.95"/>
    <n v="341.59"/>
    <s v="Failed"/>
    <x v="2"/>
    <s v="Unique"/>
    <m/>
    <s v="Clean"/>
    <s v="valid"/>
    <n v="0.2"/>
    <n v="1951.5440000000003"/>
    <n v="341.59400000000028"/>
    <n v="0.17503781621116421"/>
    <x v="8"/>
    <n v="2025"/>
    <s v="Warning"/>
  </r>
  <r>
    <x v="299"/>
    <s v="06-11-2024"/>
    <s v="2024-11-12"/>
    <s v="12-Nov-2024"/>
    <s v="06-Nov-2024"/>
    <n v="6"/>
    <s v="CUST-7264"/>
    <s v="Rahul Verma"/>
    <x v="1"/>
    <x v="3"/>
    <s v="Gujarat"/>
    <s v="Ahmedabad"/>
    <x v="2"/>
    <x v="5"/>
    <s v="Max Accessories 145"/>
    <x v="3"/>
    <n v="7"/>
    <n v="1719.05"/>
    <n v="0.1"/>
    <n v="10830.02"/>
    <n v="7055.31"/>
    <n v="3774.71"/>
    <s v="Paid"/>
    <x v="0"/>
    <s v="Unique"/>
    <m/>
    <s v="Clean"/>
    <s v="valid"/>
    <n v="0.1"/>
    <n v="10830.015000000001"/>
    <n v="3774.7050000000008"/>
    <n v="0.34854106850267524"/>
    <x v="2"/>
    <n v="2024"/>
    <s v="Clean"/>
  </r>
  <r>
    <x v="300"/>
    <s v="15-04-2024"/>
    <s v="04/23/2024"/>
    <s v="23-Apr-2024"/>
    <s v="15-Apr-2024"/>
    <n v="8"/>
    <s v="CUST-2668"/>
    <s v="Diya Patel"/>
    <x v="1"/>
    <x v="0"/>
    <s v="Punjab"/>
    <s v="Ludhiana"/>
    <x v="2"/>
    <x v="5"/>
    <s v="Classic Accessories 126"/>
    <x v="0"/>
    <n v="9"/>
    <n v="3893.74"/>
    <n v="0.1"/>
    <n v="31539.29"/>
    <n v="22100.14"/>
    <n v="9439.15"/>
    <s v="Paid"/>
    <x v="0"/>
    <s v="Unique"/>
    <m/>
    <s v="Clean"/>
    <s v="valid"/>
    <n v="0.1"/>
    <n v="31539.293999999998"/>
    <n v="9439.1539999999986"/>
    <n v="0.29928234918638313"/>
    <x v="11"/>
    <n v="2024"/>
    <s v="Clean"/>
  </r>
  <r>
    <x v="301"/>
    <s v="28 May 2025"/>
    <s v="01-06-2025"/>
    <s v="01-Jun-2025"/>
    <s v="28-May-2025"/>
    <n v="4"/>
    <s v="CUST-5599"/>
    <s v="Isha Nair"/>
    <x v="3"/>
    <x v="1"/>
    <s v="Bihar"/>
    <s v="Patna"/>
    <x v="2"/>
    <x v="11"/>
    <s v="Elite Phones 202"/>
    <x v="1"/>
    <n v="4"/>
    <n v="1654.11"/>
    <n v="0.05"/>
    <n v="6285.62"/>
    <n v="3705.38"/>
    <n v="2580.2399999999998"/>
    <s v="Paid"/>
    <x v="0"/>
    <s v="Unique"/>
    <m/>
    <s v="Clean"/>
    <s v="valid"/>
    <n v="0.05"/>
    <n v="6285.6179999999995"/>
    <n v="2580.2379999999994"/>
    <n v="0.41049869718458865"/>
    <x v="3"/>
    <n v="2025"/>
    <s v="Clean"/>
  </r>
  <r>
    <x v="302"/>
    <s v="04-06-2025"/>
    <s v="2025-06-12"/>
    <s v="12-Jun-2025"/>
    <s v="04-Jun-2025"/>
    <n v="8"/>
    <s v="CUST-1623"/>
    <s v="Neha Gupta"/>
    <x v="0"/>
    <x v="3"/>
    <s v="Goa"/>
    <s v="Panaji"/>
    <x v="0"/>
    <x v="8"/>
    <s v="Elite Storage 535"/>
    <x v="1"/>
    <n v="2"/>
    <n v="2703.28"/>
    <n v="0.25"/>
    <n v="4054.92"/>
    <n v="2424.83"/>
    <n v="1630.09"/>
    <s v="Paid"/>
    <x v="0"/>
    <s v="Unique"/>
    <m/>
    <s v="Clean"/>
    <s v="valid"/>
    <n v="0.25"/>
    <n v="4054.92"/>
    <n v="1630.0900000000001"/>
    <n v="0.40200299882611745"/>
    <x v="10"/>
    <n v="2025"/>
    <s v="Clean"/>
  </r>
  <r>
    <x v="303"/>
    <s v="23 Jun 2024"/>
    <s v="28-06-2024"/>
    <s v="28-Jun-2024"/>
    <s v="23-Jun-2024"/>
    <n v="5"/>
    <s v="CUST-9035"/>
    <s v="Diya Patel"/>
    <x v="3"/>
    <x v="3"/>
    <s v="Gujarat"/>
    <s v="Ahmedabad"/>
    <x v="1"/>
    <x v="4"/>
    <s v="Elite Chairs 107"/>
    <x v="3"/>
    <n v="2"/>
    <n v="1313.14"/>
    <n v="0.1"/>
    <n v="2363.65"/>
    <n v="1876.1"/>
    <n v="487.55"/>
    <s v="Pending"/>
    <x v="2"/>
    <s v="Unique"/>
    <m/>
    <s v="Clean"/>
    <s v="valid"/>
    <n v="0.1"/>
    <n v="2363.652"/>
    <n v="487.55200000000013"/>
    <n v="0.20627063544041174"/>
    <x v="10"/>
    <n v="2024"/>
    <s v="Clean"/>
  </r>
  <r>
    <x v="304"/>
    <s v="03/06/2024"/>
    <s v="2024-03-13"/>
    <s v="13-Mar-2024"/>
    <s v="03-Jun-2024"/>
    <n v="-82"/>
    <s v="CUST-6286"/>
    <s v="Karan Malhotra"/>
    <x v="0"/>
    <x v="0"/>
    <s v="Punjab"/>
    <s v="Ludhiana"/>
    <x v="1"/>
    <x v="3"/>
    <s v="Pro Furnishings 991"/>
    <x v="3"/>
    <n v="6"/>
    <n v="2403.0500000000002"/>
    <n v="0.1"/>
    <n v="12976.47"/>
    <n v="10019.98"/>
    <n v="2956.49"/>
    <s v="Paid"/>
    <x v="0"/>
    <s v="Unique"/>
    <m/>
    <s v="Clean"/>
    <s v="Invalid"/>
    <n v="0.1"/>
    <n v="12976.470000000001"/>
    <n v="2956.4900000000016"/>
    <n v="0.22783468847845378"/>
    <x v="10"/>
    <n v="2024"/>
    <s v="Clean"/>
  </r>
  <r>
    <x v="305"/>
    <s v="01 May 2024"/>
    <s v="05/02/2024"/>
    <s v="05-Feb-2024"/>
    <s v="01-May-2024"/>
    <n v="-86"/>
    <s v="CUST-7246"/>
    <s v="Ananya Rao"/>
    <x v="0"/>
    <x v="1"/>
    <s v="Assam"/>
    <s v="Guwahati"/>
    <x v="1"/>
    <x v="4"/>
    <s v="Eco Chairs 105"/>
    <x v="2"/>
    <n v="4"/>
    <n v="4156.0600000000004"/>
    <n v="0.55000000000000004"/>
    <n v="13299.39"/>
    <n v="9851.91"/>
    <n v="3447.48"/>
    <s v="Paid"/>
    <x v="1"/>
    <s v="Unique"/>
    <m/>
    <s v="Invalid"/>
    <s v="Invalid"/>
    <n v="0.55000000000000004"/>
    <n v="7480.9080000000004"/>
    <n v="-2371.0019999999995"/>
    <n v="-0.31694040349112695"/>
    <x v="3"/>
    <n v="2024"/>
    <s v="Invalid"/>
  </r>
  <r>
    <x v="306"/>
    <s v="20 Feb 2025"/>
    <s v="2025-02-23"/>
    <s v="23-Feb-2025"/>
    <s v="20-Feb-2025"/>
    <n v="3"/>
    <s v="CUST-2589"/>
    <s v="Aarav Sharma"/>
    <x v="0"/>
    <x v="0"/>
    <s v="Rajasthan"/>
    <s v="Jaipur"/>
    <x v="2"/>
    <x v="11"/>
    <s v="Pro Phones 530"/>
    <x v="0"/>
    <n v="4"/>
    <n v="3673.11"/>
    <n v="0"/>
    <n v="14692.44"/>
    <n v="10082.19"/>
    <n v="4610.25"/>
    <s v="Paid"/>
    <x v="0"/>
    <s v="Unique"/>
    <m/>
    <s v="Clean"/>
    <s v="valid"/>
    <n v="0"/>
    <n v="14692.44"/>
    <n v="4610.25"/>
    <n v="0.31378382351740075"/>
    <x v="5"/>
    <n v="2025"/>
    <s v="Clean"/>
  </r>
  <r>
    <x v="307"/>
    <s v="2025-07-12"/>
    <s v="19 Jul 2025"/>
    <s v="19-Jul-2025"/>
    <s v="12-Jul-2025"/>
    <n v="7"/>
    <s v="CUST-4153"/>
    <s v="Ananya Rao"/>
    <x v="2"/>
    <x v="0"/>
    <s v="Uttar Pradesh"/>
    <s v="Noida"/>
    <x v="1"/>
    <x v="1"/>
    <s v="Basic Tables 911"/>
    <x v="2"/>
    <n v="9"/>
    <n v="4093.04"/>
    <n v="0.2"/>
    <n v="29469.89"/>
    <n v="18935.509999999998"/>
    <n v="10534.38"/>
    <s v="Pending"/>
    <x v="1"/>
    <s v="Unique"/>
    <m/>
    <s v="Clean"/>
    <s v="valid"/>
    <n v="0.2"/>
    <n v="29469.888000000003"/>
    <n v="10534.378000000004"/>
    <n v="0.3574624375905332"/>
    <x v="0"/>
    <n v="2025"/>
    <s v="Warning"/>
  </r>
  <r>
    <x v="308"/>
    <s v="2025-06-13"/>
    <s v="2025-06-19"/>
    <s v="19-Jun-2025"/>
    <s v="13-Jun-2025"/>
    <n v="6"/>
    <s v="CUST-6727"/>
    <s v="Rohan Mehta"/>
    <x v="0"/>
    <x v="0"/>
    <s v="Rajasthan"/>
    <s v="Jaipur"/>
    <x v="1"/>
    <x v="1"/>
    <s v="Classic Tables 224"/>
    <x v="2"/>
    <n v="4"/>
    <n v="731.57"/>
    <n v="0.2"/>
    <n v="2341.02"/>
    <n v="1565.49"/>
    <n v="775.53"/>
    <s v="Paid"/>
    <x v="0"/>
    <s v="Unique"/>
    <m/>
    <s v="Clean"/>
    <s v="valid"/>
    <n v="0.2"/>
    <n v="2341.0240000000003"/>
    <n v="775.53400000000033"/>
    <n v="0.33127981601213835"/>
    <x v="10"/>
    <n v="2025"/>
    <s v="Clean"/>
  </r>
  <r>
    <x v="309"/>
    <s v="07/20/2024"/>
    <s v="2024-07-22"/>
    <s v="22-Jul-2024"/>
    <s v="20-Jul-2024"/>
    <n v="2"/>
    <s v="CUST-8860"/>
    <s v="Ananya Rao"/>
    <x v="0"/>
    <x v="2"/>
    <s v="Tamil Nadu"/>
    <s v="Chennai"/>
    <x v="1"/>
    <x v="1"/>
    <s v="Prime Tables 214"/>
    <x v="2"/>
    <n v="7"/>
    <n v="2060.73"/>
    <n v="0.1"/>
    <n v="12982.6"/>
    <n v="7246.36"/>
    <n v="5736.24"/>
    <s v="Paid"/>
    <x v="1"/>
    <s v="Unique"/>
    <m/>
    <s v="Clean"/>
    <s v="valid"/>
    <n v="0.1"/>
    <n v="12982.599"/>
    <n v="5736.2390000000005"/>
    <n v="0.441840574448922"/>
    <x v="0"/>
    <n v="2024"/>
    <s v="Warning"/>
  </r>
  <r>
    <x v="310"/>
    <s v="04-07-2024"/>
    <s v="08-07-2024"/>
    <s v="08-Jul-2024"/>
    <s v="04-Jul-2024"/>
    <n v="4"/>
    <s v="CUST-3784"/>
    <s v="Rohan Mehta"/>
    <x v="1"/>
    <x v="2"/>
    <s v="Tamil Nadu"/>
    <s v="Chennai"/>
    <x v="2"/>
    <x v="12"/>
    <s v="Max Machines 988"/>
    <x v="2"/>
    <n v="8"/>
    <n v="2034.25"/>
    <n v="0"/>
    <n v="16274"/>
    <n v="9424.25"/>
    <n v="6849.75"/>
    <s v="Paid"/>
    <x v="0"/>
    <s v="Unique"/>
    <m/>
    <s v="Clean"/>
    <s v="valid"/>
    <n v="0"/>
    <n v="16274"/>
    <n v="6849.75"/>
    <n v="0.42090143787636719"/>
    <x v="0"/>
    <n v="2024"/>
    <s v="Clean"/>
  </r>
  <r>
    <x v="311"/>
    <s v="27-04-2024"/>
    <s v="02-05-2024"/>
    <s v="02-May-2024"/>
    <s v="27-Apr-2024"/>
    <n v="5"/>
    <s v="CUST-3545"/>
    <s v="Mira Das"/>
    <x v="2"/>
    <x v="2"/>
    <s v="Karnataka"/>
    <s v="Bengaluru"/>
    <x v="0"/>
    <x v="9"/>
    <s v="Max Binders 425"/>
    <x v="0"/>
    <n v="5"/>
    <n v="554.04"/>
    <n v="0.1"/>
    <n v="2493.1799999999998"/>
    <n v="1764"/>
    <n v="729.18"/>
    <s v="Paid"/>
    <x v="0"/>
    <s v="Unique"/>
    <m/>
    <s v="Clean"/>
    <s v="valid"/>
    <n v="0.1"/>
    <n v="2493.1799999999998"/>
    <n v="729.17999999999984"/>
    <n v="0.29246985777200196"/>
    <x v="11"/>
    <n v="2024"/>
    <s v="Clean"/>
  </r>
  <r>
    <x v="312"/>
    <s v="07/31/2024"/>
    <s v="04-08-2024"/>
    <s v="04-Aug-2024"/>
    <s v="31-Jul-2024"/>
    <n v="4"/>
    <s v="CUST-4851"/>
    <s v="Karan Malhotra"/>
    <x v="1"/>
    <x v="1"/>
    <s v="Assam"/>
    <s v="Guwahati"/>
    <x v="2"/>
    <x v="11"/>
    <s v="Elite Phones 679"/>
    <x v="3"/>
    <n v="8"/>
    <n v="2614.7399999999998"/>
    <n v="0"/>
    <n v="15688.44"/>
    <n v="10047.33"/>
    <n v="5641.11"/>
    <s v="Paid"/>
    <x v="1"/>
    <s v="Unique"/>
    <m/>
    <s v="Clean"/>
    <s v="valid"/>
    <n v="0"/>
    <n v="20917.919999999998"/>
    <n v="10870.589999999998"/>
    <n v="0.5196783427797792"/>
    <x v="0"/>
    <n v="2024"/>
    <s v="Warning"/>
  </r>
  <r>
    <x v="313"/>
    <s v="2025-05-30"/>
    <s v="31-05-2025"/>
    <s v="31-May-2025"/>
    <s v="30-May-2025"/>
    <n v="1"/>
    <s v="CUST-4770"/>
    <s v="Rahul Verma"/>
    <x v="2"/>
    <x v="0"/>
    <s v="Uttar Pradesh"/>
    <s v="Noida"/>
    <x v="2"/>
    <x v="11"/>
    <s v="Pro Phones 764"/>
    <x v="2"/>
    <n v="8"/>
    <n v="2081.4299999999998"/>
    <n v="0.25"/>
    <n v="12488.58"/>
    <n v="10717.4"/>
    <n v="1771.18"/>
    <s v="Refunded"/>
    <x v="1"/>
    <s v="Unique"/>
    <m/>
    <s v="Clean"/>
    <s v="valid"/>
    <n v="0.25"/>
    <n v="12488.579999999998"/>
    <n v="1771.1799999999985"/>
    <n v="0.14182397037933847"/>
    <x v="3"/>
    <n v="2025"/>
    <s v="Warning"/>
  </r>
  <r>
    <x v="314"/>
    <s v="05/18/2025"/>
    <s v="20 May 2025"/>
    <s v="20-May-2025"/>
    <s v="18-May-2025"/>
    <n v="2"/>
    <s v="CUST-1945"/>
    <s v="Isha Nair"/>
    <x v="2"/>
    <x v="3"/>
    <s v="Madhya Pradesh"/>
    <s v="Indore"/>
    <x v="0"/>
    <x v="7"/>
    <s v="Elite Labels 544"/>
    <x v="3"/>
    <n v="9"/>
    <n v="847.76"/>
    <n v="0.15"/>
    <n v="6485.36"/>
    <n v="5376.17"/>
    <n v="1109.19"/>
    <s v="Failed"/>
    <x v="2"/>
    <s v="Duplicate Order ID"/>
    <s v="FLAG FOR REVIEW"/>
    <s v="Clean"/>
    <s v="valid"/>
    <n v="0.15"/>
    <n v="6485.3639999999996"/>
    <n v="1109.1939999999995"/>
    <n v="0.17103033846673826"/>
    <x v="3"/>
    <n v="2025"/>
    <s v="Warning"/>
  </r>
  <r>
    <x v="315"/>
    <s v="2024-07-02"/>
    <s v="2024-07-08"/>
    <s v="08-Jul-2024"/>
    <s v="02-Jul-2024"/>
    <n v="6"/>
    <s v="CUST-7565"/>
    <s v="Rohan Mehta"/>
    <x v="0"/>
    <x v="0"/>
    <s v="Delhi"/>
    <s v="New Delhi"/>
    <x v="0"/>
    <x v="0"/>
    <s v="Smart Paper 817"/>
    <x v="3"/>
    <n v="9"/>
    <n v="3450.4"/>
    <n v="0.05"/>
    <n v="29500.92"/>
    <n v="17989.68"/>
    <n v="11511.24"/>
    <s v="Pending"/>
    <x v="2"/>
    <s v="Unique"/>
    <m/>
    <s v="Clean"/>
    <s v="valid"/>
    <n v="0.05"/>
    <n v="29500.920000000002"/>
    <n v="11511.240000000002"/>
    <n v="0.39019935649464493"/>
    <x v="0"/>
    <n v="2024"/>
    <s v="Clean"/>
  </r>
  <r>
    <x v="316"/>
    <s v="16-02-2024"/>
    <s v="02/18/2024"/>
    <s v="18-Feb-2024"/>
    <s v="16-Feb-2024"/>
    <n v="2"/>
    <s v="CUST-9913"/>
    <s v="Karan Malhotra"/>
    <x v="2"/>
    <x v="0"/>
    <s v="Punjab"/>
    <s v="Ludhiana"/>
    <x v="0"/>
    <x v="7"/>
    <s v="Classic Labels 466"/>
    <x v="3"/>
    <n v="2"/>
    <n v="1947.53"/>
    <n v="0.2"/>
    <n v="3116.05"/>
    <n v="1956.63"/>
    <n v="1159.42"/>
    <s v="Paid"/>
    <x v="1"/>
    <s v="Unique"/>
    <m/>
    <s v="Clean"/>
    <s v="valid"/>
    <n v="0.2"/>
    <n v="3116.0480000000002"/>
    <n v="1159.4180000000001"/>
    <n v="0.37207963420332424"/>
    <x v="5"/>
    <n v="2024"/>
    <s v="Warning"/>
  </r>
  <r>
    <x v="317"/>
    <s v="29-08-2025"/>
    <s v="04 Sep 2025"/>
    <s v="04-Sep-2025"/>
    <s v="29-Aug-2025"/>
    <n v="6"/>
    <s v="CUST-7992"/>
    <s v="Neha Gupta"/>
    <x v="2"/>
    <x v="2"/>
    <s v="Kerala"/>
    <s v="Kochi"/>
    <x v="1"/>
    <x v="1"/>
    <s v="Pro Tables 778"/>
    <x v="2"/>
    <n v="9"/>
    <n v="2996.97"/>
    <n v="0.15"/>
    <n v="22926.82"/>
    <n v="14621.59"/>
    <n v="8305.23"/>
    <s v="Paid"/>
    <x v="0"/>
    <s v="Unique"/>
    <m/>
    <s v="Clean"/>
    <s v="valid"/>
    <n v="0.15"/>
    <n v="22926.820499999998"/>
    <n v="8305.2304999999978"/>
    <n v="0.36224955396671765"/>
    <x v="1"/>
    <n v="2025"/>
    <s v="Clean"/>
  </r>
  <r>
    <x v="318"/>
    <s v="25 Apr 2024"/>
    <s v="30-04-2024"/>
    <s v="30-Apr-2024"/>
    <s v="25-Apr-2024"/>
    <n v="5"/>
    <s v="CUST-8877"/>
    <s v="Mira Das"/>
    <x v="1"/>
    <x v="2"/>
    <s v="Karnataka"/>
    <s v="Bengaluru"/>
    <x v="2"/>
    <x v="11"/>
    <s v="Basic Phones 789"/>
    <x v="3"/>
    <n v="3"/>
    <n v="4149.46"/>
    <n v="0.1"/>
    <n v="11203.54"/>
    <n v="8452.93"/>
    <n v="2750.61"/>
    <s v="Paid"/>
    <x v="0"/>
    <s v="Unique"/>
    <m/>
    <s v="Clean"/>
    <s v="valid"/>
    <n v="0.1"/>
    <n v="11203.542000000001"/>
    <n v="2750.612000000001"/>
    <n v="0.24551271374713468"/>
    <x v="11"/>
    <n v="2024"/>
    <s v="Clean"/>
  </r>
  <r>
    <x v="319"/>
    <s v="21 Aug 2024"/>
    <s v="08/25/2024"/>
    <s v="25-Aug-2024"/>
    <s v="21-Aug-2024"/>
    <n v="4"/>
    <s v="CUST-4589"/>
    <s v="Diya Patel"/>
    <x v="0"/>
    <x v="3"/>
    <s v="Gujarat"/>
    <s v="Ahmedabad"/>
    <x v="0"/>
    <x v="9"/>
    <s v="Prime Binders 554"/>
    <x v="2"/>
    <n v="1"/>
    <n v="270.27999999999997"/>
    <n v="0"/>
    <n v="270.27999999999997"/>
    <n v="156.34"/>
    <n v="113.94"/>
    <s v="Paid"/>
    <x v="0"/>
    <s v="Unique"/>
    <m/>
    <s v="Clean"/>
    <s v="valid"/>
    <n v="0"/>
    <n v="270.27999999999997"/>
    <n v="113.93999999999997"/>
    <n v="0.42156282373834536"/>
    <x v="1"/>
    <n v="2024"/>
    <s v="Clean"/>
  </r>
  <r>
    <x v="320"/>
    <s v="12/04/2024"/>
    <s v="12/06/2024"/>
    <s v="12-Jun-2024"/>
    <s v="12-Apr-2024"/>
    <n v="61"/>
    <s v="CUST-4667"/>
    <s v="Aarav Sharma"/>
    <x v="3"/>
    <x v="1"/>
    <s v="West Bengal"/>
    <s v="Kolkata"/>
    <x v="0"/>
    <x v="2"/>
    <s v="Classic Art 299"/>
    <x v="0"/>
    <n v="3"/>
    <n v="876.14"/>
    <s v="70%"/>
    <n v="2628.42"/>
    <n v="1541.54"/>
    <n v="1086.8800000000001"/>
    <s v="Pending"/>
    <x v="2"/>
    <s v="Unique"/>
    <m/>
    <s v="Invalid"/>
    <s v="valid"/>
    <n v="6.9999999999999993E-3"/>
    <n v="2610.02106"/>
    <n v="1068.4810600000001"/>
    <n v="0.40937641323093388"/>
    <x v="11"/>
    <n v="2024"/>
    <s v="Clean"/>
  </r>
  <r>
    <x v="321"/>
    <s v="06/23/2024"/>
    <s v="30 Jun 2024"/>
    <s v="30-Jun-2024"/>
    <s v="23-Jun-2024"/>
    <n v="7"/>
    <s v="CUST-7821"/>
    <s v="Neha Gupta"/>
    <x v="1"/>
    <x v="3"/>
    <s v="Goa"/>
    <s v="Panaji"/>
    <x v="2"/>
    <x v="5"/>
    <s v="Eco Accessories 220"/>
    <x v="1"/>
    <n v="4"/>
    <n v="674.82"/>
    <n v="0"/>
    <n v="2699.28"/>
    <n v="1759.76"/>
    <n v="939.52"/>
    <s v="Failed"/>
    <x v="1"/>
    <s v="Unique"/>
    <m/>
    <s v="Clean"/>
    <s v="valid"/>
    <n v="0"/>
    <n v="2699.28"/>
    <n v="939.52000000000021"/>
    <n v="0.34806318722029583"/>
    <x v="10"/>
    <n v="2024"/>
    <s v="Warning"/>
  </r>
  <r>
    <x v="322"/>
    <s v="2024-11-12"/>
    <s v="12-11-2024"/>
    <s v="12-Nov-2024"/>
    <s v="12-Nov-2024"/>
    <n v="0"/>
    <s v="CUST-8579"/>
    <s v="Isha Nair"/>
    <x v="0"/>
    <x v="0"/>
    <s v="Uttar Pradesh"/>
    <s v="Noida"/>
    <x v="2"/>
    <x v="11"/>
    <s v="Max Phones 422"/>
    <x v="0"/>
    <n v="6"/>
    <n v="1369.48"/>
    <n v="0.15"/>
    <n v="6984.35"/>
    <n v="4023.63"/>
    <n v="2960.72"/>
    <s v="Paid"/>
    <x v="0"/>
    <s v="Unique"/>
    <m/>
    <s v="Clean"/>
    <s v="valid"/>
    <n v="0.15"/>
    <n v="6984.3480000000009"/>
    <n v="2960.7180000000008"/>
    <n v="0.42390757161584736"/>
    <x v="2"/>
    <n v="2024"/>
    <s v="Clean"/>
  </r>
  <r>
    <x v="323"/>
    <s v="25-02-2024"/>
    <s v="29 Feb 2024"/>
    <s v="29-Feb-2024"/>
    <s v="25-Feb-2024"/>
    <n v="4"/>
    <s v="CUST-6909"/>
    <s v="Isha Nair"/>
    <x v="1"/>
    <x v="3"/>
    <s v="Goa"/>
    <s v="Panaji"/>
    <x v="1"/>
    <x v="3"/>
    <s v="Eco Furnishings 897"/>
    <x v="3"/>
    <n v="9"/>
    <n v="1331.46"/>
    <n v="0.15"/>
    <n v="10185.67"/>
    <n v="6479.31"/>
    <n v="3706.36"/>
    <s v="Paid"/>
    <x v="0"/>
    <s v="Unique"/>
    <m/>
    <s v="Clean"/>
    <s v="valid"/>
    <n v="0.15"/>
    <n v="10185.669"/>
    <n v="3706.3589999999995"/>
    <n v="0.36387978050337189"/>
    <x v="5"/>
    <n v="2024"/>
    <s v="Clean"/>
  </r>
  <r>
    <x v="324"/>
    <s v="31 Jul 2025"/>
    <s v="02-08-2025"/>
    <s v="02-Aug-2025"/>
    <s v="31-Jul-2025"/>
    <n v="2"/>
    <s v="CUST-7212"/>
    <s v="Rohan Mehta"/>
    <x v="3"/>
    <x v="2"/>
    <s v="Andhra Pradesh"/>
    <s v="Vijayawada"/>
    <x v="0"/>
    <x v="7"/>
    <s v="Basic Labels 102"/>
    <x v="1"/>
    <n v="1"/>
    <n v="1947.88"/>
    <n v="0.15"/>
    <n v="1655.7"/>
    <n v="1354.8"/>
    <n v="300.89999999999998"/>
    <s v="Paid"/>
    <x v="2"/>
    <s v="Unique"/>
    <m/>
    <s v="Clean"/>
    <s v="valid"/>
    <n v="0.15"/>
    <n v="1655.6980000000001"/>
    <n v="300.89800000000014"/>
    <n v="0.1817348332848141"/>
    <x v="0"/>
    <n v="2025"/>
    <s v="Clean"/>
  </r>
  <r>
    <x v="325"/>
    <s v="09/16/2025"/>
    <s v="2025-09-22"/>
    <s v="22-Sep-2025"/>
    <s v="16-Sep-2025"/>
    <n v="6"/>
    <s v="CUST-7980"/>
    <s v="Sneha Kapoor"/>
    <x v="3"/>
    <x v="1"/>
    <s v="West Bengal"/>
    <s v="Kolkata"/>
    <x v="2"/>
    <x v="6"/>
    <s v="Prime Copiers 170"/>
    <x v="0"/>
    <n v="5"/>
    <n v="3671.2"/>
    <n v="0.15"/>
    <n v="15602.6"/>
    <n v="11908.52"/>
    <n v="3694.08"/>
    <s v="Paid"/>
    <x v="0"/>
    <s v="Unique"/>
    <m/>
    <s v="Clean"/>
    <s v="valid"/>
    <n v="0.15"/>
    <n v="15602.6"/>
    <n v="3694.08"/>
    <n v="0.236760539910015"/>
    <x v="6"/>
    <n v="2025"/>
    <s v="Clean"/>
  </r>
  <r>
    <x v="326"/>
    <s v="2025-07-22"/>
    <s v="07/22/2025"/>
    <s v="22-Jul-2025"/>
    <s v="22-Jul-2025"/>
    <n v="0"/>
    <s v="CUST-1966"/>
    <s v="Sneha Kapoor"/>
    <x v="2"/>
    <x v="1"/>
    <s v="Jharkhand"/>
    <s v="Ranchi"/>
    <x v="1"/>
    <x v="3"/>
    <s v="Smart Furnishings 533"/>
    <x v="1"/>
    <n v="5"/>
    <n v="3187.05"/>
    <n v="0.05"/>
    <n v="15138.49"/>
    <n v="11235.72"/>
    <n v="3902.77"/>
    <s v="Paid"/>
    <x v="0"/>
    <s v="Unique"/>
    <m/>
    <s v="Clean"/>
    <s v="valid"/>
    <n v="0.05"/>
    <n v="15138.487499999999"/>
    <n v="3902.7674999999999"/>
    <n v="0.25780432160082045"/>
    <x v="0"/>
    <n v="2025"/>
    <s v="Clean"/>
  </r>
  <r>
    <x v="327"/>
    <s v="2024-07-24"/>
    <s v="27-07-2024"/>
    <s v="27-Jul-2024"/>
    <s v="24-Jul-2024"/>
    <n v="3"/>
    <s v="CUST-6163"/>
    <s v="Isha Nair"/>
    <x v="0"/>
    <x v="3"/>
    <s v="Rajasthan"/>
    <s v="Udaipur"/>
    <x v="2"/>
    <x v="5"/>
    <s v="Classic Accessories 489"/>
    <x v="0"/>
    <n v="3"/>
    <n v="1834.55"/>
    <n v="0.2"/>
    <n v="4402.92"/>
    <n v="2993.94"/>
    <n v="1408.98"/>
    <s v="Pending"/>
    <x v="1"/>
    <s v="Unique"/>
    <m/>
    <s v="Clean"/>
    <s v="valid"/>
    <n v="0.2"/>
    <n v="4402.92"/>
    <n v="1408.98"/>
    <n v="0.32001035676323897"/>
    <x v="0"/>
    <n v="2024"/>
    <s v="Warning"/>
  </r>
  <r>
    <x v="328"/>
    <s v="2025-05-29"/>
    <s v="04 Jun 2025"/>
    <s v="04-Jun-2025"/>
    <s v="29-May-2025"/>
    <n v="6"/>
    <s v="CUST-7239"/>
    <s v="Diya Patel"/>
    <x v="0"/>
    <x v="3"/>
    <s v="Maharashtra"/>
    <s v="Mumbai"/>
    <x v="0"/>
    <x v="8"/>
    <s v="Smart Storage 439"/>
    <x v="2"/>
    <n v="6"/>
    <n v="3100.68"/>
    <n v="0"/>
    <n v="18604.080000000002"/>
    <n v="15834.3"/>
    <n v="2769.78"/>
    <s v="Paid"/>
    <x v="0"/>
    <s v="Unique"/>
    <m/>
    <s v="Clean"/>
    <s v="valid"/>
    <n v="0"/>
    <n v="18604.079999999998"/>
    <n v="2769.7799999999988"/>
    <n v="0.1488802456235406"/>
    <x v="3"/>
    <n v="2025"/>
    <s v="Clean"/>
  </r>
  <r>
    <x v="329"/>
    <s v="12 May 2025"/>
    <s v="2025-05-18"/>
    <s v="18-May-2025"/>
    <s v="12-May-2025"/>
    <n v="6"/>
    <s v="CUST-9718"/>
    <s v="Neha Gupta"/>
    <x v="1"/>
    <x v="3"/>
    <s v="Maharashtra"/>
    <s v="Mumbai"/>
    <x v="0"/>
    <x v="8"/>
    <s v="Prime Storage 232"/>
    <x v="3"/>
    <n v="4"/>
    <n v="4053.03"/>
    <n v="0.05"/>
    <n v="15401.51"/>
    <n v="8650.42"/>
    <n v="6751.09"/>
    <s v="Paid"/>
    <x v="0"/>
    <s v="Unique"/>
    <m/>
    <s v="Clean"/>
    <s v="valid"/>
    <n v="0.05"/>
    <n v="15401.513999999999"/>
    <n v="6751.0939999999991"/>
    <n v="0.43833963336331738"/>
    <x v="3"/>
    <n v="2025"/>
    <s v="Clean"/>
  </r>
  <r>
    <x v="330"/>
    <s v="05/16/2024"/>
    <s v="05/24/2024"/>
    <s v="24-May-2024"/>
    <s v="16-May-2024"/>
    <n v="8"/>
    <s v="CUST-1116"/>
    <s v="Arjun Bose"/>
    <x v="3"/>
    <x v="0"/>
    <s v="Punjab"/>
    <s v="Ludhiana"/>
    <x v="2"/>
    <x v="5"/>
    <s v="Prime Accessories 335"/>
    <x v="1"/>
    <n v="1"/>
    <n v="783.09"/>
    <n v="0"/>
    <n v="783.09"/>
    <n v="503.89"/>
    <n v="279.2"/>
    <s v="Failed"/>
    <x v="1"/>
    <s v="Unique"/>
    <m/>
    <s v="Clean"/>
    <s v="valid"/>
    <n v="0"/>
    <n v="783.09"/>
    <n v="279.20000000000005"/>
    <n v="0.3565362857398256"/>
    <x v="3"/>
    <n v="2024"/>
    <s v="Warning"/>
  </r>
  <r>
    <x v="331"/>
    <s v="04-12-2024"/>
    <s v="2024-12-06"/>
    <s v="06-Dec-2024"/>
    <s v="04-Dec-2024"/>
    <n v="2"/>
    <s v="CUST-9346"/>
    <s v="Sneha Kapoor"/>
    <x v="3"/>
    <x v="1"/>
    <s v="Odisha"/>
    <s v="Bhubaneswar"/>
    <x v="0"/>
    <x v="9"/>
    <s v="Smart Binders 939"/>
    <x v="0"/>
    <n v="4"/>
    <n v="2685.66"/>
    <n v="0"/>
    <n v="10742.64"/>
    <n v="6477.37"/>
    <n v="4265.2700000000004"/>
    <s v="Paid"/>
    <x v="2"/>
    <s v="Duplicate Order ID"/>
    <s v="FLAG FOR REVIEW"/>
    <s v="Clean"/>
    <s v="valid"/>
    <n v="0"/>
    <n v="10742.64"/>
    <n v="4265.2699999999995"/>
    <n v="0.39704113700170535"/>
    <x v="7"/>
    <n v="2024"/>
    <s v="Clean"/>
  </r>
  <r>
    <x v="332"/>
    <s v="27 May 2025"/>
    <s v="2025-05-28"/>
    <s v="28-May-2025"/>
    <s v="27-May-2025"/>
    <n v="1"/>
    <s v="CUST-5332"/>
    <s v="Aarav Sharma"/>
    <x v="0"/>
    <x v="2"/>
    <s v="Andhra Pradesh"/>
    <s v="Vijayawada"/>
    <x v="2"/>
    <x v="12"/>
    <s v="Basic Machines 601"/>
    <x v="0"/>
    <n v="2"/>
    <n v="3911.96"/>
    <n v="0"/>
    <n v="7823.92"/>
    <n v="6034.63"/>
    <n v="1789.29"/>
    <s v="Paid"/>
    <x v="0"/>
    <s v="Unique"/>
    <m/>
    <s v="Clean"/>
    <s v="valid"/>
    <n v="0"/>
    <n v="7823.92"/>
    <n v="1789.29"/>
    <n v="0.22869482305545047"/>
    <x v="3"/>
    <n v="2025"/>
    <s v="Clean"/>
  </r>
  <r>
    <x v="333"/>
    <s v="22 Jun 2025"/>
    <s v="2025-06-27"/>
    <s v="27-Jun-2025"/>
    <s v="22-Jun-2025"/>
    <n v="5"/>
    <s v="CUST-8081"/>
    <s v="Rohan Mehta"/>
    <x v="3"/>
    <x v="4"/>
    <s v="Delhi"/>
    <s v="New Delhi"/>
    <x v="2"/>
    <x v="11"/>
    <s v="Pro Phones 968"/>
    <x v="2"/>
    <n v="2"/>
    <n v="1468.05"/>
    <n v="0"/>
    <n v="2936.1"/>
    <n v="1923.1"/>
    <n v="1013"/>
    <s v="Paid"/>
    <x v="0"/>
    <s v="Unique"/>
    <m/>
    <s v="Clean"/>
    <s v="valid"/>
    <n v="0"/>
    <n v="2936.1"/>
    <n v="1013"/>
    <n v="0.34501549674738602"/>
    <x v="10"/>
    <n v="2025"/>
    <s v="Clean"/>
  </r>
  <r>
    <x v="334"/>
    <s v="12 Sep 2024"/>
    <s v="17-09-2024"/>
    <s v="17-Sep-2024"/>
    <s v="12-Sep-2024"/>
    <n v="5"/>
    <s v="CUST-3062"/>
    <s v="Ananya Rao"/>
    <x v="0"/>
    <x v="1"/>
    <s v="Jharkhand"/>
    <s v="Ranchi"/>
    <x v="0"/>
    <x v="8"/>
    <s v="Pro Storage 563"/>
    <x v="2"/>
    <n v="9"/>
    <n v="1921.47"/>
    <n v="0.25"/>
    <n v="12969.92"/>
    <n v="9398.4599999999991"/>
    <n v="3571.46"/>
    <s v="Paid"/>
    <x v="0"/>
    <s v="Unique"/>
    <m/>
    <s v="Clean"/>
    <s v="valid"/>
    <n v="0.25"/>
    <n v="12969.922500000001"/>
    <n v="3571.4625000000015"/>
    <n v="0.27536498386941027"/>
    <x v="6"/>
    <n v="2024"/>
    <s v="Clean"/>
  </r>
  <r>
    <x v="335"/>
    <s v="06/16/2025"/>
    <s v="18 Jun 2025"/>
    <s v="18-Jun-2025"/>
    <s v="16-Jun-2025"/>
    <n v="2"/>
    <s v="CUST-3621"/>
    <s v="Rahul Verma"/>
    <x v="3"/>
    <x v="3"/>
    <s v="Madhya Pradesh"/>
    <s v="Indore"/>
    <x v="0"/>
    <x v="0"/>
    <s v="Prime Paper 559"/>
    <x v="2"/>
    <n v="3"/>
    <n v="4289.37"/>
    <n v="0.1"/>
    <n v="11581.3"/>
    <n v="6829.43"/>
    <n v="4751.87"/>
    <s v="Paid"/>
    <x v="0"/>
    <s v="Duplicate Order ID"/>
    <s v="FLAG FOR REVIEW"/>
    <s v="Clean"/>
    <s v="valid"/>
    <n v="0.1"/>
    <n v="11581.299000000001"/>
    <n v="4751.8690000000006"/>
    <n v="0.41030535521101735"/>
    <x v="10"/>
    <n v="2025"/>
    <s v="Clean"/>
  </r>
  <r>
    <x v="336"/>
    <s v="17-03-2024"/>
    <s v="03/21/2024"/>
    <s v="21-Mar-2024"/>
    <s v="17-Mar-2024"/>
    <n v="4"/>
    <s v="CUST-2103"/>
    <s v="Aarav Sharma"/>
    <x v="0"/>
    <x v="0"/>
    <s v="Rajasthan"/>
    <s v="Jaipur"/>
    <x v="2"/>
    <x v="6"/>
    <s v="Pro Copiers 999"/>
    <x v="2"/>
    <n v="8"/>
    <n v="1992.57"/>
    <n v="0"/>
    <n v="15940.56"/>
    <n v="12347.15"/>
    <n v="3593.41"/>
    <s v="Paid"/>
    <x v="0"/>
    <s v="Unique"/>
    <m/>
    <s v="Clean"/>
    <s v="valid"/>
    <n v="0"/>
    <n v="15940.56"/>
    <n v="3593.41"/>
    <n v="0.2254255810335396"/>
    <x v="9"/>
    <n v="2024"/>
    <s v="Clean"/>
  </r>
  <r>
    <x v="337"/>
    <s v="12 Aug 2024"/>
    <s v="18 Aug 2024"/>
    <s v="18-Aug-2024"/>
    <s v="12-Aug-2024"/>
    <n v="6"/>
    <s v="CUST-4599"/>
    <s v="Ananya Rao"/>
    <x v="0"/>
    <x v="1"/>
    <s v="Assam"/>
    <s v="Guwahati"/>
    <x v="0"/>
    <x v="7"/>
    <s v="Classic Labels 206"/>
    <x v="1"/>
    <n v="6"/>
    <n v="1181.74"/>
    <n v="0"/>
    <n v="7090.44"/>
    <n v="5672.27"/>
    <n v="1262.8699999999999"/>
    <s v="Paid"/>
    <x v="0"/>
    <s v="Unique"/>
    <m/>
    <s v="Clean"/>
    <s v="valid"/>
    <n v="0"/>
    <n v="7090.4400000000005"/>
    <n v="1418.17"/>
    <n v="0.20001156486762456"/>
    <x v="1"/>
    <n v="2024"/>
    <s v="Clean"/>
  </r>
  <r>
    <x v="338"/>
    <s v="08-12-2024"/>
    <s v="12/08/2024"/>
    <s v="12-Aug-2024"/>
    <s v="08-Dec-2024"/>
    <n v="-118"/>
    <s v="CUST-3066"/>
    <s v="Arjun Bose"/>
    <x v="1"/>
    <x v="2"/>
    <s v="Andhra Pradesh"/>
    <s v="Vijayawada"/>
    <x v="2"/>
    <x v="5"/>
    <s v="Eco Accessories 315"/>
    <x v="2"/>
    <n v="8"/>
    <n v="4402.3599999999997"/>
    <n v="0.25"/>
    <n v="26414.16"/>
    <n v="21822.53"/>
    <n v="4591.63"/>
    <s v="Paid"/>
    <x v="0"/>
    <s v="Unique"/>
    <m/>
    <s v="Clean"/>
    <s v="Invalid"/>
    <n v="0.25"/>
    <n v="26414.159999999996"/>
    <n v="4591.6299999999974"/>
    <n v="0.17383214154832097"/>
    <x v="7"/>
    <n v="2024"/>
    <s v="Clean"/>
  </r>
  <r>
    <x v="339"/>
    <s v="20-02-2025"/>
    <s v="22-02-2025"/>
    <s v="22-Feb-2025"/>
    <s v="20-Feb-2025"/>
    <n v="2"/>
    <s v="CUST-2752"/>
    <s v="Neha Gupta"/>
    <x v="2"/>
    <x v="1"/>
    <s v="Jharkhand"/>
    <s v="Ranchi"/>
    <x v="1"/>
    <x v="10"/>
    <s v="Elite Bookcases 988"/>
    <x v="3"/>
    <n v="8"/>
    <n v="3265.76"/>
    <n v="0.2"/>
    <n v="20900.86"/>
    <n v="12513.14"/>
    <n v="8387.7199999999993"/>
    <s v="Paid"/>
    <x v="0"/>
    <s v="Unique"/>
    <m/>
    <s v="Clean"/>
    <s v="valid"/>
    <n v="0.2"/>
    <n v="20900.864000000001"/>
    <n v="8387.724000000002"/>
    <n v="0.40130991714026759"/>
    <x v="5"/>
    <n v="2025"/>
    <s v="Clean"/>
  </r>
  <r>
    <x v="340"/>
    <s v="21 Jan 2024"/>
    <s v="01/29/2024"/>
    <s v="29-Jan-2024"/>
    <s v="21-Jan-2024"/>
    <n v="8"/>
    <s v="CUST-6291"/>
    <s v="Neha Gupta"/>
    <x v="0"/>
    <x v="2"/>
    <s v="Karnataka"/>
    <s v="Bengaluru"/>
    <x v="0"/>
    <x v="9"/>
    <s v="Smart Binders 414"/>
    <x v="3"/>
    <n v="5"/>
    <n v="4058.08"/>
    <n v="0.1"/>
    <n v="18261.36"/>
    <n v="11399.94"/>
    <n v="6861.42"/>
    <s v="Paid"/>
    <x v="0"/>
    <s v="Unique"/>
    <m/>
    <s v="Clean"/>
    <s v="valid"/>
    <n v="0.1"/>
    <n v="18261.36"/>
    <n v="6861.42"/>
    <n v="0.3757343374206521"/>
    <x v="8"/>
    <n v="2024"/>
    <s v="Clean"/>
  </r>
  <r>
    <x v="341"/>
    <s v="08 Sep 2025"/>
    <s v="2025-09-09"/>
    <s v="09-Sep-2025"/>
    <s v="08-Sep-2025"/>
    <n v="1"/>
    <s v="CUST-9969"/>
    <s v="Rohan Mehta"/>
    <x v="3"/>
    <x v="3"/>
    <s v="Gujarat"/>
    <s v="Ahmedabad"/>
    <x v="1"/>
    <x v="4"/>
    <s v="Eco Chairs 552"/>
    <x v="0"/>
    <n v="2"/>
    <n v="3960.33"/>
    <n v="0.05"/>
    <n v="7524.63"/>
    <n v="6229.6"/>
    <n v="1295.03"/>
    <s v="Paid"/>
    <x v="0"/>
    <s v="Unique"/>
    <m/>
    <s v="Clean"/>
    <s v="valid"/>
    <n v="0.05"/>
    <n v="7524.6269999999995"/>
    <n v="1295.0269999999991"/>
    <n v="0.17210514222166751"/>
    <x v="6"/>
    <n v="2025"/>
    <s v="Clean"/>
  </r>
  <r>
    <x v="342"/>
    <s v="24-07-2025"/>
    <s v="01-08-2025"/>
    <s v="01-Aug-2025"/>
    <s v="24-Jul-2025"/>
    <n v="8"/>
    <s v="CUST-3335"/>
    <s v="Kabir Singh"/>
    <x v="1"/>
    <x v="1"/>
    <s v="Jharkhand"/>
    <s v="Ranchi"/>
    <x v="0"/>
    <x v="9"/>
    <s v="Smart Binders 574"/>
    <x v="2"/>
    <n v="8"/>
    <n v="1528.92"/>
    <n v="0"/>
    <n v="12231.36"/>
    <n v="8766.9"/>
    <n v="3464.46"/>
    <s v="Paid"/>
    <x v="0"/>
    <s v="Unique"/>
    <m/>
    <s v="Clean"/>
    <s v="valid"/>
    <n v="0"/>
    <n v="12231.36"/>
    <n v="3464.4600000000009"/>
    <n v="0.28324405462679547"/>
    <x v="0"/>
    <n v="2025"/>
    <s v="Clean"/>
  </r>
  <r>
    <x v="343"/>
    <s v="10/03/2025"/>
    <s v="08 Oct 2025"/>
    <s v="08-Oct-2025"/>
    <s v="10-Mar-2025"/>
    <n v="212"/>
    <s v="CUST-7358"/>
    <s v="Aarav Sharma"/>
    <x v="2"/>
    <x v="3"/>
    <s v="Madhya Pradesh"/>
    <s v="Indore"/>
    <x v="2"/>
    <x v="12"/>
    <s v="Pro Machines 444"/>
    <x v="1"/>
    <n v="9"/>
    <n v="3837"/>
    <n v="0.1"/>
    <n v="31079.7"/>
    <n v="17758.25"/>
    <n v="13321.45"/>
    <s v="Paid"/>
    <x v="0"/>
    <s v="Unique"/>
    <m/>
    <s v="Clean"/>
    <s v="valid"/>
    <n v="0.1"/>
    <n v="31079.7"/>
    <n v="13321.45"/>
    <n v="0.4286222196481948"/>
    <x v="9"/>
    <n v="2025"/>
    <s v="Clean"/>
  </r>
  <r>
    <x v="344"/>
    <s v="11-03-2024"/>
    <s v="11-03-2024"/>
    <s v="11-Mar-2024"/>
    <s v="11-Mar-2024"/>
    <n v="0"/>
    <s v="CUST-8025"/>
    <s v="Priya Menon"/>
    <x v="0"/>
    <x v="0"/>
    <s v="Punjab"/>
    <s v="Ludhiana"/>
    <x v="1"/>
    <x v="10"/>
    <s v="Elite Bookcases 184"/>
    <x v="1"/>
    <n v="9"/>
    <n v="3456.38"/>
    <n v="0"/>
    <n v="31107.42"/>
    <n v="20146.66"/>
    <n v="10960.76"/>
    <s v="Pending"/>
    <x v="2"/>
    <s v="Unique"/>
    <m/>
    <s v="Clean"/>
    <s v="valid"/>
    <n v="0"/>
    <n v="31107.420000000002"/>
    <n v="10960.760000000002"/>
    <n v="0.3523519468988428"/>
    <x v="9"/>
    <n v="2024"/>
    <s v="Clean"/>
  </r>
  <r>
    <x v="345"/>
    <s v="2024-09-14"/>
    <s v="2024-09-22"/>
    <s v="22-Sep-2024"/>
    <s v="14-Sep-2024"/>
    <n v="8"/>
    <s v="CUST-4634"/>
    <s v="Karan Malhotra"/>
    <x v="0"/>
    <x v="3"/>
    <s v="Madhya Pradesh"/>
    <s v="Indore"/>
    <x v="1"/>
    <x v="3"/>
    <s v="Elite Furnishings 138"/>
    <x v="0"/>
    <n v="2"/>
    <n v="2765.3"/>
    <n v="0"/>
    <n v="5530.6"/>
    <n v="4453.1099999999997"/>
    <n v="1077.49"/>
    <s v="Paid"/>
    <x v="0"/>
    <s v="Unique"/>
    <m/>
    <s v="Clean"/>
    <s v="valid"/>
    <n v="0"/>
    <n v="5530.6"/>
    <n v="1077.4900000000007"/>
    <n v="0.19482334647235391"/>
    <x v="6"/>
    <n v="2024"/>
    <s v="Clean"/>
  </r>
  <r>
    <x v="346"/>
    <s v="2025-07-22"/>
    <s v="28-07-2025"/>
    <s v="28-Jul-2025"/>
    <s v="22-Jul-2025"/>
    <n v="6"/>
    <s v="CUST-3400"/>
    <s v="Rahul Verma"/>
    <x v="2"/>
    <x v="2"/>
    <s v="Kerala"/>
    <s v="Kochi"/>
    <x v="1"/>
    <x v="4"/>
    <s v="Eco Chairs 369"/>
    <x v="0"/>
    <n v="6"/>
    <n v="1607.46"/>
    <n v="0.2"/>
    <n v="7715.81"/>
    <n v="4258.42"/>
    <n v="3457.39"/>
    <s v="Paid"/>
    <x v="0"/>
    <s v="Unique"/>
    <m/>
    <s v="Clean"/>
    <s v="valid"/>
    <n v="0.2"/>
    <n v="7715.8080000000009"/>
    <n v="3457.3880000000008"/>
    <n v="0.4480915025360922"/>
    <x v="0"/>
    <n v="2025"/>
    <s v="Clean"/>
  </r>
  <r>
    <x v="347"/>
    <s v="01-12-2024"/>
    <s v="12/08/2024"/>
    <s v="12-Aug-2024"/>
    <s v="01-Dec-2024"/>
    <n v="-111"/>
    <s v="CUST-1172"/>
    <s v="Aarav Sharma"/>
    <x v="1"/>
    <x v="3"/>
    <s v="Goa"/>
    <s v="Panaji"/>
    <x v="1"/>
    <x v="4"/>
    <s v="Max Chairs 487"/>
    <x v="0"/>
    <n v="5"/>
    <n v="2981.49"/>
    <n v="0.2"/>
    <n v="11925.96"/>
    <n v="10103.51"/>
    <n v="1822.45"/>
    <s v="Refunded"/>
    <x v="2"/>
    <s v="Unique"/>
    <m/>
    <s v="Clean"/>
    <s v="Invalid"/>
    <n v="0.2"/>
    <n v="11925.96"/>
    <n v="1822.4499999999989"/>
    <n v="0.15281369382422874"/>
    <x v="7"/>
    <n v="2024"/>
    <s v="Clean"/>
  </r>
  <r>
    <x v="348"/>
    <s v="06/02/2024"/>
    <s v="06/07/2024"/>
    <s v="06-Jul-2024"/>
    <s v="06-Feb-2024"/>
    <n v="151"/>
    <s v="CUST-9517"/>
    <s v="Aarav Sharma"/>
    <x v="2"/>
    <x v="2"/>
    <s v="Karnataka"/>
    <s v="Bengaluru"/>
    <x v="2"/>
    <x v="11"/>
    <s v="Classic Phones 989"/>
    <x v="1"/>
    <n v="9"/>
    <n v="2860.26"/>
    <n v="0.25"/>
    <n v="19306.759999999998"/>
    <n v="14442.38"/>
    <n v="4864.38"/>
    <s v="Paid"/>
    <x v="0"/>
    <s v="Unique"/>
    <m/>
    <s v="Clean"/>
    <s v="valid"/>
    <n v="0.25"/>
    <n v="19306.755000000005"/>
    <n v="4864.3750000000055"/>
    <n v="0.25195197225012717"/>
    <x v="5"/>
    <n v="2024"/>
    <s v="Clean"/>
  </r>
  <r>
    <x v="349"/>
    <s v="27-09-2025"/>
    <s v="09/29/2025"/>
    <s v="29-Sep-2025"/>
    <s v="27-Sep-2025"/>
    <n v="2"/>
    <s v="CUST-6697"/>
    <s v="Kabir Singh"/>
    <x v="3"/>
    <x v="1"/>
    <s v="Jharkhand"/>
    <s v="Ranchi"/>
    <x v="1"/>
    <x v="3"/>
    <s v="Max Furnishings 628"/>
    <x v="0"/>
    <n v="9"/>
    <n v="2867.55"/>
    <n v="0.25"/>
    <n v="19355.96"/>
    <n v="15012.45"/>
    <n v="4017.4"/>
    <s v="Paid"/>
    <x v="0"/>
    <s v="Unique"/>
    <m/>
    <s v="Clean"/>
    <s v="valid"/>
    <n v="0.25"/>
    <n v="19355.962500000001"/>
    <n v="4343.5125000000007"/>
    <n v="0.22440178317146461"/>
    <x v="6"/>
    <n v="2025"/>
    <s v="Clean"/>
  </r>
  <r>
    <x v="350"/>
    <s v="07-01-2024"/>
    <s v="14 Jan 2024"/>
    <s v="14-Jan-2024"/>
    <s v="07-Jan-2024"/>
    <n v="7"/>
    <s v="CUST-7644"/>
    <s v="Sneha Kapoor"/>
    <x v="1"/>
    <x v="1"/>
    <s v="Jharkhand"/>
    <s v="Ranchi"/>
    <x v="1"/>
    <x v="3"/>
    <s v="Elite Furnishings 279"/>
    <x v="0"/>
    <n v="4"/>
    <n v="3309.54"/>
    <n v="0.1"/>
    <n v="11914.34"/>
    <n v="9771.24"/>
    <n v="2143.1"/>
    <s v="Refunded"/>
    <x v="2"/>
    <s v="Unique"/>
    <m/>
    <s v="Clean"/>
    <s v="valid"/>
    <n v="0.1"/>
    <n v="11914.344000000001"/>
    <n v="2143.1040000000012"/>
    <n v="0.17987595456367561"/>
    <x v="8"/>
    <n v="2024"/>
    <s v="Clean"/>
  </r>
  <r>
    <x v="351"/>
    <s v="23-05-2025"/>
    <s v="27 May 2025"/>
    <s v="27-May-2025"/>
    <s v="23-May-2025"/>
    <n v="4"/>
    <s v="CUST-9963"/>
    <s v="Vikram Iyer"/>
    <x v="1"/>
    <x v="2"/>
    <s v="Telangana"/>
    <s v="Hyderabad"/>
    <x v="0"/>
    <x v="8"/>
    <s v="Pro Storage 847"/>
    <x v="2"/>
    <n v="6"/>
    <n v="719.44"/>
    <n v="0.25"/>
    <n v="3237.48"/>
    <n v="2118.34"/>
    <n v="1119.1400000000001"/>
    <s v="Pending"/>
    <x v="1"/>
    <s v="Unique"/>
    <m/>
    <s v="Clean"/>
    <s v="valid"/>
    <n v="0.25"/>
    <n v="3237.4800000000005"/>
    <n v="1119.1400000000003"/>
    <n v="0.34568244437031276"/>
    <x v="3"/>
    <n v="2025"/>
    <s v="Warning"/>
  </r>
  <r>
    <x v="352"/>
    <s v="15 Aug 2025"/>
    <s v="08/17/2025"/>
    <s v="17-Aug-2025"/>
    <s v="15-Aug-2025"/>
    <n v="2"/>
    <s v="CUST-6382"/>
    <s v="Diya Patel"/>
    <x v="1"/>
    <x v="1"/>
    <s v="Assam"/>
    <s v="Guwahati"/>
    <x v="2"/>
    <x v="6"/>
    <s v="Elite Copiers 706"/>
    <x v="2"/>
    <n v="5"/>
    <n v="2862.6"/>
    <n v="0.25"/>
    <n v="10734.75"/>
    <n v="6475.73"/>
    <n v="4259.0200000000004"/>
    <s v="Paid"/>
    <x v="0"/>
    <s v="Unique"/>
    <m/>
    <s v="Clean"/>
    <s v="valid"/>
    <n v="0.25"/>
    <n v="10734.75"/>
    <n v="4259.0200000000004"/>
    <n v="0.39675073942103917"/>
    <x v="1"/>
    <n v="2025"/>
    <s v="Clean"/>
  </r>
  <r>
    <x v="353"/>
    <s v="21-02-2025"/>
    <s v="27-02-2025"/>
    <s v="27-Feb-2025"/>
    <s v="21-Feb-2025"/>
    <n v="6"/>
    <s v="CUST-3253"/>
    <s v="Ananya Rao"/>
    <x v="0"/>
    <x v="0"/>
    <s v="Rajasthan"/>
    <s v="Jaipur"/>
    <x v="0"/>
    <x v="2"/>
    <s v="Prime Art 978"/>
    <x v="1"/>
    <n v="9"/>
    <n v="1431.67"/>
    <n v="0.2"/>
    <n v="10308.02"/>
    <n v="5822.31"/>
    <n v="4485.71"/>
    <s v="Paid"/>
    <x v="0"/>
    <s v="Unique"/>
    <m/>
    <s v="Clean"/>
    <s v="valid"/>
    <n v="0.2"/>
    <n v="10308.024000000001"/>
    <n v="4485.7140000000009"/>
    <n v="0.4351672056642476"/>
    <x v="5"/>
    <n v="2025"/>
    <s v="Clean"/>
  </r>
  <r>
    <x v="354"/>
    <s v="27 Dec 2024"/>
    <s v="2024-12-31"/>
    <s v="31-Dec-2024"/>
    <s v="27-Dec-2024"/>
    <n v="4"/>
    <s v="CUST-1058"/>
    <s v="Kabir Singh"/>
    <x v="2"/>
    <x v="0"/>
    <s v="Punjab"/>
    <s v="Ludhiana"/>
    <x v="1"/>
    <x v="3"/>
    <s v="Classic Furnishings 498"/>
    <x v="3"/>
    <n v="6"/>
    <n v="3346.78"/>
    <n v="-0.06"/>
    <n v="20080.68"/>
    <n v="12908.84"/>
    <n v="7171.84"/>
    <s v="Pending"/>
    <x v="1"/>
    <s v="Unique"/>
    <m/>
    <s v="Invalid"/>
    <s v="valid"/>
    <n v="-0.06"/>
    <n v="21285.520800000002"/>
    <n v="8376.6808000000019"/>
    <n v="0.39353891683965753"/>
    <x v="7"/>
    <n v="2024"/>
    <s v="Invalid"/>
  </r>
  <r>
    <x v="355"/>
    <s v="12-05-2024"/>
    <s v="2024-05-09"/>
    <s v="09-May-2024"/>
    <s v="12-May-2024"/>
    <n v="-3"/>
    <s v="CUST-6414"/>
    <s v="Priya Menon"/>
    <x v="2"/>
    <x v="3"/>
    <s v="Rajasthan"/>
    <s v="Udaipur"/>
    <x v="1"/>
    <x v="1"/>
    <s v="Max Tables 829"/>
    <x v="3"/>
    <n v="5"/>
    <n v="3203.48"/>
    <n v="0"/>
    <n v="16017.4"/>
    <n v="9557.7999999999993"/>
    <n v="6459.6"/>
    <s v="Pending"/>
    <x v="1"/>
    <s v="Unique"/>
    <m/>
    <s v="Clean"/>
    <s v="Invalid"/>
    <n v="0"/>
    <n v="16017.4"/>
    <n v="6459.6"/>
    <n v="0.40328642601171227"/>
    <x v="3"/>
    <n v="2024"/>
    <s v="Warning"/>
  </r>
  <r>
    <x v="356"/>
    <s v="27 Jun 2025"/>
    <s v="29 Jun 2025"/>
    <s v="29-Jun-2025"/>
    <s v="27-Jun-2025"/>
    <n v="2"/>
    <s v="CUST-9268"/>
    <s v="Rohan Mehta"/>
    <x v="3"/>
    <x v="2"/>
    <s v="Telangana"/>
    <s v="Hyderabad"/>
    <x v="1"/>
    <x v="4"/>
    <s v="Eco Chairs 346"/>
    <x v="2"/>
    <n v="5"/>
    <n v="621.70000000000005"/>
    <n v="0.2"/>
    <n v="2486.8000000000002"/>
    <n v="2131.73"/>
    <n v="355.07"/>
    <s v="Pending"/>
    <x v="2"/>
    <s v="Unique"/>
    <m/>
    <s v="Clean"/>
    <s v="valid"/>
    <n v="0.2"/>
    <n v="2486.8000000000002"/>
    <n v="355.07000000000016"/>
    <n v="0.1427818883705968"/>
    <x v="10"/>
    <n v="2025"/>
    <s v="Clean"/>
  </r>
  <r>
    <x v="357"/>
    <s v="2025-01-21"/>
    <s v="01/29/2025"/>
    <s v="29-Jan-2025"/>
    <s v="21-Jan-2025"/>
    <n v="8"/>
    <s v="CUST-1363"/>
    <s v="Mira Das"/>
    <x v="3"/>
    <x v="2"/>
    <s v="Andhra Pradesh"/>
    <s v="Vijayawada"/>
    <x v="2"/>
    <x v="12"/>
    <s v="Max Machines 770"/>
    <x v="0"/>
    <n v="8"/>
    <n v="546.13"/>
    <n v="0"/>
    <n v="4369.04"/>
    <n v="3716.88"/>
    <n v="652.16"/>
    <s v="Paid"/>
    <x v="1"/>
    <s v="Unique"/>
    <m/>
    <s v="Clean"/>
    <s v="valid"/>
    <n v="0"/>
    <n v="4369.04"/>
    <n v="652.15999999999985"/>
    <n v="0.14926848918755603"/>
    <x v="8"/>
    <n v="2025"/>
    <s v="Warning"/>
  </r>
  <r>
    <x v="358"/>
    <s v="08/09/2025"/>
    <s v="2025-08-07"/>
    <s v="07-Aug-2025"/>
    <s v="08-Sep-2025"/>
    <n v="-32"/>
    <s v="CUST-2477"/>
    <s v="Vikram Iyer"/>
    <x v="3"/>
    <x v="3"/>
    <s v="Gujarat"/>
    <s v="Ahmedabad"/>
    <x v="1"/>
    <x v="10"/>
    <s v="Smart Bookcases 134"/>
    <x v="0"/>
    <n v="5"/>
    <n v="1253.92"/>
    <n v="0.05"/>
    <n v="5956.12"/>
    <n v="4379.18"/>
    <n v="1576.94"/>
    <s v="Pending"/>
    <x v="2"/>
    <s v="Unique"/>
    <m/>
    <s v="Clean"/>
    <s v="Invalid"/>
    <n v="0.05"/>
    <n v="5956.12"/>
    <n v="1576.9399999999996"/>
    <n v="0.26475960860425907"/>
    <x v="6"/>
    <n v="2025"/>
    <s v="Clean"/>
  </r>
  <r>
    <x v="359"/>
    <s v="21 Aug 2024"/>
    <s v="22-08-2024"/>
    <s v="22-Aug-2024"/>
    <s v="21-Aug-2024"/>
    <n v="1"/>
    <s v="CUST-9571"/>
    <s v="Isha Nair"/>
    <x v="0"/>
    <x v="2"/>
    <s v="Tamil Nadu"/>
    <s v="Chennai"/>
    <x v="2"/>
    <x v="11"/>
    <s v="Classic Phones 586"/>
    <x v="1"/>
    <n v="9"/>
    <n v="616.96"/>
    <n v="0.1"/>
    <n v="4997.38"/>
    <n v="2971.39"/>
    <n v="2025.99"/>
    <s v="Paid"/>
    <x v="0"/>
    <s v="Unique"/>
    <m/>
    <s v="Clean"/>
    <s v="valid"/>
    <n v="0.1"/>
    <n v="4997.3760000000002"/>
    <n v="2025.9860000000003"/>
    <n v="0.40540995914656014"/>
    <x v="1"/>
    <n v="2024"/>
    <s v="Clean"/>
  </r>
  <r>
    <x v="360"/>
    <s v="17 Jun 2024"/>
    <s v="2024-06-20"/>
    <s v="20-Jun-2024"/>
    <s v="17-Jun-2024"/>
    <n v="3"/>
    <s v="CUST-3690"/>
    <s v="Sneha Kapoor"/>
    <x v="1"/>
    <x v="3"/>
    <s v="Gujarat"/>
    <s v="Ahmedabad"/>
    <x v="1"/>
    <x v="3"/>
    <s v="Elite Furnishings 634"/>
    <x v="3"/>
    <n v="7"/>
    <n v="3155.25"/>
    <n v="0.2"/>
    <n v="17669.400000000001"/>
    <n v="13718.77"/>
    <n v="3950.63"/>
    <s v="Refunded"/>
    <x v="1"/>
    <s v="Unique"/>
    <m/>
    <s v="Clean"/>
    <s v="valid"/>
    <n v="0.2"/>
    <n v="17669.400000000001"/>
    <n v="3950.630000000001"/>
    <n v="0.2235859734908939"/>
    <x v="10"/>
    <n v="2024"/>
    <s v="Warning"/>
  </r>
  <r>
    <x v="361"/>
    <s v="01-04-2025"/>
    <s v="2025-04-02"/>
    <s v="02-Apr-2025"/>
    <s v="01-Apr-2025"/>
    <n v="1"/>
    <s v="CUST-2909"/>
    <s v="Rohan Mehta"/>
    <x v="2"/>
    <x v="1"/>
    <s v="Odisha"/>
    <s v="Bhubaneswar"/>
    <x v="1"/>
    <x v="4"/>
    <s v="Basic Chairs 113"/>
    <x v="0"/>
    <n v="9"/>
    <n v="4165.58"/>
    <n v="0.05"/>
    <n v="35615.71"/>
    <n v="20389.71"/>
    <n v="15226"/>
    <s v="Pending"/>
    <x v="2"/>
    <s v="Unique"/>
    <m/>
    <s v="Clean"/>
    <s v="valid"/>
    <n v="0.05"/>
    <n v="35615.709000000003"/>
    <n v="15225.999000000003"/>
    <n v="0.42750795723314122"/>
    <x v="11"/>
    <n v="2025"/>
    <s v="Clean"/>
  </r>
  <r>
    <x v="362"/>
    <s v="23 Aug 2024"/>
    <s v="25-08-2024"/>
    <s v="25-Aug-2024"/>
    <s v="23-Aug-2024"/>
    <n v="2"/>
    <s v="CUST-6755"/>
    <s v="Vikram Iyer"/>
    <x v="0"/>
    <x v="3"/>
    <s v="Goa"/>
    <s v="Panaji"/>
    <x v="2"/>
    <x v="12"/>
    <s v="Elite Machines 216"/>
    <x v="1"/>
    <n v="4"/>
    <n v="491.16"/>
    <n v="0.05"/>
    <n v="1866.41"/>
    <n v="1576.49"/>
    <n v="289.92"/>
    <s v="Paid"/>
    <x v="0"/>
    <s v="Unique"/>
    <m/>
    <s v="Clean"/>
    <s v="valid"/>
    <n v="0.05"/>
    <n v="1866.4079999999999"/>
    <n v="289.91799999999989"/>
    <n v="0.15533473924243782"/>
    <x v="1"/>
    <n v="2024"/>
    <s v="Clean"/>
  </r>
  <r>
    <x v="363"/>
    <s v="07/07/2025"/>
    <s v="07/12/2025"/>
    <s v="07-Dec-2025"/>
    <s v="07-Jul-2025"/>
    <n v="153"/>
    <s v="CUST-1832"/>
    <s v="Diya Patel"/>
    <x v="2"/>
    <x v="1"/>
    <s v="West Bengal"/>
    <s v="Kolkata"/>
    <x v="1"/>
    <x v="1"/>
    <s v="Smart Tables 943"/>
    <x v="0"/>
    <n v="5"/>
    <n v="1831.37"/>
    <n v="0.25"/>
    <n v="6867.64"/>
    <n v="5205.3599999999997"/>
    <n v="1662.28"/>
    <s v="Paid"/>
    <x v="0"/>
    <s v="Unique"/>
    <m/>
    <s v="Clean"/>
    <s v="valid"/>
    <n v="0.25"/>
    <n v="6867.6374999999989"/>
    <n v="1662.2774999999992"/>
    <n v="0.24204502640100028"/>
    <x v="0"/>
    <n v="2025"/>
    <s v="Clean"/>
  </r>
  <r>
    <x v="364"/>
    <s v="03/21/2025"/>
    <s v="2025-03-24"/>
    <s v="24-Mar-2025"/>
    <s v="21-Mar-2025"/>
    <n v="3"/>
    <s v="CUST-4452"/>
    <s v="Aarav Sharma"/>
    <x v="1"/>
    <x v="2"/>
    <s v="Andhra Pradesh"/>
    <s v="Vijayawada"/>
    <x v="1"/>
    <x v="4"/>
    <s v="Prime Chairs 101"/>
    <x v="0"/>
    <n v="5"/>
    <n v="1239.1500000000001"/>
    <n v="0"/>
    <n v="6195.75"/>
    <n v="3967.02"/>
    <n v="2228.73"/>
    <s v="Paid"/>
    <x v="0"/>
    <s v="Unique"/>
    <m/>
    <s v="Clean"/>
    <s v="valid"/>
    <n v="0"/>
    <n v="6195.75"/>
    <n v="2228.73"/>
    <n v="0.35971916232901585"/>
    <x v="9"/>
    <n v="2025"/>
    <s v="Clean"/>
  </r>
  <r>
    <x v="365"/>
    <s v="15-06-2024"/>
    <s v="21-06-2024"/>
    <s v="21-Jun-2024"/>
    <s v="15-Jun-2024"/>
    <n v="6"/>
    <s v="CUST-2203"/>
    <s v="Aditi Sen"/>
    <x v="2"/>
    <x v="3"/>
    <s v="Goa"/>
    <s v="Panaji"/>
    <x v="2"/>
    <x v="5"/>
    <s v="Basic Accessories 774"/>
    <x v="2"/>
    <n v="8"/>
    <n v="1706.4"/>
    <n v="0"/>
    <n v="12968.64"/>
    <n v="10119.61"/>
    <n v="2849.03"/>
    <s v="Paid"/>
    <x v="0"/>
    <s v="Unique"/>
    <m/>
    <s v="Clean"/>
    <s v="valid"/>
    <n v="0"/>
    <n v="13651.2"/>
    <n v="3531.59"/>
    <n v="0.2587017991092358"/>
    <x v="10"/>
    <n v="2024"/>
    <s v="Clean"/>
  </r>
  <r>
    <x v="366"/>
    <s v="2025-01-16"/>
    <s v="2025-01-22"/>
    <s v="22-Jan-2025"/>
    <s v="16-Jan-2025"/>
    <n v="6"/>
    <s v="CUST-5397"/>
    <s v="Sneha Kapoor"/>
    <x v="2"/>
    <x v="0"/>
    <s v="Rajasthan"/>
    <s v="Jaipur"/>
    <x v="1"/>
    <x v="1"/>
    <s v="Max Tables 478"/>
    <x v="1"/>
    <n v="2"/>
    <n v="4418.28"/>
    <n v="0"/>
    <n v="8836.56"/>
    <n v="5867.75"/>
    <n v="2968.81"/>
    <s v="Paid"/>
    <x v="0"/>
    <s v="Unique"/>
    <m/>
    <s v="Clean"/>
    <s v="valid"/>
    <n v="0"/>
    <n v="8836.56"/>
    <n v="2968.8099999999995"/>
    <n v="0.33596897435201023"/>
    <x v="8"/>
    <n v="2025"/>
    <s v="Clean"/>
  </r>
  <r>
    <x v="367"/>
    <s v="2024-03-15"/>
    <s v="03/16/2024"/>
    <s v="16-Mar-2024"/>
    <s v="15-Mar-2024"/>
    <n v="1"/>
    <s v="CUST-4696"/>
    <s v="Rohan Mehta"/>
    <x v="0"/>
    <x v="0"/>
    <s v="Delhi"/>
    <s v="New Delhi"/>
    <x v="0"/>
    <x v="2"/>
    <s v="Eco Art 646"/>
    <x v="3"/>
    <n v="6"/>
    <n v="3815.09"/>
    <n v="0.15"/>
    <n v="19456.96"/>
    <n v="14520.06"/>
    <n v="4936.8999999999996"/>
    <s v="Failed"/>
    <x v="1"/>
    <s v="Unique"/>
    <m/>
    <s v="Clean"/>
    <s v="valid"/>
    <n v="0.15"/>
    <n v="19456.958999999999"/>
    <n v="4936.8989999999994"/>
    <n v="0.25373435797443988"/>
    <x v="9"/>
    <n v="2024"/>
    <s v="Warning"/>
  </r>
  <r>
    <x v="368"/>
    <s v="06-07-2025"/>
    <s v="06-07-2025"/>
    <s v="06-Jul-2025"/>
    <s v="06-Jul-2025"/>
    <n v="0"/>
    <s v="CUST-8246"/>
    <s v="Aarav Sharma"/>
    <x v="3"/>
    <x v="0"/>
    <s v="Rajasthan"/>
    <s v="Jaipur"/>
    <x v="2"/>
    <x v="5"/>
    <s v="Prime Accessories 962"/>
    <x v="1"/>
    <n v="9"/>
    <n v="243.19"/>
    <n v="0.05"/>
    <n v="2079.27"/>
    <n v="1512.17"/>
    <n v="567.1"/>
    <s v="Refunded"/>
    <x v="2"/>
    <s v="Unique"/>
    <m/>
    <s v="Clean"/>
    <s v="valid"/>
    <n v="0.05"/>
    <n v="2079.2745"/>
    <n v="567.10449999999992"/>
    <n v="0.27274152595051782"/>
    <x v="0"/>
    <n v="2025"/>
    <s v="Clean"/>
  </r>
  <r>
    <x v="369"/>
    <s v="23-01-2025"/>
    <s v="01/30/2025"/>
    <s v="30-Jan-2025"/>
    <s v="23-Jan-2025"/>
    <n v="7"/>
    <s v="CUST-5672"/>
    <s v="Priya Menon"/>
    <x v="0"/>
    <x v="0"/>
    <s v="Delhi"/>
    <s v="New Delhi"/>
    <x v="0"/>
    <x v="7"/>
    <s v="Eco Labels 646"/>
    <x v="3"/>
    <n v="9"/>
    <n v="1169.3699999999999"/>
    <n v="0.15"/>
    <n v="8945.68"/>
    <n v="6740.35"/>
    <n v="2205.33"/>
    <s v="Paid"/>
    <x v="0"/>
    <s v="Unique"/>
    <m/>
    <s v="Clean"/>
    <s v="valid"/>
    <n v="0.15"/>
    <n v="8945.6804999999986"/>
    <n v="2205.3304999999982"/>
    <n v="0.24652462157574245"/>
    <x v="8"/>
    <n v="2025"/>
    <s v="Clean"/>
  </r>
  <r>
    <x v="370"/>
    <s v="08/15/2024"/>
    <s v="21 Aug 2024"/>
    <s v="21-Aug-2024"/>
    <s v="15-Aug-2024"/>
    <n v="6"/>
    <s v="CUST-8521"/>
    <s v="Ananya Rao"/>
    <x v="1"/>
    <x v="3"/>
    <s v="Rajasthan"/>
    <s v="Udaipur"/>
    <x v="2"/>
    <x v="6"/>
    <s v="Classic Copiers 505"/>
    <x v="2"/>
    <n v="7"/>
    <n v="2333.81"/>
    <n v="0.2"/>
    <n v="13069.34"/>
    <n v="8768.59"/>
    <n v="4300.75"/>
    <s v="Paid"/>
    <x v="0"/>
    <s v="Unique"/>
    <m/>
    <s v="Clean"/>
    <s v="valid"/>
    <n v="0.2"/>
    <n v="13069.336000000001"/>
    <n v="4300.746000000001"/>
    <n v="0.32907149988339124"/>
    <x v="1"/>
    <n v="2024"/>
    <s v="Clean"/>
  </r>
  <r>
    <x v="371"/>
    <s v="22-01-2024"/>
    <s v="2024-01-24"/>
    <s v="24-Jan-2024"/>
    <s v="22-Jan-2024"/>
    <n v="2"/>
    <s v="CUST-2204"/>
    <s v="Diya Patel"/>
    <x v="3"/>
    <x v="3"/>
    <s v="Maharashtra"/>
    <s v="Mumbai"/>
    <x v="0"/>
    <x v="2"/>
    <s v="Pro Art 906"/>
    <x v="3"/>
    <n v="6"/>
    <n v="1026.06"/>
    <n v="0"/>
    <n v="4617.2700000000004"/>
    <n v="2981.94"/>
    <n v="1635.33"/>
    <s v="Refunded"/>
    <x v="1"/>
    <s v="Unique"/>
    <m/>
    <s v="Clean"/>
    <s v="valid"/>
    <n v="0"/>
    <n v="6156.36"/>
    <n v="3174.4199999999996"/>
    <n v="0.51563261407714944"/>
    <x v="8"/>
    <n v="2024"/>
    <s v="Warning"/>
  </r>
  <r>
    <x v="372"/>
    <s v="2025-08-16"/>
    <s v="2025-08-18"/>
    <s v="18-Aug-2025"/>
    <s v="16-Aug-2025"/>
    <n v="2"/>
    <s v="CUST-4399"/>
    <s v="Kabir Singh"/>
    <x v="0"/>
    <x v="1"/>
    <s v="Jharkhand"/>
    <s v="Ranchi"/>
    <x v="1"/>
    <x v="4"/>
    <s v="Max Chairs 181"/>
    <x v="1"/>
    <n v="5"/>
    <n v="1530.36"/>
    <n v="0"/>
    <n v="7651.8"/>
    <n v="5171.78"/>
    <n v="2480.02"/>
    <s v="Paid"/>
    <x v="0"/>
    <s v="Unique"/>
    <m/>
    <s v="Clean"/>
    <s v="valid"/>
    <n v="0"/>
    <n v="7651.7999999999993"/>
    <n v="2480.0199999999995"/>
    <n v="0.32410935988917638"/>
    <x v="1"/>
    <n v="2025"/>
    <s v="Clean"/>
  </r>
  <r>
    <x v="373"/>
    <s v="2025-04-13"/>
    <s v="2025-04-13"/>
    <s v="13-Apr-2025"/>
    <s v="13-Apr-2025"/>
    <n v="0"/>
    <s v="CUST-8566"/>
    <s v="Sneha Kapoor"/>
    <x v="1"/>
    <x v="0"/>
    <s v="Uttar Pradesh"/>
    <s v="Noida"/>
    <x v="0"/>
    <x v="8"/>
    <s v="Prime Storage 951"/>
    <x v="0"/>
    <n v="9"/>
    <n v="1118.68"/>
    <n v="0"/>
    <n v="10068.120000000001"/>
    <n v="8595.3700000000008"/>
    <n v="1472.75"/>
    <s v="Paid"/>
    <x v="0"/>
    <s v="Duplicate Order ID"/>
    <s v="FLAG FOR REVIEW"/>
    <s v="Clean"/>
    <s v="valid"/>
    <n v="0"/>
    <n v="10068.120000000001"/>
    <n v="1472.75"/>
    <n v="0.14627855051389932"/>
    <x v="11"/>
    <n v="2025"/>
    <s v="Clean"/>
  </r>
  <r>
    <x v="374"/>
    <s v="2025-02-27"/>
    <s v="28-02-2025"/>
    <s v="28-Feb-2025"/>
    <s v="27-Feb-2025"/>
    <n v="1"/>
    <s v="CUST-2358"/>
    <s v="Aditi Sen"/>
    <x v="1"/>
    <x v="0"/>
    <s v="Uttar Pradesh"/>
    <s v="Noida"/>
    <x v="0"/>
    <x v="7"/>
    <s v="Smart Labels 668"/>
    <x v="3"/>
    <n v="6"/>
    <n v="2393.25"/>
    <n v="0"/>
    <n v="14359.5"/>
    <n v="8117.71"/>
    <n v="6241.79"/>
    <s v="Paid"/>
    <x v="0"/>
    <s v="Unique"/>
    <m/>
    <s v="Clean"/>
    <s v="valid"/>
    <n v="0"/>
    <n v="14359.5"/>
    <n v="6241.79"/>
    <n v="0.43468017688638183"/>
    <x v="5"/>
    <n v="2025"/>
    <s v="Clean"/>
  </r>
  <r>
    <x v="375"/>
    <s v="31-12-2024"/>
    <s v="04 Jan 2025"/>
    <s v="04-Jan-2025"/>
    <s v="31-Dec-2024"/>
    <n v="4"/>
    <s v="CUST-2810"/>
    <s v="Vikram Iyer"/>
    <x v="0"/>
    <x v="0"/>
    <s v="Delhi"/>
    <s v="New Delhi"/>
    <x v="1"/>
    <x v="4"/>
    <s v="Pro Chairs 364"/>
    <x v="1"/>
    <n v="3"/>
    <n v="1166.6099999999999"/>
    <n v="0.25"/>
    <n v="2624.87"/>
    <n v="2253.88"/>
    <n v="370.99"/>
    <s v="Paid"/>
    <x v="0"/>
    <s v="Unique"/>
    <m/>
    <s v="Clean"/>
    <s v="valid"/>
    <n v="0.25"/>
    <n v="2624.8724999999999"/>
    <n v="370.99249999999984"/>
    <n v="0.14133734114704613"/>
    <x v="7"/>
    <n v="2024"/>
    <s v="Clean"/>
  </r>
  <r>
    <x v="376"/>
    <s v="29-12-2024"/>
    <s v="2024-12-31"/>
    <s v="31-Dec-2024"/>
    <s v="29-Dec-2024"/>
    <n v="2"/>
    <s v="CUST-5166"/>
    <s v="Isha Nair"/>
    <x v="1"/>
    <x v="1"/>
    <s v="Bihar"/>
    <s v="Patna"/>
    <x v="1"/>
    <x v="4"/>
    <s v="Basic Chairs 248"/>
    <x v="2"/>
    <n v="6"/>
    <n v="1844.78"/>
    <n v="0.2"/>
    <n v="8854.94"/>
    <n v="7433.95"/>
    <n v="1420.99"/>
    <s v="Paid"/>
    <x v="0"/>
    <s v="Unique"/>
    <m/>
    <s v="Clean"/>
    <s v="valid"/>
    <n v="0.2"/>
    <n v="8854.9440000000013"/>
    <n v="1420.9940000000015"/>
    <n v="0.1604746455765278"/>
    <x v="7"/>
    <n v="2024"/>
    <s v="Clean"/>
  </r>
  <r>
    <x v="377"/>
    <s v="24 May 2025"/>
    <s v="30-05-2025"/>
    <s v="30-May-2025"/>
    <s v="24-May-2025"/>
    <n v="6"/>
    <s v="CUST-4875"/>
    <s v="Kabir Singh"/>
    <x v="1"/>
    <x v="1"/>
    <s v="Odisha"/>
    <s v="Bhubaneswar"/>
    <x v="0"/>
    <x v="8"/>
    <s v="Basic Storage 360"/>
    <x v="1"/>
    <n v="1"/>
    <n v="2564.7399999999998"/>
    <n v="0"/>
    <n v="2564.7399999999998"/>
    <n v="1754.58"/>
    <n v="810.16"/>
    <s v="Paid"/>
    <x v="0"/>
    <s v="Unique"/>
    <m/>
    <s v="Clean"/>
    <s v="valid"/>
    <n v="0"/>
    <n v="2564.7399999999998"/>
    <n v="810.15999999999985"/>
    <n v="0.31588387126960232"/>
    <x v="3"/>
    <n v="2025"/>
    <s v="Clean"/>
  </r>
  <r>
    <x v="378"/>
    <s v="22-05-2025"/>
    <s v="22-05-2025"/>
    <s v="22-May-2025"/>
    <s v="22-May-2025"/>
    <n v="0"/>
    <s v="CUST-3154"/>
    <s v="Mira Das"/>
    <x v="0"/>
    <x v="3"/>
    <s v="Goa"/>
    <s v="Panaji"/>
    <x v="2"/>
    <x v="5"/>
    <s v="Basic Accessories 988"/>
    <x v="3"/>
    <n v="2"/>
    <n v="3910.61"/>
    <n v="0"/>
    <n v="7821.22"/>
    <n v="4994.46"/>
    <n v="2826.76"/>
    <s v="Paid"/>
    <x v="0"/>
    <s v="Unique"/>
    <m/>
    <s v="Clean"/>
    <s v="valid"/>
    <n v="0"/>
    <n v="7821.22"/>
    <n v="2826.76"/>
    <n v="0.36142187535959863"/>
    <x v="3"/>
    <n v="2025"/>
    <s v="Clean"/>
  </r>
  <r>
    <x v="379"/>
    <s v="09/19/2024"/>
    <s v="23 Sep 2024"/>
    <s v="23-Sep-2024"/>
    <s v="19-Sep-2024"/>
    <n v="4"/>
    <s v="CUST-6405"/>
    <s v="Mira Das"/>
    <x v="1"/>
    <x v="2"/>
    <s v="Kerala"/>
    <s v="Kochi"/>
    <x v="0"/>
    <x v="0"/>
    <s v="Max Paper 334"/>
    <x v="3"/>
    <n v="7"/>
    <n v="1136.68"/>
    <n v="0"/>
    <n v="7956.76"/>
    <n v="4799.54"/>
    <n v="3157.22"/>
    <s v="Paid"/>
    <x v="0"/>
    <s v="Unique"/>
    <m/>
    <s v="Clean"/>
    <s v="valid"/>
    <n v="0"/>
    <n v="7956.76"/>
    <n v="3157.2200000000003"/>
    <n v="0.39679718880549369"/>
    <x v="6"/>
    <n v="2024"/>
    <s v="Clean"/>
  </r>
  <r>
    <x v="380"/>
    <s v="07 Apr 2024"/>
    <s v="14-04-2024"/>
    <s v="14-Apr-2024"/>
    <s v="07-Apr-2024"/>
    <n v="7"/>
    <s v="CUST-5779"/>
    <s v="Vikram Iyer"/>
    <x v="0"/>
    <x v="3"/>
    <s v="Maharashtra"/>
    <s v="Mumbai"/>
    <x v="1"/>
    <x v="10"/>
    <s v="Prime Bookcases 952"/>
    <x v="1"/>
    <n v="5"/>
    <n v="2235.85"/>
    <n v="0.25"/>
    <n v="8384.44"/>
    <n v="4765.96"/>
    <n v="3618.48"/>
    <s v="Paid"/>
    <x v="2"/>
    <s v="Unique"/>
    <m/>
    <s v="Clean"/>
    <s v="valid"/>
    <n v="0.25"/>
    <n v="8384.4375"/>
    <n v="3618.4775"/>
    <n v="0.43157069272685256"/>
    <x v="11"/>
    <n v="2024"/>
    <s v="Clean"/>
  </r>
  <r>
    <x v="381"/>
    <s v="2025-09-19"/>
    <s v="23-09-2025"/>
    <s v="23-Sep-2025"/>
    <s v="19-Sep-2025"/>
    <n v="4"/>
    <s v="CUST-9943"/>
    <s v="Arjun Bose"/>
    <x v="3"/>
    <x v="0"/>
    <s v="Delhi"/>
    <s v="New Delhi"/>
    <x v="0"/>
    <x v="9"/>
    <s v="Prime Binders 523"/>
    <x v="3"/>
    <n v="4"/>
    <n v="4387.1499999999996"/>
    <n v="0.05"/>
    <n v="16671.169999999998"/>
    <n v="10833.19"/>
    <n v="5837.98"/>
    <s v="Failed"/>
    <x v="1"/>
    <s v="Unique"/>
    <m/>
    <s v="Clean"/>
    <s v="valid"/>
    <n v="0.05"/>
    <n v="16671.169999999998"/>
    <n v="5837.9799999999977"/>
    <n v="0.35018418023450054"/>
    <x v="6"/>
    <n v="2025"/>
    <s v="Warning"/>
  </r>
  <r>
    <x v="382"/>
    <s v="04 Mar 2025"/>
    <s v="03/08/2025"/>
    <s v="03-Aug-2025"/>
    <s v="04-Mar-2025"/>
    <n v="152"/>
    <s v="CUST-7098"/>
    <s v="Arjun Bose"/>
    <x v="1"/>
    <x v="1"/>
    <s v="Bihar"/>
    <s v="Patna"/>
    <x v="2"/>
    <x v="11"/>
    <s v="Pro Phones 538"/>
    <x v="2"/>
    <n v="3"/>
    <n v="4361.8500000000004"/>
    <n v="0.2"/>
    <n v="10468.44"/>
    <n v="8399.8700000000008"/>
    <n v="2068.5700000000002"/>
    <s v="Paid"/>
    <x v="0"/>
    <s v="Unique"/>
    <m/>
    <s v="Clean"/>
    <s v="valid"/>
    <n v="0.2"/>
    <n v="10468.440000000002"/>
    <n v="2068.5700000000015"/>
    <n v="0.19760059760575607"/>
    <x v="9"/>
    <n v="2025"/>
    <s v="Clean"/>
  </r>
  <r>
    <x v="383"/>
    <s v="28 Jun 2025"/>
    <s v="05 Jul 2025"/>
    <s v="05-Jul-2025"/>
    <s v="28-Jun-2025"/>
    <n v="7"/>
    <s v="CUST-7438"/>
    <s v="Vikram Iyer"/>
    <x v="2"/>
    <x v="1"/>
    <s v="West Bengal"/>
    <s v="Kolkata"/>
    <x v="0"/>
    <x v="2"/>
    <s v="Basic Art 608"/>
    <x v="2"/>
    <n v="2"/>
    <n v="2242.75"/>
    <n v="0"/>
    <n v="4485.5"/>
    <n v="3131.86"/>
    <n v="1353.64"/>
    <s v="Paid"/>
    <x v="1"/>
    <s v="Unique"/>
    <m/>
    <s v="Clean"/>
    <s v="valid"/>
    <n v="0"/>
    <n v="4485.5"/>
    <n v="1353.6399999999999"/>
    <n v="0.30178129528480657"/>
    <x v="10"/>
    <n v="2025"/>
    <s v="Warning"/>
  </r>
  <r>
    <x v="384"/>
    <s v="15-03-2024"/>
    <s v="2024-03-20"/>
    <s v="20-Mar-2024"/>
    <s v="15-Mar-2024"/>
    <n v="5"/>
    <s v="CUST-8432"/>
    <s v="Rohan Mehta"/>
    <x v="0"/>
    <x v="1"/>
    <s v="Jharkhand"/>
    <s v="Ranchi"/>
    <x v="2"/>
    <x v="6"/>
    <s v="Prime Copiers 820"/>
    <x v="3"/>
    <n v="2"/>
    <n v="1881.4"/>
    <n v="0.25"/>
    <n v="2822.1"/>
    <n v="1624.57"/>
    <n v="1197.53"/>
    <s v="Paid"/>
    <x v="2"/>
    <s v="Unique"/>
    <m/>
    <s v="Clean"/>
    <s v="valid"/>
    <n v="0.25"/>
    <n v="2822.1000000000004"/>
    <n v="1197.5300000000004"/>
    <n v="0.42434003047376079"/>
    <x v="9"/>
    <n v="2024"/>
    <s v="Clean"/>
  </r>
  <r>
    <x v="385"/>
    <s v="2025-06-24"/>
    <s v="30 Jun 2025"/>
    <s v="30-Jun-2025"/>
    <s v="24-Jun-2025"/>
    <n v="6"/>
    <s v="CUST-2834"/>
    <s v="Arjun Bose"/>
    <x v="0"/>
    <x v="0"/>
    <s v="Haryana"/>
    <s v="Gurugram"/>
    <x v="0"/>
    <x v="7"/>
    <s v="Classic Labels 670"/>
    <x v="3"/>
    <n v="6"/>
    <n v="365.76"/>
    <n v="0.1"/>
    <n v="1975.1"/>
    <n v="1115.3499999999999"/>
    <n v="859.75"/>
    <s v="Paid"/>
    <x v="0"/>
    <s v="Unique"/>
    <m/>
    <s v="Clean"/>
    <s v="valid"/>
    <n v="0.1"/>
    <n v="1975.104"/>
    <n v="859.75400000000013"/>
    <n v="0.4352955591199249"/>
    <x v="10"/>
    <n v="2025"/>
    <s v="Clean"/>
  </r>
  <r>
    <x v="386"/>
    <s v="02/12/2025"/>
    <s v="14-02-2025"/>
    <s v="14-Feb-2025"/>
    <s v="02-Dec-2025"/>
    <n v="-291"/>
    <s v="CUST-4222"/>
    <s v="Sneha Kapoor"/>
    <x v="0"/>
    <x v="3"/>
    <s v="Maharashtra"/>
    <s v="Mumbai"/>
    <x v="1"/>
    <x v="3"/>
    <s v="Prime Furnishings 597"/>
    <x v="0"/>
    <n v="8"/>
    <n v="2786.66"/>
    <n v="0.1"/>
    <n v="20063.95"/>
    <n v="14363.38"/>
    <n v="5700.57"/>
    <s v="Paid"/>
    <x v="0"/>
    <s v="Unique"/>
    <m/>
    <s v="Clean"/>
    <s v="Invalid"/>
    <n v="0.1"/>
    <n v="20063.952000000001"/>
    <n v="5700.5720000000019"/>
    <n v="0.2841200975759911"/>
    <x v="7"/>
    <n v="2025"/>
    <s v="Clean"/>
  </r>
  <r>
    <x v="387"/>
    <s v="10-08-2025"/>
    <s v="08/13/2025"/>
    <s v="13-Aug-2025"/>
    <s v="10-Aug-2025"/>
    <n v="3"/>
    <s v="CUST-1053"/>
    <s v="Priya Menon"/>
    <x v="1"/>
    <x v="3"/>
    <s v="Madhya Pradesh"/>
    <s v="Indore"/>
    <x v="1"/>
    <x v="4"/>
    <s v="Prime Chairs 196"/>
    <x v="3"/>
    <n v="5"/>
    <n v="352.86"/>
    <n v="0"/>
    <n v="1764.3"/>
    <n v="1332.49"/>
    <n v="431.81"/>
    <s v="Pending"/>
    <x v="1"/>
    <s v="Unique"/>
    <m/>
    <s v="Clean"/>
    <s v="valid"/>
    <n v="0"/>
    <n v="1764.3000000000002"/>
    <n v="431.81000000000017"/>
    <n v="0.24474862551720236"/>
    <x v="1"/>
    <n v="2025"/>
    <s v="Warning"/>
  </r>
  <r>
    <x v="388"/>
    <s v="2024-05-13"/>
    <s v="18 May 2024"/>
    <s v="18-May-2024"/>
    <s v="13-May-2024"/>
    <n v="5"/>
    <s v="CUST-1457"/>
    <s v="Isha Nair"/>
    <x v="1"/>
    <x v="3"/>
    <s v="Gujarat"/>
    <s v="Ahmedabad"/>
    <x v="1"/>
    <x v="4"/>
    <s v="Elite Chairs 639"/>
    <x v="3"/>
    <n v="3"/>
    <n v="3128.59"/>
    <n v="0"/>
    <n v="9385.77"/>
    <n v="6872.44"/>
    <n v="2783.66"/>
    <s v="Paid"/>
    <x v="0"/>
    <s v="Unique"/>
    <m/>
    <s v="Clean"/>
    <s v="valid"/>
    <n v="0"/>
    <n v="9385.77"/>
    <n v="2513.3300000000008"/>
    <n v="0.26778090662779941"/>
    <x v="3"/>
    <n v="2024"/>
    <s v="Clean"/>
  </r>
  <r>
    <x v="389"/>
    <s v="05 Apr 2024"/>
    <s v="13 Apr 2024"/>
    <s v="13-Apr-2024"/>
    <s v="05-Apr-2024"/>
    <n v="8"/>
    <s v="CUST-3930"/>
    <s v="Diya Patel"/>
    <x v="2"/>
    <x v="3"/>
    <s v="Gujarat"/>
    <s v="Ahmedabad"/>
    <x v="2"/>
    <x v="12"/>
    <s v="Elite Machines 563"/>
    <x v="0"/>
    <n v="5"/>
    <n v="1937.54"/>
    <n v="0.2"/>
    <n v="7750.16"/>
    <n v="5434.3"/>
    <n v="2315.86"/>
    <s v="Pending"/>
    <x v="1"/>
    <s v="Unique"/>
    <m/>
    <s v="Clean"/>
    <s v="valid"/>
    <n v="0.2"/>
    <n v="7750.1600000000008"/>
    <n v="2315.8600000000006"/>
    <n v="0.29881447608823564"/>
    <x v="11"/>
    <n v="2024"/>
    <s v="Warning"/>
  </r>
  <r>
    <x v="390"/>
    <s v="06 Nov 2024"/>
    <s v="11-11-2024"/>
    <s v="11-Nov-2024"/>
    <s v="06-Nov-2024"/>
    <n v="5"/>
    <s v="CUST-7853"/>
    <s v="Isha Nair"/>
    <x v="0"/>
    <x v="3"/>
    <s v="Gujarat"/>
    <s v="Ahmedabad"/>
    <x v="1"/>
    <x v="3"/>
    <s v="Pro Furnishings 281"/>
    <x v="3"/>
    <n v="4"/>
    <n v="1917.26"/>
    <n v="0.2"/>
    <n v="6135.23"/>
    <n v="3439.79"/>
    <n v="2695.44"/>
    <s v="Paid"/>
    <x v="0"/>
    <s v="Unique"/>
    <m/>
    <s v="Clean"/>
    <s v="valid"/>
    <n v="0.2"/>
    <n v="6135.232"/>
    <n v="2695.442"/>
    <n v="0.43933823529411764"/>
    <x v="2"/>
    <n v="2024"/>
    <s v="Clean"/>
  </r>
  <r>
    <x v="391"/>
    <s v="14-02-2025"/>
    <s v="14 Feb 2025"/>
    <s v="14-Feb-2025"/>
    <s v="14-Feb-2025"/>
    <n v="0"/>
    <s v="CUST-2267"/>
    <s v="Diya Patel"/>
    <x v="0"/>
    <x v="2"/>
    <s v="Karnataka"/>
    <s v="Bengaluru"/>
    <x v="0"/>
    <x v="8"/>
    <s v="Eco Storage 285"/>
    <x v="2"/>
    <n v="1"/>
    <n v="714.43"/>
    <n v="0"/>
    <n v="714.43"/>
    <n v="565.44000000000005"/>
    <n v="148.99"/>
    <s v="Paid"/>
    <x v="0"/>
    <s v="Unique"/>
    <m/>
    <s v="Clean"/>
    <s v="valid"/>
    <n v="0"/>
    <n v="714.43"/>
    <n v="148.9899999999999"/>
    <n v="0.20854387413742412"/>
    <x v="5"/>
    <n v="2025"/>
    <s v="Clean"/>
  </r>
  <r>
    <x v="392"/>
    <s v="02/19/2024"/>
    <s v="22 Feb 2024"/>
    <s v="22-Feb-2024"/>
    <s v="19-Feb-2024"/>
    <n v="3"/>
    <s v="CUST-6866"/>
    <s v="Aditi Sen"/>
    <x v="1"/>
    <x v="2"/>
    <s v="Kerala"/>
    <s v="Kochi"/>
    <x v="1"/>
    <x v="3"/>
    <s v="Classic Furnishings 746"/>
    <x v="1"/>
    <n v="9"/>
    <n v="4053.01"/>
    <n v="0"/>
    <n v="36477.089999999997"/>
    <n v="24525.48"/>
    <n v="11951.61"/>
    <s v="Paid"/>
    <x v="0"/>
    <s v="Unique"/>
    <m/>
    <s v="Clean"/>
    <s v="valid"/>
    <n v="0"/>
    <n v="36477.090000000004"/>
    <n v="11951.610000000004"/>
    <n v="0.32764702447481425"/>
    <x v="5"/>
    <n v="2024"/>
    <s v="Clean"/>
  </r>
  <r>
    <x v="393"/>
    <s v="2024-08-23"/>
    <s v="08/29/2024"/>
    <s v="29-Aug-2024"/>
    <s v="23-Aug-2024"/>
    <n v="6"/>
    <s v="CUST-3160"/>
    <s v="Mira Das"/>
    <x v="2"/>
    <x v="0"/>
    <s v="Uttar Pradesh"/>
    <s v="Noida"/>
    <x v="0"/>
    <x v="7"/>
    <s v="Eco Labels 815"/>
    <x v="1"/>
    <n v="2"/>
    <n v="1936.91"/>
    <n v="0.05"/>
    <n v="3680.13"/>
    <n v="2967.46"/>
    <n v="712.67"/>
    <s v="Paid"/>
    <x v="0"/>
    <s v="Unique"/>
    <m/>
    <s v="Clean"/>
    <s v="valid"/>
    <n v="0.05"/>
    <n v="3680.1289999999999"/>
    <n v="712.66899999999987"/>
    <n v="0.19365326595888346"/>
    <x v="1"/>
    <n v="2024"/>
    <s v="Clean"/>
  </r>
  <r>
    <x v="394"/>
    <s v="03-04-2024"/>
    <s v="04 Apr 2024"/>
    <s v="04-Apr-2024"/>
    <s v="03-Apr-2024"/>
    <n v="1"/>
    <s v="CUST-8444"/>
    <s v="Kabir Singh"/>
    <x v="0"/>
    <x v="3"/>
    <s v="Maharashtra"/>
    <s v="Mumbai"/>
    <x v="1"/>
    <x v="3"/>
    <s v="Prime Furnishings 879"/>
    <x v="2"/>
    <n v="7"/>
    <n v="3945.21"/>
    <n v="0"/>
    <n v="27616.47"/>
    <n v="21225.26"/>
    <n v="6391.21"/>
    <s v="Paid"/>
    <x v="0"/>
    <s v="Unique"/>
    <m/>
    <s v="Clean"/>
    <s v="valid"/>
    <n v="0"/>
    <n v="27616.47"/>
    <n v="6391.2100000000028"/>
    <n v="0.23142747787823725"/>
    <x v="11"/>
    <n v="2024"/>
    <s v="Clean"/>
  </r>
  <r>
    <x v="395"/>
    <s v="06/06/2024"/>
    <s v="06/07/2024"/>
    <s v="06-Jul-2024"/>
    <s v="06-Jun-2024"/>
    <n v="30"/>
    <s v="CUST-4765"/>
    <s v="Rahul Verma"/>
    <x v="3"/>
    <x v="2"/>
    <s v="Tamil Nadu"/>
    <s v="Chennai"/>
    <x v="1"/>
    <x v="1"/>
    <s v="Pro Tables 142"/>
    <x v="1"/>
    <n v="7"/>
    <n v="861.91"/>
    <n v="0.05"/>
    <n v="5731.7"/>
    <n v="4115.5600000000004"/>
    <n v="1616.14"/>
    <s v="Paid"/>
    <x v="0"/>
    <s v="Unique"/>
    <m/>
    <s v="Clean"/>
    <s v="valid"/>
    <n v="0.05"/>
    <n v="5731.7014999999992"/>
    <n v="1616.1414999999988"/>
    <n v="0.28196539893084088"/>
    <x v="10"/>
    <n v="2024"/>
    <s v="Clean"/>
  </r>
  <r>
    <x v="396"/>
    <s v="2025-04-14"/>
    <s v="22 Apr 2025"/>
    <s v="22-Apr-2025"/>
    <s v="14-Apr-2025"/>
    <n v="8"/>
    <s v="CUST-2280"/>
    <s v="Aditi Sen"/>
    <x v="1"/>
    <x v="2"/>
    <s v="Karnataka"/>
    <s v="Bengaluru"/>
    <x v="2"/>
    <x v="12"/>
    <s v="Prime Machines 267"/>
    <x v="3"/>
    <n v="2"/>
    <n v="638.73"/>
    <n v="0.05"/>
    <n v="1213.5899999999999"/>
    <n v="956.22"/>
    <n v="257.37"/>
    <s v="Paid"/>
    <x v="0"/>
    <s v="Unique"/>
    <m/>
    <s v="Clean"/>
    <s v="valid"/>
    <n v="0.05"/>
    <n v="1213.587"/>
    <n v="257.36699999999996"/>
    <n v="0.21207132245154239"/>
    <x v="11"/>
    <n v="2025"/>
    <s v="Clean"/>
  </r>
  <r>
    <x v="397"/>
    <s v="09 Jun 2025"/>
    <s v="10 Jun 2025"/>
    <s v="10-Jun-2025"/>
    <s v="09-Jun-2025"/>
    <n v="1"/>
    <s v="CUST-3177"/>
    <s v="Sneha Kapoor"/>
    <x v="1"/>
    <x v="0"/>
    <s v="Uttar Pradesh"/>
    <s v="Noida"/>
    <x v="1"/>
    <x v="1"/>
    <s v="Eco Tables 378"/>
    <x v="0"/>
    <n v="2"/>
    <n v="1731.88"/>
    <n v="0"/>
    <n v="3463.76"/>
    <n v="2143.7399999999998"/>
    <n v="1320.02"/>
    <s v="Paid"/>
    <x v="0"/>
    <s v="Unique"/>
    <m/>
    <s v="Clean"/>
    <s v="valid"/>
    <n v="0"/>
    <n v="3463.76"/>
    <n v="1320.0200000000004"/>
    <n v="0.38109453310852959"/>
    <x v="10"/>
    <n v="2025"/>
    <s v="Clean"/>
  </r>
  <r>
    <x v="398"/>
    <s v="19 Jul 2024"/>
    <s v="2024-07-26"/>
    <s v="26-Jul-2024"/>
    <s v="19-Jul-2024"/>
    <n v="7"/>
    <s v="CUST-4718"/>
    <s v="Vikram Iyer"/>
    <x v="2"/>
    <x v="0"/>
    <s v="Punjab"/>
    <s v="Ludhiana"/>
    <x v="2"/>
    <x v="12"/>
    <s v="Elite Machines 523"/>
    <x v="1"/>
    <n v="2"/>
    <n v="1263.6500000000001"/>
    <n v="0.2"/>
    <n v="2021.84"/>
    <n v="1355.22"/>
    <n v="666.62"/>
    <s v="Paid"/>
    <x v="0"/>
    <s v="Unique"/>
    <m/>
    <s v="Clean"/>
    <s v="valid"/>
    <n v="0.2"/>
    <n v="2021.8400000000001"/>
    <n v="666.62000000000012"/>
    <n v="0.32970957147944452"/>
    <x v="0"/>
    <n v="2024"/>
    <s v="Clean"/>
  </r>
  <r>
    <x v="399"/>
    <s v="04/24/2025"/>
    <s v="2025-04-29"/>
    <s v="29-Apr-2025"/>
    <s v="24-Apr-2025"/>
    <n v="5"/>
    <s v="CUST-5647"/>
    <s v="Diya Patel"/>
    <x v="1"/>
    <x v="2"/>
    <s v="Andhra Pradesh"/>
    <s v="Vijayawada"/>
    <x v="0"/>
    <x v="0"/>
    <s v="Elite Paper 308"/>
    <x v="1"/>
    <n v="1"/>
    <n v="4358.5"/>
    <n v="0.25"/>
    <n v="3268.88"/>
    <n v="1993.74"/>
    <n v="1275.1400000000001"/>
    <s v="Paid"/>
    <x v="0"/>
    <s v="Unique"/>
    <m/>
    <s v="Clean"/>
    <s v="valid"/>
    <n v="0.25"/>
    <n v="3268.875"/>
    <n v="1275.135"/>
    <n v="0.39008374440747962"/>
    <x v="11"/>
    <n v="2025"/>
    <s v="Clean"/>
  </r>
  <r>
    <x v="400"/>
    <s v="06-06-2025"/>
    <s v="2025-06-11"/>
    <s v="11-Jun-2025"/>
    <s v="06-Jun-2025"/>
    <n v="5"/>
    <s v="CUST-7150"/>
    <s v="Sneha Kapoor"/>
    <x v="1"/>
    <x v="0"/>
    <s v="Uttar Pradesh"/>
    <s v="Noida"/>
    <x v="0"/>
    <x v="0"/>
    <s v="Prime Paper 851"/>
    <x v="1"/>
    <n v="7"/>
    <n v="878.09"/>
    <n v="-0.1"/>
    <n v="5839.3"/>
    <n v="4877.38"/>
    <n v="961.92"/>
    <s v="Paid"/>
    <x v="0"/>
    <s v="Unique"/>
    <m/>
    <s v="Invalid"/>
    <s v="valid"/>
    <n v="-0.1"/>
    <n v="6761.2930000000006"/>
    <n v="1883.9130000000005"/>
    <n v="0.27863206046535777"/>
    <x v="10"/>
    <n v="2025"/>
    <s v="Invalid"/>
  </r>
  <r>
    <x v="401"/>
    <s v="09 Mar 2025"/>
    <s v="16-03-2025"/>
    <s v="16-Mar-2025"/>
    <s v="09-Mar-2025"/>
    <n v="7"/>
    <s v="CUST-6694"/>
    <s v="Arjun Bose"/>
    <x v="1"/>
    <x v="1"/>
    <s v="Jharkhand"/>
    <s v="Ranchi"/>
    <x v="1"/>
    <x v="1"/>
    <s v="Classic Tables 151"/>
    <x v="1"/>
    <n v="3"/>
    <n v="2625.85"/>
    <n v="0"/>
    <n v="7877.55"/>
    <n v="5562.77"/>
    <n v="2314.7800000000002"/>
    <s v="Paid"/>
    <x v="0"/>
    <s v="Unique"/>
    <m/>
    <s v="Clean"/>
    <s v="valid"/>
    <n v="0"/>
    <n v="7877.5499999999993"/>
    <n v="2314.7799999999988"/>
    <n v="0.29384516759652418"/>
    <x v="9"/>
    <n v="2025"/>
    <s v="Clean"/>
  </r>
  <r>
    <x v="402"/>
    <s v="22 Mar 2024"/>
    <s v="03/22/2024"/>
    <s v="22-Mar-2024"/>
    <s v="22-Mar-2024"/>
    <n v="0"/>
    <s v="CUST-7680"/>
    <s v="Priya Menon"/>
    <x v="1"/>
    <x v="2"/>
    <s v="Karnataka"/>
    <s v="Bengaluru"/>
    <x v="1"/>
    <x v="1"/>
    <s v="Smart Tables 829"/>
    <x v="4"/>
    <n v="3"/>
    <n v="1365.26"/>
    <n v="0"/>
    <n v="4095.78"/>
    <n v="2807.77"/>
    <n v="1288.01"/>
    <s v="Paid"/>
    <x v="0"/>
    <s v="Unique"/>
    <m/>
    <s v="Clean"/>
    <s v="valid"/>
    <n v="0"/>
    <n v="4095.7799999999997"/>
    <n v="1288.0099999999998"/>
    <n v="0.31447245701673426"/>
    <x v="9"/>
    <n v="2024"/>
    <s v="Clean"/>
  </r>
  <r>
    <x v="403"/>
    <s v="09/30/2024"/>
    <s v="04-10-2024"/>
    <s v="04-Oct-2024"/>
    <s v="30-Sep-2024"/>
    <n v="4"/>
    <s v="CUST-2700"/>
    <s v="Arjun Bose"/>
    <x v="1"/>
    <x v="2"/>
    <s v="Kerala"/>
    <s v="Kochi"/>
    <x v="0"/>
    <x v="0"/>
    <s v="Classic Paper 237"/>
    <x v="1"/>
    <n v="5"/>
    <n v="3512.25"/>
    <n v="0.05"/>
    <n v="16683.189999999999"/>
    <n v="10301.16"/>
    <n v="6382.03"/>
    <s v="Paid"/>
    <x v="2"/>
    <s v="Unique"/>
    <m/>
    <s v="Clean"/>
    <s v="valid"/>
    <n v="0.05"/>
    <n v="16683.1875"/>
    <n v="6382.0275000000001"/>
    <n v="0.38254245479168775"/>
    <x v="6"/>
    <n v="2024"/>
    <s v="Clean"/>
  </r>
  <r>
    <x v="404"/>
    <s v="27 Jan 2024"/>
    <s v="02/03/2024"/>
    <s v="02-Mar-2024"/>
    <s v="27-Jan-2024"/>
    <n v="35"/>
    <s v="CUST-2904"/>
    <s v="Aditi Sen"/>
    <x v="2"/>
    <x v="3"/>
    <s v="Rajasthan"/>
    <s v="Udaipur"/>
    <x v="1"/>
    <x v="4"/>
    <s v="Prime Chairs 891"/>
    <x v="1"/>
    <n v="3"/>
    <n v="359.61"/>
    <n v="0"/>
    <n v="1078.83"/>
    <n v="926.35"/>
    <n v="152.47999999999999"/>
    <s v="Paid"/>
    <x v="0"/>
    <s v="Unique"/>
    <m/>
    <s v="Clean"/>
    <s v="valid"/>
    <n v="0"/>
    <n v="1078.83"/>
    <n v="152.4799999999999"/>
    <n v="0.14133830167867034"/>
    <x v="8"/>
    <n v="2024"/>
    <s v="Clean"/>
  </r>
  <r>
    <x v="405"/>
    <s v="09/23/2024"/>
    <s v="24 Sep 2024"/>
    <s v="24-Sep-2024"/>
    <s v="23-Sep-2024"/>
    <n v="1"/>
    <s v="CUST-9961"/>
    <s v="Aditi Sen"/>
    <x v="3"/>
    <x v="3"/>
    <s v="Gujarat"/>
    <s v="Ahmedabad"/>
    <x v="1"/>
    <x v="10"/>
    <s v="Max Bookcases 812"/>
    <x v="4"/>
    <n v="7"/>
    <n v="3878.01"/>
    <n v="0.1"/>
    <n v="24431.46"/>
    <n v="18202.36"/>
    <n v="6229.1"/>
    <s v="Paid"/>
    <x v="0"/>
    <s v="Unique"/>
    <m/>
    <s v="Clean"/>
    <s v="valid"/>
    <n v="0.1"/>
    <n v="24431.463"/>
    <n v="6229.1029999999992"/>
    <n v="0.25496234097810677"/>
    <x v="6"/>
    <n v="2024"/>
    <s v="Clean"/>
  </r>
  <r>
    <x v="406"/>
    <s v="25 Feb 2025"/>
    <s v="25 Feb 2025"/>
    <s v="25-Feb-2025"/>
    <s v="25-Feb-2025"/>
    <n v="0"/>
    <s v="CUST-9909"/>
    <s v="Kabir Singh"/>
    <x v="1"/>
    <x v="3"/>
    <s v="Goa"/>
    <s v="Panaji"/>
    <x v="1"/>
    <x v="3"/>
    <s v="Basic Furnishings 164"/>
    <x v="3"/>
    <n v="2"/>
    <n v="3924.2"/>
    <n v="0.25"/>
    <n v="5886.3"/>
    <n v="3621.76"/>
    <n v="2264.54"/>
    <s v="Pending"/>
    <x v="2"/>
    <s v="Unique"/>
    <m/>
    <s v="Clean"/>
    <s v="valid"/>
    <n v="0.25"/>
    <n v="5886.2999999999993"/>
    <n v="2264.5399999999991"/>
    <n v="0.38471365713606159"/>
    <x v="5"/>
    <n v="2025"/>
    <s v="Clean"/>
  </r>
  <r>
    <x v="407"/>
    <s v="12 May 2024"/>
    <s v="13 May 2024"/>
    <s v="13-May-2024"/>
    <s v="12-May-2024"/>
    <n v="1"/>
    <s v="CUST-8520"/>
    <s v="Rahul Verma"/>
    <x v="2"/>
    <x v="3"/>
    <s v="Goa"/>
    <s v="Panaji"/>
    <x v="0"/>
    <x v="7"/>
    <s v="Smart Labels 261"/>
    <x v="0"/>
    <n v="3"/>
    <n v="2644.55"/>
    <n v="0"/>
    <n v="7933.65"/>
    <n v="5698.42"/>
    <n v="2235.23"/>
    <s v="Paid"/>
    <x v="0"/>
    <s v="Unique"/>
    <m/>
    <s v="Clean"/>
    <s v="valid"/>
    <n v="0"/>
    <n v="7933.6500000000005"/>
    <n v="2235.2300000000005"/>
    <n v="0.2817404347305465"/>
    <x v="3"/>
    <n v="2024"/>
    <s v="Clean"/>
  </r>
  <r>
    <x v="408"/>
    <s v="08/01/2025"/>
    <s v="08/03/2025"/>
    <s v="08-Mar-2025"/>
    <s v="08-Jan-2025"/>
    <n v="59"/>
    <s v="CUST-5036"/>
    <s v="Sneha Kapoor"/>
    <x v="0"/>
    <x v="3"/>
    <s v="Maharashtra"/>
    <s v="Mumbai"/>
    <x v="1"/>
    <x v="4"/>
    <s v="Max Chairs 765"/>
    <x v="2"/>
    <n v="4"/>
    <n v="1773.46"/>
    <n v="0"/>
    <n v="7093.84"/>
    <n v="4587.49"/>
    <n v="2506.35"/>
    <s v="Failed"/>
    <x v="2"/>
    <s v="Unique"/>
    <m/>
    <s v="Clean"/>
    <s v="valid"/>
    <n v="0"/>
    <n v="7093.84"/>
    <n v="2506.3500000000004"/>
    <n v="0.35331357910525191"/>
    <x v="8"/>
    <n v="2025"/>
    <s v="Warning"/>
  </r>
  <r>
    <x v="409"/>
    <s v="13-02-2025"/>
    <s v="15-02-2025"/>
    <s v="15-Feb-2025"/>
    <s v="13-Feb-2025"/>
    <n v="2"/>
    <s v="CUST-7721"/>
    <s v="Karan Malhotra"/>
    <x v="0"/>
    <x v="1"/>
    <s v="Assam"/>
    <s v="Guwahati"/>
    <x v="2"/>
    <x v="5"/>
    <s v="Pro Accessories 686"/>
    <x v="1"/>
    <n v="1"/>
    <n v="3025.46"/>
    <n v="0.25"/>
    <n v="2269.1"/>
    <n v="1593.59"/>
    <n v="675.51"/>
    <s v="Refunded"/>
    <x v="2"/>
    <s v="Unique"/>
    <m/>
    <s v="Clean"/>
    <s v="valid"/>
    <n v="0.25"/>
    <n v="2269.0950000000003"/>
    <n v="675.50500000000034"/>
    <n v="0.29769798091309541"/>
    <x v="5"/>
    <n v="2025"/>
    <s v="Clean"/>
  </r>
  <r>
    <x v="410"/>
    <s v="2024-04-12"/>
    <s v="20 Apr 2024"/>
    <s v="20-Apr-2024"/>
    <s v="12-Apr-2024"/>
    <n v="8"/>
    <s v="CUST-9495"/>
    <s v="Diya Patel"/>
    <x v="0"/>
    <x v="3"/>
    <s v="Goa"/>
    <s v="Panaji"/>
    <x v="1"/>
    <x v="1"/>
    <s v="Smart Tables 100"/>
    <x v="2"/>
    <n v="9"/>
    <n v="1302.6099999999999"/>
    <n v="0.2"/>
    <n v="9378.7900000000009"/>
    <n v="6774.48"/>
    <n v="2604.31"/>
    <s v="Paid"/>
    <x v="0"/>
    <s v="Unique"/>
    <m/>
    <s v="Clean"/>
    <s v="valid"/>
    <n v="0.2"/>
    <n v="9378.7919999999995"/>
    <n v="2604.3119999999999"/>
    <n v="0.27768096360384154"/>
    <x v="11"/>
    <n v="2024"/>
    <s v="Clean"/>
  </r>
  <r>
    <x v="411"/>
    <s v="2025-08-23"/>
    <s v="2025-08-28"/>
    <s v="28-Aug-2025"/>
    <s v="23-Aug-2025"/>
    <n v="5"/>
    <s v="CUST-2855"/>
    <s v="Arjun Bose"/>
    <x v="3"/>
    <x v="3"/>
    <s v="Rajasthan"/>
    <s v="Udaipur"/>
    <x v="1"/>
    <x v="1"/>
    <s v="Basic Tables 615"/>
    <x v="2"/>
    <n v="1"/>
    <n v="4167.8100000000004"/>
    <n v="0.2"/>
    <n v="3334.25"/>
    <n v="2768.77"/>
    <n v="565.48"/>
    <s v="Failed"/>
    <x v="2"/>
    <s v="Unique"/>
    <m/>
    <s v="Clean"/>
    <s v="valid"/>
    <n v="0.2"/>
    <n v="3334.2480000000005"/>
    <n v="565.47800000000052"/>
    <n v="0.16959686262089696"/>
    <x v="1"/>
    <n v="2025"/>
    <s v="Warning"/>
  </r>
  <r>
    <x v="412"/>
    <s v="2024-01-22"/>
    <s v="30-01-2024"/>
    <s v="30-Jan-2024"/>
    <s v="22-Jan-2024"/>
    <n v="8"/>
    <s v="CUST-4329"/>
    <s v="Isha Nair"/>
    <x v="2"/>
    <x v="2"/>
    <s v="Karnataka"/>
    <s v="Bengaluru"/>
    <x v="1"/>
    <x v="4"/>
    <s v="Basic Chairs 790"/>
    <x v="1"/>
    <n v="1"/>
    <n v="2111.39"/>
    <n v="0.25"/>
    <n v="1583.54"/>
    <n v="1014.19"/>
    <n v="569.35"/>
    <s v="Paid"/>
    <x v="0"/>
    <s v="Unique"/>
    <m/>
    <s v="Clean"/>
    <s v="valid"/>
    <n v="0.25"/>
    <n v="1583.5425"/>
    <n v="569.35249999999996"/>
    <n v="0.35954355503562424"/>
    <x v="8"/>
    <n v="2024"/>
    <s v="Clean"/>
  </r>
  <r>
    <x v="413"/>
    <s v="13-08-2025"/>
    <s v="17-08-2025"/>
    <s v="17-Aug-2025"/>
    <s v="13-Aug-2025"/>
    <n v="4"/>
    <s v="CUST-5094"/>
    <s v="Neha Gupta"/>
    <x v="3"/>
    <x v="3"/>
    <s v="Madhya Pradesh"/>
    <s v="Indore"/>
    <x v="2"/>
    <x v="5"/>
    <s v="Smart Accessories 226"/>
    <x v="0"/>
    <n v="8"/>
    <n v="1918.23"/>
    <n v="0"/>
    <n v="15345.84"/>
    <n v="10735.33"/>
    <n v="4610.51"/>
    <s v="Pending"/>
    <x v="1"/>
    <s v="Unique"/>
    <m/>
    <s v="Clean"/>
    <s v="valid"/>
    <n v="0"/>
    <n v="15345.84"/>
    <n v="4610.51"/>
    <n v="0.30044037993358463"/>
    <x v="1"/>
    <n v="2025"/>
    <s v="Warning"/>
  </r>
  <r>
    <x v="414"/>
    <s v="2024-08-29"/>
    <s v="08/30/2024"/>
    <s v="30-Aug-2024"/>
    <s v="29-Aug-2024"/>
    <n v="1"/>
    <s v="CUST-4194"/>
    <s v="Arjun Bose"/>
    <x v="3"/>
    <x v="1"/>
    <s v="Assam"/>
    <s v="Guwahati"/>
    <x v="0"/>
    <x v="8"/>
    <s v="Max Storage 692"/>
    <x v="2"/>
    <n v="4"/>
    <n v="2484.08"/>
    <n v="0.05"/>
    <n v="9439.5"/>
    <n v="5519.39"/>
    <n v="3920.11"/>
    <s v="Paid"/>
    <x v="0"/>
    <s v="Unique"/>
    <m/>
    <s v="Clean"/>
    <s v="valid"/>
    <n v="0.05"/>
    <n v="9439.503999999999"/>
    <n v="3920.1139999999987"/>
    <n v="0.41528813378330037"/>
    <x v="1"/>
    <n v="2024"/>
    <s v="Clean"/>
  </r>
  <r>
    <x v="415"/>
    <s v="01/25/2024"/>
    <s v="27 Jan 2024"/>
    <s v="27-Jan-2024"/>
    <s v="25-Jan-2024"/>
    <n v="2"/>
    <s v="CUST-7087"/>
    <s v="Aarav Sharma"/>
    <x v="2"/>
    <x v="2"/>
    <s v="Karnataka"/>
    <s v="Bengaluru"/>
    <x v="0"/>
    <x v="8"/>
    <s v="Basic Storage 684"/>
    <x v="1"/>
    <n v="7"/>
    <n v="1727.26"/>
    <n v="0.15"/>
    <n v="10277.200000000001"/>
    <n v="7906.5"/>
    <n v="2370.6999999999998"/>
    <s v="Paid"/>
    <x v="2"/>
    <s v="Unique"/>
    <m/>
    <s v="Clean"/>
    <s v="valid"/>
    <n v="0.15"/>
    <n v="10277.197"/>
    <n v="2370.6970000000001"/>
    <n v="0.23067544584384245"/>
    <x v="8"/>
    <n v="2024"/>
    <s v="Clean"/>
  </r>
  <r>
    <x v="416"/>
    <s v="2025-01-08"/>
    <s v="16-01-2025"/>
    <s v="16-Jan-2025"/>
    <s v="08-Jan-2025"/>
    <n v="8"/>
    <s v="CUST-7608"/>
    <s v="Neha Gupta"/>
    <x v="0"/>
    <x v="2"/>
    <s v="Telangana"/>
    <s v="Hyderabad"/>
    <x v="1"/>
    <x v="3"/>
    <s v="Smart Furnishings 152"/>
    <x v="2"/>
    <n v="8"/>
    <n v="638.95000000000005"/>
    <n v="0.25"/>
    <n v="3833.7"/>
    <n v="2886.35"/>
    <n v="947.35"/>
    <s v="Paid"/>
    <x v="0"/>
    <s v="Unique"/>
    <m/>
    <s v="Clean"/>
    <s v="valid"/>
    <n v="0.25"/>
    <n v="3833.7000000000003"/>
    <n v="947.35000000000036"/>
    <n v="0.24711114589039318"/>
    <x v="8"/>
    <n v="2025"/>
    <s v="Clean"/>
  </r>
  <r>
    <x v="417"/>
    <s v="01/29/2025"/>
    <s v="02/05/2025"/>
    <s v="02-May-2025"/>
    <s v="29-Jan-2025"/>
    <n v="93"/>
    <s v="CUST-5269"/>
    <s v="Mira Das"/>
    <x v="0"/>
    <x v="3"/>
    <s v="Gujarat"/>
    <s v="Ahmedabad"/>
    <x v="0"/>
    <x v="2"/>
    <s v="Max Art 736"/>
    <x v="2"/>
    <n v="6"/>
    <n v="3863"/>
    <n v="0.2"/>
    <n v="18542.400000000001"/>
    <n v="11193.75"/>
    <n v="7348.65"/>
    <s v="Paid"/>
    <x v="0"/>
    <s v="Unique"/>
    <m/>
    <s v="Clean"/>
    <s v="valid"/>
    <n v="0.2"/>
    <n v="18542.400000000001"/>
    <n v="7348.6500000000015"/>
    <n v="0.39631601087237905"/>
    <x v="8"/>
    <n v="2025"/>
    <s v="Clean"/>
  </r>
  <r>
    <x v="418"/>
    <s v="11/09/2024"/>
    <s v="11/17/2024"/>
    <s v="17-Nov-2024"/>
    <s v="11-Sep-2024"/>
    <n v="67"/>
    <s v="CUST-7925"/>
    <s v="Sneha Kapoor"/>
    <x v="2"/>
    <x v="1"/>
    <s v="Odisha"/>
    <s v="Bhubaneswar"/>
    <x v="2"/>
    <x v="6"/>
    <s v="Elite Copiers 971"/>
    <x v="3"/>
    <n v="6"/>
    <n v="3660.4"/>
    <n v="0"/>
    <n v="21962.400000000001"/>
    <n v="15331.99"/>
    <n v="6630.41"/>
    <s v="Failed"/>
    <x v="1"/>
    <s v="Unique"/>
    <m/>
    <s v="Clean"/>
    <s v="valid"/>
    <n v="0"/>
    <n v="21962.400000000001"/>
    <n v="6630.4100000000017"/>
    <n v="0.3018982442720286"/>
    <x v="6"/>
    <n v="2024"/>
    <s v="Warning"/>
  </r>
  <r>
    <x v="419"/>
    <s v="26-09-2025"/>
    <s v="09/30/2025"/>
    <s v="30-Sep-2025"/>
    <s v="26-Sep-2025"/>
    <n v="4"/>
    <s v="CUST-6552"/>
    <s v="Sneha Kapoor"/>
    <x v="3"/>
    <x v="0"/>
    <s v="Haryana"/>
    <s v="Gurugram"/>
    <x v="2"/>
    <x v="11"/>
    <s v="Classic Phones 940"/>
    <x v="1"/>
    <n v="2"/>
    <n v="688.83"/>
    <n v="0.05"/>
    <n v="1308.78"/>
    <n v="843"/>
    <n v="465.78"/>
    <s v="Paid"/>
    <x v="0"/>
    <s v="Unique"/>
    <m/>
    <s v="Clean"/>
    <s v="valid"/>
    <n v="0.05"/>
    <n v="1308.777"/>
    <n v="465.77700000000004"/>
    <n v="0.35588721378813964"/>
    <x v="6"/>
    <n v="2025"/>
    <s v="Clean"/>
  </r>
  <r>
    <x v="420"/>
    <s v="18-03-2025"/>
    <s v="2025-03-19"/>
    <s v="19-Mar-2025"/>
    <s v="18-Mar-2025"/>
    <n v="1"/>
    <s v="CUST-7131"/>
    <s v="Isha Nair"/>
    <x v="2"/>
    <x v="2"/>
    <s v="Tamil Nadu"/>
    <s v="Chennai"/>
    <x v="2"/>
    <x v="12"/>
    <s v="Pro Machines 579"/>
    <x v="3"/>
    <n v="2"/>
    <n v="1209.99"/>
    <n v="0.25"/>
    <n v="1814.99"/>
    <n v="1120.06"/>
    <n v="694.93"/>
    <s v="Pending"/>
    <x v="1"/>
    <s v="Unique"/>
    <m/>
    <s v="Clean"/>
    <s v="valid"/>
    <n v="0.25"/>
    <n v="1814.9850000000001"/>
    <n v="694.92500000000018"/>
    <n v="0.38288195219244242"/>
    <x v="9"/>
    <n v="2025"/>
    <s v="Warning"/>
  </r>
  <r>
    <x v="421"/>
    <s v="06/14/2025"/>
    <s v="19 Jun 2025"/>
    <s v="19-Jun-2025"/>
    <s v="14-Jun-2025"/>
    <n v="5"/>
    <s v="CUST-2779"/>
    <s v="Rohan Mehta"/>
    <x v="1"/>
    <x v="0"/>
    <s v="Delhi"/>
    <s v="New Delhi"/>
    <x v="0"/>
    <x v="9"/>
    <s v="Elite Binders 943"/>
    <x v="1"/>
    <n v="3"/>
    <n v="1037.45"/>
    <n v="0.2"/>
    <n v="2489.88"/>
    <n v="1707.52"/>
    <n v="782.36"/>
    <s v="Pending"/>
    <x v="2"/>
    <s v="Unique"/>
    <m/>
    <s v="Clean"/>
    <s v="valid"/>
    <n v="0.2"/>
    <n v="2489.8800000000006"/>
    <n v="782.36000000000058"/>
    <n v="0.31421594615001541"/>
    <x v="10"/>
    <n v="2025"/>
    <s v="Clean"/>
  </r>
  <r>
    <x v="422"/>
    <s v="09/03/2025"/>
    <s v="06 Sep 2025"/>
    <s v="06-Sep-2025"/>
    <s v="09-Mar-2025"/>
    <n v="181"/>
    <s v="CUST-6077"/>
    <s v="Kabir Singh"/>
    <x v="0"/>
    <x v="3"/>
    <s v="Madhya Pradesh"/>
    <s v="Indore"/>
    <x v="2"/>
    <x v="6"/>
    <s v="Elite Copiers 474"/>
    <x v="1"/>
    <n v="7"/>
    <n v="688.85"/>
    <n v="0.15"/>
    <n v="4098.66"/>
    <n v="2678.06"/>
    <n v="1420.6"/>
    <s v="Paid"/>
    <x v="0"/>
    <s v="Unique"/>
    <m/>
    <s v="Clean"/>
    <s v="valid"/>
    <n v="0.15"/>
    <n v="4098.6574999999993"/>
    <n v="1420.5974999999994"/>
    <n v="0.34660068571233377"/>
    <x v="9"/>
    <n v="2025"/>
    <s v="Clean"/>
  </r>
  <r>
    <x v="423"/>
    <s v="2024-02-20"/>
    <s v="27-02-2024"/>
    <s v="27-Feb-2024"/>
    <s v="20-Feb-2024"/>
    <n v="7"/>
    <s v="CUST-6169"/>
    <s v="Diya Patel"/>
    <x v="0"/>
    <x v="2"/>
    <s v="Kerala"/>
    <s v="Kochi"/>
    <x v="2"/>
    <x v="5"/>
    <s v="Prime Accessories 236"/>
    <x v="2"/>
    <n v="9"/>
    <n v="3779.31"/>
    <n v="0.2"/>
    <n v="27211.03"/>
    <n v="17940.43"/>
    <n v="9270.6"/>
    <s v="Paid"/>
    <x v="0"/>
    <s v="Duplicate Order ID"/>
    <s v="FLAG FOR REVIEW"/>
    <s v="Clean"/>
    <s v="valid"/>
    <n v="0.2"/>
    <n v="27211.032000000003"/>
    <n v="9270.6020000000026"/>
    <n v="0.34069277490100347"/>
    <x v="5"/>
    <n v="2024"/>
    <s v="Clean"/>
  </r>
  <r>
    <x v="424"/>
    <s v="06/26/2024"/>
    <s v="2024-06-29"/>
    <s v="29-Jun-2024"/>
    <s v="26-Jun-2024"/>
    <n v="3"/>
    <s v="CUST-8904"/>
    <s v="Neha Gupta"/>
    <x v="2"/>
    <x v="0"/>
    <s v="Punjab"/>
    <s v="Ludhiana"/>
    <x v="2"/>
    <x v="11"/>
    <s v="Prime Phones 881"/>
    <x v="3"/>
    <n v="8"/>
    <n v="804.52"/>
    <n v="0"/>
    <n v="6436.16"/>
    <n v="4263.83"/>
    <n v="2172.33"/>
    <s v="Paid"/>
    <x v="0"/>
    <s v="Unique"/>
    <m/>
    <s v="Clean"/>
    <s v="valid"/>
    <n v="0"/>
    <n v="6436.16"/>
    <n v="2172.33"/>
    <n v="0.33751957689056827"/>
    <x v="10"/>
    <n v="2024"/>
    <s v="Clean"/>
  </r>
  <r>
    <x v="425"/>
    <s v="26-09-2024"/>
    <s v="09/27/2024"/>
    <s v="27-Sep-2024"/>
    <s v="26-Sep-2024"/>
    <n v="1"/>
    <s v="CUST-9586"/>
    <s v="Isha Nair"/>
    <x v="3"/>
    <x v="0"/>
    <s v="Delhi"/>
    <s v="New Delhi"/>
    <x v="0"/>
    <x v="7"/>
    <s v="Pro Labels 903"/>
    <x v="2"/>
    <n v="2"/>
    <n v="1065.69"/>
    <n v="0.1"/>
    <n v="1918.24"/>
    <n v="1373.52"/>
    <n v="544.72"/>
    <s v="Refunded"/>
    <x v="1"/>
    <s v="Unique"/>
    <m/>
    <s v="Clean"/>
    <s v="valid"/>
    <n v="0.1"/>
    <n v="1918.2420000000002"/>
    <n v="544.72200000000021"/>
    <n v="0.2839693844676533"/>
    <x v="6"/>
    <n v="2024"/>
    <s v="Warning"/>
  </r>
  <r>
    <x v="426"/>
    <s v="30-06-2024"/>
    <s v="01-07-2024"/>
    <s v="01-Jul-2024"/>
    <s v="30-Jun-2024"/>
    <n v="1"/>
    <s v="CUST-5431"/>
    <s v="Aditi Sen"/>
    <x v="0"/>
    <x v="0"/>
    <s v="Haryana"/>
    <s v="Gurugram"/>
    <x v="2"/>
    <x v="6"/>
    <s v="Max Copiers 402"/>
    <x v="1"/>
    <n v="8"/>
    <n v="3756.66"/>
    <n v="0.1"/>
    <n v="27047.95"/>
    <n v="18431.330000000002"/>
    <n v="8616.6200000000008"/>
    <s v="Paid"/>
    <x v="0"/>
    <s v="Unique"/>
    <m/>
    <s v="Clean"/>
    <s v="valid"/>
    <n v="0.1"/>
    <n v="27047.952000000001"/>
    <n v="8616.6219999999994"/>
    <n v="0.31856837072174626"/>
    <x v="10"/>
    <n v="2024"/>
    <s v="Clean"/>
  </r>
  <r>
    <x v="427"/>
    <s v="2025-04-22"/>
    <s v="24-04-2025"/>
    <s v="24-Apr-2025"/>
    <s v="22-Apr-2025"/>
    <n v="2"/>
    <s v="CUST-8843"/>
    <s v="Isha Nair"/>
    <x v="2"/>
    <x v="4"/>
    <s v="Jharkhand"/>
    <s v="Ranchi"/>
    <x v="2"/>
    <x v="5"/>
    <s v="Prime Accessories 419"/>
    <x v="3"/>
    <n v="9"/>
    <n v="2939.44"/>
    <n v="0"/>
    <n v="26454.959999999999"/>
    <n v="17630.25"/>
    <n v="8824.7099999999991"/>
    <s v="Paid"/>
    <x v="0"/>
    <s v="Unique"/>
    <m/>
    <s v="Clean"/>
    <s v="valid"/>
    <n v="0"/>
    <n v="26454.959999999999"/>
    <n v="8824.7099999999991"/>
    <n v="0.33357487594008833"/>
    <x v="11"/>
    <n v="2025"/>
    <s v="Clean"/>
  </r>
  <r>
    <x v="428"/>
    <s v="2025-03-15"/>
    <s v="22 Mar 2025"/>
    <s v="22-Mar-2025"/>
    <s v="15-Mar-2025"/>
    <n v="7"/>
    <s v="CUST-7626"/>
    <s v="Karan Malhotra"/>
    <x v="1"/>
    <x v="1"/>
    <s v="West Bengal"/>
    <s v="Kolkata"/>
    <x v="2"/>
    <x v="11"/>
    <s v="Elite Phones 488"/>
    <x v="1"/>
    <n v="2"/>
    <n v="1235.93"/>
    <n v="0.25"/>
    <n v="1853.89"/>
    <n v="1101.23"/>
    <n v="752.66"/>
    <s v="Pending"/>
    <x v="1"/>
    <s v="Unique"/>
    <m/>
    <s v="Clean"/>
    <s v="valid"/>
    <n v="0.25"/>
    <n v="1853.895"/>
    <n v="752.66499999999996"/>
    <n v="0.40599116994220275"/>
    <x v="9"/>
    <n v="2025"/>
    <s v="Warning"/>
  </r>
  <r>
    <x v="429"/>
    <s v="01 Mar 2025"/>
    <s v="08-03-2025"/>
    <s v="08-Mar-2025"/>
    <s v="01-Mar-2025"/>
    <n v="7"/>
    <s v="CUST-8562"/>
    <s v="Neha Gupta"/>
    <x v="3"/>
    <x v="0"/>
    <s v="Rajasthan"/>
    <s v="Jaipur"/>
    <x v="2"/>
    <x v="6"/>
    <s v="Prime Copiers 109"/>
    <x v="1"/>
    <n v="8"/>
    <n v="2943.1"/>
    <n v="0.25"/>
    <n v="17658.599999999999"/>
    <n v="13842.48"/>
    <n v="3816.12"/>
    <s v="Paid"/>
    <x v="0"/>
    <s v="Unique"/>
    <m/>
    <s v="Clean"/>
    <s v="valid"/>
    <n v="0.25"/>
    <n v="17658.599999999999"/>
    <n v="3816.119999999999"/>
    <n v="0.2161054670245659"/>
    <x v="9"/>
    <n v="2025"/>
    <s v="Clean"/>
  </r>
  <r>
    <x v="430"/>
    <s v="30 Aug 2024"/>
    <s v="02-09-2024"/>
    <s v="02-Sep-2024"/>
    <s v="30-Aug-2024"/>
    <n v="3"/>
    <s v="CUST-2732"/>
    <s v="Neha Gupta"/>
    <x v="1"/>
    <x v="0"/>
    <s v="Haryana"/>
    <s v="Gurugram"/>
    <x v="0"/>
    <x v="0"/>
    <s v="Max Paper 576"/>
    <x v="0"/>
    <n v="1"/>
    <n v="4320.84"/>
    <n v="0.15"/>
    <n v="3672.71"/>
    <n v="2714.23"/>
    <n v="763.38"/>
    <s v="Paid"/>
    <x v="0"/>
    <s v="Unique"/>
    <m/>
    <s v="Clean"/>
    <s v="valid"/>
    <n v="0.15"/>
    <n v="3672.7139999999999"/>
    <n v="958.48399999999992"/>
    <n v="0.26097430946161337"/>
    <x v="1"/>
    <n v="2024"/>
    <s v="Clean"/>
  </r>
  <r>
    <x v="431"/>
    <s v="10 Feb 2024"/>
    <s v="02/13/2024"/>
    <s v="13-Feb-2024"/>
    <s v="10-Feb-2024"/>
    <n v="3"/>
    <s v="CUST-3989"/>
    <s v="Karan Malhotra"/>
    <x v="3"/>
    <x v="3"/>
    <s v="Goa"/>
    <s v="Panaji"/>
    <x v="2"/>
    <x v="12"/>
    <s v="Max Machines 412"/>
    <x v="1"/>
    <n v="2"/>
    <n v="4118.45"/>
    <n v="0.25"/>
    <n v="6177.67"/>
    <n v="4520.75"/>
    <n v="1656.92"/>
    <s v="Paid"/>
    <x v="0"/>
    <s v="Unique"/>
    <m/>
    <s v="Clean"/>
    <s v="valid"/>
    <n v="0.25"/>
    <n v="6177.6749999999993"/>
    <n v="1656.9249999999993"/>
    <n v="0.26821174632851347"/>
    <x v="5"/>
    <n v="2024"/>
    <s v="Clean"/>
  </r>
  <r>
    <x v="432"/>
    <s v="08/29/2024"/>
    <s v="02-09-2024"/>
    <s v="02-Sep-2024"/>
    <s v="29-Aug-2024"/>
    <n v="4"/>
    <s v="CUST-3522"/>
    <s v="Priya Menon"/>
    <x v="1"/>
    <x v="3"/>
    <s v="Maharashtra"/>
    <s v="Mumbai"/>
    <x v="1"/>
    <x v="10"/>
    <s v="Classic Bookcases 291"/>
    <x v="3"/>
    <n v="6"/>
    <n v="172.82"/>
    <n v="0.05"/>
    <n v="985.07"/>
    <n v="844.48"/>
    <n v="140.59"/>
    <s v="Paid"/>
    <x v="0"/>
    <s v="Unique"/>
    <m/>
    <s v="Clean"/>
    <s v="valid"/>
    <n v="0.05"/>
    <n v="985.07400000000007"/>
    <n v="140.59400000000005"/>
    <n v="0.14272430294576857"/>
    <x v="1"/>
    <n v="2024"/>
    <s v="Clean"/>
  </r>
  <r>
    <x v="433"/>
    <s v="04/19/2024"/>
    <s v="20-04-2024"/>
    <s v="20-Apr-2024"/>
    <s v="19-Apr-2024"/>
    <n v="1"/>
    <s v="CUST-7066"/>
    <s v="Priya Menon"/>
    <x v="2"/>
    <x v="2"/>
    <s v="Kerala"/>
    <s v="Kochi"/>
    <x v="0"/>
    <x v="2"/>
    <s v="Elite Art 946"/>
    <x v="0"/>
    <n v="4"/>
    <n v="1540.22"/>
    <n v="0"/>
    <n v="6160.88"/>
    <n v="4938.7"/>
    <n v="1222.18"/>
    <s v="Refunded"/>
    <x v="2"/>
    <s v="Unique"/>
    <m/>
    <s v="Clean"/>
    <s v="valid"/>
    <n v="0"/>
    <n v="6160.88"/>
    <n v="1222.1800000000003"/>
    <n v="0.19837750451234243"/>
    <x v="11"/>
    <n v="2024"/>
    <s v="Clean"/>
  </r>
  <r>
    <x v="434"/>
    <s v="04/11/2025"/>
    <s v="2025-04-15"/>
    <s v="15-Apr-2025"/>
    <s v="04-Nov-2025"/>
    <n v="-203"/>
    <s v="CUST-2351"/>
    <s v="Mira Das"/>
    <x v="3"/>
    <x v="0"/>
    <s v="Uttar Pradesh"/>
    <s v="Noida"/>
    <x v="2"/>
    <x v="5"/>
    <s v="Eco Accessories 705"/>
    <x v="0"/>
    <n v="5"/>
    <n v="652.78"/>
    <n v="0"/>
    <n v="3263.9"/>
    <n v="2068.44"/>
    <n v="1195.46"/>
    <s v="Paid"/>
    <x v="0"/>
    <s v="Unique"/>
    <m/>
    <s v="Clean"/>
    <s v="Invalid"/>
    <n v="0"/>
    <n v="3263.8999999999996"/>
    <n v="1195.4599999999996"/>
    <n v="0.3662673488771101"/>
    <x v="2"/>
    <n v="2025"/>
    <s v="Clean"/>
  </r>
  <r>
    <x v="435"/>
    <s v="2025-04-12"/>
    <s v="20-04-2025"/>
    <s v="20-Apr-2025"/>
    <s v="12-Apr-2025"/>
    <n v="8"/>
    <s v="CUST-7291"/>
    <s v="Kabir Singh"/>
    <x v="3"/>
    <x v="0"/>
    <s v="Delhi"/>
    <s v="New Delhi"/>
    <x v="2"/>
    <x v="12"/>
    <s v="Max Machines 151"/>
    <x v="3"/>
    <n v="1"/>
    <n v="2737.71"/>
    <n v="0.15"/>
    <n v="2327.0500000000002"/>
    <n v="1919.42"/>
    <n v="407.63"/>
    <s v="Paid"/>
    <x v="1"/>
    <s v="Unique"/>
    <m/>
    <s v="Clean"/>
    <s v="valid"/>
    <n v="0.15"/>
    <n v="2327.0535"/>
    <n v="407.63349999999991"/>
    <n v="0.17517152055163318"/>
    <x v="11"/>
    <n v="2025"/>
    <s v="Warning"/>
  </r>
  <r>
    <x v="436"/>
    <s v="16 Jun 2024"/>
    <s v="21 Jun 2024"/>
    <s v="21-Jun-2024"/>
    <s v="16-Jun-2024"/>
    <n v="5"/>
    <s v="CUST-4492"/>
    <s v="Neha Gupta"/>
    <x v="0"/>
    <x v="2"/>
    <s v="Kerala"/>
    <s v="Kochi"/>
    <x v="1"/>
    <x v="3"/>
    <s v="Max Furnishings 803"/>
    <x v="1"/>
    <n v="6"/>
    <n v="1156.78"/>
    <n v="0.05"/>
    <n v="6593.65"/>
    <n v="4359.3900000000003"/>
    <n v="2234.2600000000002"/>
    <s v="Paid"/>
    <x v="2"/>
    <s v="Unique"/>
    <m/>
    <s v="Clean"/>
    <s v="valid"/>
    <n v="0.05"/>
    <n v="6593.6459999999997"/>
    <n v="2234.2559999999994"/>
    <n v="0.33884985636171544"/>
    <x v="10"/>
    <n v="2024"/>
    <s v="Clean"/>
  </r>
  <r>
    <x v="437"/>
    <s v="15-02-2024"/>
    <s v="2024-02-18"/>
    <s v="18-Feb-2024"/>
    <s v="15-Feb-2024"/>
    <n v="3"/>
    <s v="CUST-5029"/>
    <s v="Aditi Sen"/>
    <x v="1"/>
    <x v="2"/>
    <s v="Kerala"/>
    <s v="Kochi"/>
    <x v="2"/>
    <x v="5"/>
    <s v="Max Accessories 423"/>
    <x v="1"/>
    <n v="8"/>
    <n v="379.82"/>
    <n v="0.05"/>
    <n v="2886.63"/>
    <n v="1588.23"/>
    <n v="1298.4000000000001"/>
    <s v="Failed"/>
    <x v="2"/>
    <s v="Unique"/>
    <m/>
    <s v="Clean"/>
    <s v="valid"/>
    <n v="0.05"/>
    <n v="2886.6319999999996"/>
    <n v="1298.4019999999996"/>
    <n v="0.44979824238073984"/>
    <x v="5"/>
    <n v="2024"/>
    <s v="Warning"/>
  </r>
  <r>
    <x v="438"/>
    <s v="07 May 2025"/>
    <s v="05/05/2025"/>
    <s v="05-May-2025"/>
    <s v="07-May-2025"/>
    <n v="-2"/>
    <s v="CUST-7252"/>
    <s v="Neha Gupta"/>
    <x v="2"/>
    <x v="1"/>
    <s v="Jharkhand"/>
    <s v="Ranchi"/>
    <x v="2"/>
    <x v="11"/>
    <s v="Elite Phones 276"/>
    <x v="3"/>
    <n v="1"/>
    <n v="2266.4699999999998"/>
    <n v="0.2"/>
    <n v="1813.18"/>
    <n v="1363.64"/>
    <n v="449.54"/>
    <s v="Paid"/>
    <x v="0"/>
    <s v="Unique"/>
    <m/>
    <s v="Clean"/>
    <s v="Invalid"/>
    <n v="0.2"/>
    <n v="1813.1759999999999"/>
    <n v="449.53599999999983"/>
    <n v="0.24792739370033567"/>
    <x v="3"/>
    <n v="2025"/>
    <s v="Clean"/>
  </r>
  <r>
    <x v="439"/>
    <s v="30-06-2025"/>
    <s v="03 Jul 2025"/>
    <s v="03-Jul-2025"/>
    <s v="30-Jun-2025"/>
    <n v="3"/>
    <s v="CUST-7346"/>
    <s v="Aarav Sharma"/>
    <x v="3"/>
    <x v="3"/>
    <s v="Goa"/>
    <s v="Panaji"/>
    <x v="0"/>
    <x v="8"/>
    <s v="Smart Storage 287"/>
    <x v="1"/>
    <n v="5"/>
    <n v="665.25"/>
    <n v="0"/>
    <n v="3326.25"/>
    <n v="2689.36"/>
    <n v="636.89"/>
    <s v="Refunded"/>
    <x v="2"/>
    <s v="Unique"/>
    <m/>
    <s v="Clean"/>
    <s v="valid"/>
    <n v="0"/>
    <n v="3326.25"/>
    <n v="636.88999999999987"/>
    <n v="0.19147388199924836"/>
    <x v="10"/>
    <n v="2025"/>
    <s v="Clean"/>
  </r>
  <r>
    <x v="440"/>
    <s v="04/02/2024"/>
    <s v="04/08/2024"/>
    <s v="04-Aug-2024"/>
    <s v="04-Feb-2024"/>
    <n v="182"/>
    <s v="CUST-9039"/>
    <s v="Vikram Iyer"/>
    <x v="2"/>
    <x v="1"/>
    <s v="Odisha"/>
    <s v="Bhubaneswar"/>
    <x v="2"/>
    <x v="12"/>
    <s v="Basic Machines 610"/>
    <x v="0"/>
    <n v="6"/>
    <n v="3722.84"/>
    <n v="0.2"/>
    <n v="17869.63"/>
    <n v="12163.8"/>
    <n v="5705.83"/>
    <s v="Paid"/>
    <x v="0"/>
    <s v="Unique"/>
    <m/>
    <s v="Clean"/>
    <s v="valid"/>
    <n v="0.2"/>
    <n v="17869.632000000001"/>
    <n v="5705.8320000000022"/>
    <n v="0.31930327384469931"/>
    <x v="5"/>
    <n v="2024"/>
    <s v="Clean"/>
  </r>
  <r>
    <x v="441"/>
    <s v="03-10-2024"/>
    <s v="2024-10-03"/>
    <s v="03-Oct-2024"/>
    <s v="03-Oct-2024"/>
    <n v="0"/>
    <s v="CUST-3975"/>
    <s v="Karan Malhotra"/>
    <x v="0"/>
    <x v="1"/>
    <s v="Bihar"/>
    <s v="Patna"/>
    <x v="1"/>
    <x v="10"/>
    <s v="Elite Bookcases 393"/>
    <x v="3"/>
    <n v="6"/>
    <n v="4217.49"/>
    <n v="0"/>
    <n v="25304.94"/>
    <n v="20771.95"/>
    <n v="4532.99"/>
    <s v="Paid"/>
    <x v="1"/>
    <s v="Unique"/>
    <m/>
    <s v="Clean"/>
    <s v="valid"/>
    <n v="0"/>
    <n v="25304.94"/>
    <n v="4532.989999999998"/>
    <n v="0.17913458795002077"/>
    <x v="4"/>
    <n v="2024"/>
    <s v="Warning"/>
  </r>
  <r>
    <x v="442"/>
    <s v="12 Jan 2025"/>
    <s v="2025-01-19"/>
    <s v="19-Jan-2025"/>
    <s v="12-Jan-2025"/>
    <n v="7"/>
    <s v="CUST-6588"/>
    <s v="Aarav Sharma"/>
    <x v="0"/>
    <x v="1"/>
    <s v="Jharkhand"/>
    <s v="Ranchi"/>
    <x v="1"/>
    <x v="1"/>
    <s v="Prime Tables 242"/>
    <x v="2"/>
    <n v="1"/>
    <n v="1842.31"/>
    <n v="0"/>
    <n v="1842.31"/>
    <n v="1019.17"/>
    <n v="823.14"/>
    <s v="Paid"/>
    <x v="0"/>
    <s v="Unique"/>
    <m/>
    <s v="Clean"/>
    <s v="valid"/>
    <n v="0"/>
    <n v="1842.31"/>
    <n v="823.14"/>
    <n v="0.44679777019068451"/>
    <x v="8"/>
    <n v="2025"/>
    <s v="Clean"/>
  </r>
  <r>
    <x v="443"/>
    <s v="04-04-2024"/>
    <s v="07 Apr 2024"/>
    <s v="07-Apr-2024"/>
    <s v="04-Apr-2024"/>
    <n v="3"/>
    <s v="CUST-2207"/>
    <s v="Rohan Mehta"/>
    <x v="3"/>
    <x v="1"/>
    <s v="Odisha"/>
    <s v="Bhubaneswar"/>
    <x v="1"/>
    <x v="3"/>
    <s v="Basic Furnishings 563"/>
    <x v="2"/>
    <n v="1"/>
    <n v="3683.75"/>
    <n v="0.1"/>
    <n v="3315.38"/>
    <n v="2347.6799999999998"/>
    <n v="967.7"/>
    <s v="Paid"/>
    <x v="0"/>
    <s v="Unique"/>
    <m/>
    <s v="Clean"/>
    <s v="valid"/>
    <n v="0.1"/>
    <n v="3315.375"/>
    <n v="967.69500000000016"/>
    <n v="0.29188100893564084"/>
    <x v="11"/>
    <n v="2024"/>
    <s v="Clean"/>
  </r>
  <r>
    <x v="444"/>
    <s v="12 Aug 2025"/>
    <s v="2025-08-16"/>
    <s v="16-Aug-2025"/>
    <s v="12-Aug-2025"/>
    <n v="4"/>
    <s v="CUST-4475"/>
    <s v="Ananya Rao"/>
    <x v="0"/>
    <x v="1"/>
    <s v="Assam"/>
    <s v="Guwahati"/>
    <x v="2"/>
    <x v="5"/>
    <s v="Prime Accessories 482"/>
    <x v="1"/>
    <n v="9"/>
    <n v="2379.2399999999998"/>
    <n v="0.05"/>
    <n v="20342.5"/>
    <n v="12407.51"/>
    <n v="7934.99"/>
    <s v="Paid"/>
    <x v="0"/>
    <s v="Unique"/>
    <m/>
    <s v="Clean"/>
    <s v="valid"/>
    <n v="0.05"/>
    <n v="20342.501999999997"/>
    <n v="7934.9919999999966"/>
    <n v="0.39006961877157481"/>
    <x v="1"/>
    <n v="2025"/>
    <s v="Clean"/>
  </r>
  <r>
    <x v="445"/>
    <s v="05/09/2024"/>
    <s v="05-05-2024"/>
    <s v="05-May-2024"/>
    <s v="05-Sep-2024"/>
    <n v="-123"/>
    <s v="CUST-1351"/>
    <s v="Arjun Bose"/>
    <x v="0"/>
    <x v="1"/>
    <s v="Assam"/>
    <s v="Guwahati"/>
    <x v="1"/>
    <x v="10"/>
    <s v="Eco Bookcases 215"/>
    <x v="1"/>
    <n v="2"/>
    <n v="2111.23"/>
    <n v="0.2"/>
    <n v="3377.97"/>
    <n v="2496.29"/>
    <n v="881.68"/>
    <s v="Paid"/>
    <x v="0"/>
    <s v="Unique"/>
    <m/>
    <s v="Clean"/>
    <s v="Invalid"/>
    <n v="0.2"/>
    <n v="3377.9680000000003"/>
    <n v="881.67800000000034"/>
    <n v="0.26100839321154029"/>
    <x v="6"/>
    <n v="2024"/>
    <s v="Clean"/>
  </r>
  <r>
    <x v="446"/>
    <s v="18-09-2025"/>
    <s v="19-09-2025"/>
    <s v="19-Sep-2025"/>
    <s v="18-Sep-2025"/>
    <n v="1"/>
    <s v="CUST-9295"/>
    <s v="Sneha Kapoor"/>
    <x v="3"/>
    <x v="2"/>
    <s v="Andhra Pradesh"/>
    <s v="Vijayawada"/>
    <x v="0"/>
    <x v="8"/>
    <s v="Eco Storage 793"/>
    <x v="1"/>
    <n v="8"/>
    <n v="4242.51"/>
    <n v="0"/>
    <n v="33940.080000000002"/>
    <n v="23754.19"/>
    <n v="10185.89"/>
    <s v="Paid"/>
    <x v="0"/>
    <s v="Unique"/>
    <m/>
    <s v="Clean"/>
    <s v="valid"/>
    <n v="0"/>
    <n v="33940.080000000002"/>
    <n v="10185.890000000003"/>
    <n v="0.30011390662603044"/>
    <x v="6"/>
    <n v="2025"/>
    <s v="Clean"/>
  </r>
  <r>
    <x v="447"/>
    <s v="10-08-2025"/>
    <s v="10 Aug 2025"/>
    <s v="10-Aug-2025"/>
    <s v="10-Aug-2025"/>
    <n v="0"/>
    <s v="CUST-3614"/>
    <s v="Rohan Mehta"/>
    <x v="3"/>
    <x v="2"/>
    <s v="Telangana"/>
    <s v="Hyderabad"/>
    <x v="1"/>
    <x v="10"/>
    <s v="Basic Bookcases 182"/>
    <x v="3"/>
    <n v="6"/>
    <n v="4288.7"/>
    <n v="0.15"/>
    <n v="21872.37"/>
    <n v="13829.5"/>
    <n v="8042.87"/>
    <s v="Pending"/>
    <x v="2"/>
    <s v="Unique"/>
    <m/>
    <s v="Clean"/>
    <s v="valid"/>
    <n v="0.15"/>
    <n v="21872.369999999995"/>
    <n v="8042.8699999999953"/>
    <n v="0.36771826738483288"/>
    <x v="1"/>
    <n v="2025"/>
    <s v="Clean"/>
  </r>
  <r>
    <x v="448"/>
    <s v="01/15/2024"/>
    <s v="18 Jan 2024"/>
    <s v="18-Jan-2024"/>
    <s v="15-Jan-2024"/>
    <n v="3"/>
    <s v="CUST-1932"/>
    <s v="Mira Das"/>
    <x v="1"/>
    <x v="2"/>
    <s v="Andhra Pradesh"/>
    <s v="Vijayawada"/>
    <x v="1"/>
    <x v="4"/>
    <s v="Prime Chairs 631"/>
    <x v="2"/>
    <n v="2"/>
    <n v="201.21"/>
    <n v="0.15"/>
    <n v="342.06"/>
    <n v="244.57"/>
    <n v="97.49"/>
    <s v="Paid"/>
    <x v="0"/>
    <s v="Unique"/>
    <m/>
    <s v="Clean"/>
    <s v="valid"/>
    <n v="0.15"/>
    <n v="342.05700000000002"/>
    <n v="97.487000000000023"/>
    <n v="0.28500220723446684"/>
    <x v="8"/>
    <n v="2024"/>
    <s v="Clean"/>
  </r>
  <r>
    <x v="449"/>
    <s v="06-06-2024"/>
    <s v="13 Jun 2024"/>
    <s v="13-Jun-2024"/>
    <s v="06-Jun-2024"/>
    <n v="7"/>
    <s v="CUST-5094"/>
    <s v="Aditi Sen"/>
    <x v="2"/>
    <x v="1"/>
    <s v="Assam"/>
    <s v="Guwahati"/>
    <x v="2"/>
    <x v="12"/>
    <s v="Basic Machines 808"/>
    <x v="0"/>
    <n v="6"/>
    <n v="3270.36"/>
    <n v="0"/>
    <n v="19622.16"/>
    <n v="14271.27"/>
    <n v="5350.89"/>
    <s v="Paid"/>
    <x v="0"/>
    <s v="Unique"/>
    <m/>
    <s v="Clean"/>
    <s v="valid"/>
    <n v="0"/>
    <n v="19622.16"/>
    <n v="5350.8899999999994"/>
    <n v="0.27269627808559299"/>
    <x v="10"/>
    <n v="2024"/>
    <s v="Clean"/>
  </r>
  <r>
    <x v="450"/>
    <s v="06/12/2025"/>
    <s v="2025-06-19"/>
    <s v="19-Jun-2025"/>
    <s v="06-Dec-2025"/>
    <n v="-170"/>
    <s v="CUST-8672"/>
    <s v="Ananya Rao"/>
    <x v="2"/>
    <x v="0"/>
    <s v="Delhi"/>
    <s v="New Delhi"/>
    <x v="1"/>
    <x v="4"/>
    <s v="Pro Chairs 302"/>
    <x v="3"/>
    <n v="9"/>
    <n v="2278.5700000000002"/>
    <n v="0.25"/>
    <n v="15380.35"/>
    <n v="9907.3700000000008"/>
    <n v="5472.98"/>
    <s v="Paid"/>
    <x v="0"/>
    <s v="Unique"/>
    <m/>
    <s v="Clean"/>
    <s v="Invalid"/>
    <n v="0.25"/>
    <n v="15380.3475"/>
    <n v="5472.9774999999991"/>
    <n v="0.35584225258889624"/>
    <x v="7"/>
    <n v="2025"/>
    <s v="Clean"/>
  </r>
  <r>
    <x v="451"/>
    <s v="24-03-2024"/>
    <s v="26-03-2024"/>
    <s v="26-Mar-2024"/>
    <s v="24-Mar-2024"/>
    <n v="2"/>
    <s v="CUST-3907"/>
    <s v="Rohan Mehta"/>
    <x v="1"/>
    <x v="0"/>
    <s v="Haryana"/>
    <s v="Gurugram"/>
    <x v="0"/>
    <x v="0"/>
    <s v="Classic Paper 272"/>
    <x v="0"/>
    <n v="8"/>
    <n v="1917.64"/>
    <n v="0.15"/>
    <n v="13039.95"/>
    <n v="11127.82"/>
    <n v="1912.13"/>
    <s v="Paid"/>
    <x v="1"/>
    <s v="Unique"/>
    <m/>
    <s v="Clean"/>
    <s v="valid"/>
    <n v="0.15"/>
    <n v="13039.952000000001"/>
    <n v="1912.1320000000014"/>
    <n v="0.1466364293365498"/>
    <x v="9"/>
    <n v="2024"/>
    <s v="Warning"/>
  </r>
  <r>
    <x v="452"/>
    <s v="10-05-2024"/>
    <s v="16-05-2024"/>
    <s v="16-May-2024"/>
    <s v="10-May-2024"/>
    <n v="6"/>
    <s v="CUST-8796"/>
    <s v="Diya Patel"/>
    <x v="3"/>
    <x v="1"/>
    <s v="Jharkhand"/>
    <s v="Ranchi"/>
    <x v="2"/>
    <x v="5"/>
    <s v="Smart Accessories 149"/>
    <x v="0"/>
    <n v="6"/>
    <n v="2013.33"/>
    <n v="0.2"/>
    <n v="9663.98"/>
    <n v="5628.93"/>
    <n v="4035.05"/>
    <s v="Paid"/>
    <x v="0"/>
    <s v="Unique"/>
    <m/>
    <s v="Clean"/>
    <s v="valid"/>
    <n v="0.2"/>
    <n v="9663.9840000000004"/>
    <n v="4035.0540000000001"/>
    <n v="0.41753525254180884"/>
    <x v="3"/>
    <n v="2024"/>
    <s v="Clean"/>
  </r>
  <r>
    <x v="453"/>
    <s v="05/03/2025"/>
    <s v="2025-05-11"/>
    <s v="11-May-2025"/>
    <s v="05-Mar-2025"/>
    <n v="67"/>
    <s v="CUST-2317"/>
    <s v="Rohan Mehta"/>
    <x v="1"/>
    <x v="3"/>
    <s v="Madhya Pradesh"/>
    <s v="Indore"/>
    <x v="0"/>
    <x v="7"/>
    <s v="Elite Labels 322"/>
    <x v="1"/>
    <n v="5"/>
    <n v="1483.52"/>
    <n v="0"/>
    <n v="7417.6"/>
    <n v="4955.8599999999997"/>
    <n v="2461.7399999999998"/>
    <s v="Paid"/>
    <x v="0"/>
    <s v="Unique"/>
    <m/>
    <s v="Clean"/>
    <s v="valid"/>
    <n v="0"/>
    <n v="7417.6"/>
    <n v="2461.7400000000007"/>
    <n v="0.3318782355478862"/>
    <x v="9"/>
    <n v="2025"/>
    <s v="Clean"/>
  </r>
  <r>
    <x v="454"/>
    <s v="2025-03-23"/>
    <s v="28-03-2025"/>
    <s v="28-Mar-2025"/>
    <s v="23-Mar-2025"/>
    <n v="5"/>
    <s v="CUST-8643"/>
    <s v="Vikram Iyer"/>
    <x v="1"/>
    <x v="0"/>
    <s v="Rajasthan"/>
    <s v="Jaipur"/>
    <x v="1"/>
    <x v="3"/>
    <s v="Max Furnishings 821"/>
    <x v="3"/>
    <n v="9"/>
    <n v="3298"/>
    <n v="0.15"/>
    <n v="25229.7"/>
    <n v="20170.43"/>
    <n v="5059.2700000000004"/>
    <s v="Paid"/>
    <x v="0"/>
    <s v="Unique"/>
    <m/>
    <s v="Clean"/>
    <s v="valid"/>
    <n v="0.15"/>
    <n v="25229.7"/>
    <n v="5059.2700000000004"/>
    <n v="0.20052834556098567"/>
    <x v="9"/>
    <n v="2025"/>
    <s v="Clean"/>
  </r>
  <r>
    <x v="455"/>
    <s v="18 Jul 2024"/>
    <s v="22-07-2024"/>
    <s v="22-Jul-2024"/>
    <s v="18-Jul-2024"/>
    <n v="4"/>
    <s v="CUST-1800"/>
    <s v="Neha Gupta"/>
    <x v="1"/>
    <x v="2"/>
    <s v="Telangana"/>
    <s v="Hyderabad"/>
    <x v="0"/>
    <x v="2"/>
    <s v="Basic Art 556"/>
    <x v="3"/>
    <n v="4"/>
    <n v="808.77"/>
    <n v="0"/>
    <n v="3235.08"/>
    <n v="1848.6"/>
    <n v="1386.48"/>
    <s v="Paid"/>
    <x v="0"/>
    <s v="Unique"/>
    <m/>
    <s v="Clean"/>
    <s v="valid"/>
    <n v="0"/>
    <n v="3235.08"/>
    <n v="1386.48"/>
    <n v="0.42857672762342819"/>
    <x v="0"/>
    <n v="2024"/>
    <s v="Clean"/>
  </r>
  <r>
    <x v="456"/>
    <s v="2024-02-20"/>
    <s v="2024-02-20"/>
    <s v="20-Feb-2024"/>
    <s v="20-Feb-2024"/>
    <n v="0"/>
    <s v="CUST-7688"/>
    <s v="Neha Gupta"/>
    <x v="2"/>
    <x v="0"/>
    <s v="Uttar Pradesh"/>
    <s v="Noida"/>
    <x v="2"/>
    <x v="5"/>
    <s v="Smart Accessories 265"/>
    <x v="1"/>
    <n v="5"/>
    <n v="2604.91"/>
    <n v="0.15"/>
    <n v="11070.87"/>
    <n v="6623.61"/>
    <n v="4447.26"/>
    <s v="Paid"/>
    <x v="2"/>
    <s v="Unique"/>
    <m/>
    <s v="Clean"/>
    <s v="valid"/>
    <n v="0.15"/>
    <n v="11070.867499999998"/>
    <n v="4447.2574999999988"/>
    <n v="0.40170813172499803"/>
    <x v="5"/>
    <n v="2024"/>
    <s v="Clean"/>
  </r>
  <r>
    <x v="457"/>
    <s v="05/04/2024"/>
    <s v="2024-05-04"/>
    <s v="04-May-2024"/>
    <s v="05-Apr-2024"/>
    <n v="29"/>
    <s v="CUST-4957"/>
    <s v="Mira Das"/>
    <x v="1"/>
    <x v="3"/>
    <s v="Goa"/>
    <s v="Panaji"/>
    <x v="1"/>
    <x v="1"/>
    <s v="Elite Tables 418"/>
    <x v="3"/>
    <n v="7"/>
    <n v="2851.51"/>
    <n v="0"/>
    <n v="19960.57"/>
    <n v="16603.599999999999"/>
    <n v="3356.97"/>
    <s v="Paid"/>
    <x v="0"/>
    <s v="Unique"/>
    <m/>
    <s v="Clean"/>
    <s v="valid"/>
    <n v="0"/>
    <n v="19960.57"/>
    <n v="3356.9700000000012"/>
    <n v="0.1681800670020947"/>
    <x v="11"/>
    <n v="2024"/>
    <s v="Clean"/>
  </r>
  <r>
    <x v="458"/>
    <s v="2024-02-10"/>
    <s v="02/11/2024"/>
    <s v="02-Nov-2024"/>
    <s v="10-Feb-2024"/>
    <n v="266"/>
    <s v="CUST-1263"/>
    <s v="Karan Malhotra"/>
    <x v="2"/>
    <x v="0"/>
    <s v="Rajasthan"/>
    <s v="Jaipur"/>
    <x v="2"/>
    <x v="11"/>
    <s v="Pro Phones 907"/>
    <x v="0"/>
    <n v="3"/>
    <n v="3183.72"/>
    <n v="0.1"/>
    <n v="8596.0400000000009"/>
    <n v="5378.16"/>
    <n v="3217.88"/>
    <s v="Paid"/>
    <x v="0"/>
    <s v="Unique"/>
    <m/>
    <s v="Clean"/>
    <s v="valid"/>
    <n v="0.1"/>
    <n v="8596.0439999999999"/>
    <n v="3217.884"/>
    <n v="0.37434475672762962"/>
    <x v="5"/>
    <n v="2024"/>
    <s v="Clean"/>
  </r>
  <r>
    <x v="459"/>
    <s v="03/28/2024"/>
    <s v="04-04-2024"/>
    <s v="04-Apr-2024"/>
    <s v="28-Mar-2024"/>
    <n v="7"/>
    <s v="CUST-4745"/>
    <s v="Ananya Rao"/>
    <x v="3"/>
    <x v="3"/>
    <s v="Goa"/>
    <s v="Panaji"/>
    <x v="0"/>
    <x v="0"/>
    <s v="Basic Paper 233"/>
    <x v="2"/>
    <n v="3"/>
    <n v="1150.92"/>
    <n v="0"/>
    <n v="3452.76"/>
    <n v="2077.96"/>
    <n v="1374.8"/>
    <s v="Paid"/>
    <x v="0"/>
    <s v="Unique"/>
    <m/>
    <s v="Clean"/>
    <s v="valid"/>
    <n v="0"/>
    <n v="3452.76"/>
    <n v="1374.8000000000002"/>
    <n v="0.39817421425178701"/>
    <x v="9"/>
    <n v="2024"/>
    <s v="Clean"/>
  </r>
  <r>
    <x v="460"/>
    <s v="30 Sep 2025"/>
    <s v="06 Oct 2025"/>
    <s v="06-Oct-2025"/>
    <s v="30-Sep-2025"/>
    <n v="6"/>
    <s v="CUST-5551"/>
    <s v="Aarav Sharma"/>
    <x v="2"/>
    <x v="4"/>
    <s v="Rajasthan"/>
    <s v="Jaipur"/>
    <x v="2"/>
    <x v="6"/>
    <s v="Eco Copiers 603"/>
    <x v="0"/>
    <n v="9"/>
    <n v="1359.88"/>
    <n v="0.05"/>
    <n v="11626.97"/>
    <n v="7394.07"/>
    <n v="4232.8999999999996"/>
    <s v="Paid"/>
    <x v="0"/>
    <s v="Unique"/>
    <m/>
    <s v="Clean"/>
    <s v="valid"/>
    <n v="0.05"/>
    <n v="11626.974000000002"/>
    <n v="4232.9040000000023"/>
    <n v="0.36405895463428417"/>
    <x v="6"/>
    <n v="2025"/>
    <s v="Clean"/>
  </r>
  <r>
    <x v="461"/>
    <s v="05/25/2025"/>
    <s v="05/26/2025"/>
    <s v="26-May-2025"/>
    <s v="25-May-2025"/>
    <n v="1"/>
    <s v="CUST-3659"/>
    <s v="Neha Gupta"/>
    <x v="2"/>
    <x v="2"/>
    <s v="Andhra Pradesh"/>
    <s v="Vijayawada"/>
    <x v="0"/>
    <x v="0"/>
    <s v="Max Paper 700"/>
    <x v="3"/>
    <n v="3"/>
    <n v="3378.15"/>
    <n v="0.15"/>
    <n v="8614.2800000000007"/>
    <n v="7052.08"/>
    <n v="1562.2"/>
    <s v="Paid"/>
    <x v="0"/>
    <s v="Unique"/>
    <m/>
    <s v="Clean"/>
    <s v="valid"/>
    <n v="0.15"/>
    <n v="8614.2825000000012"/>
    <n v="1562.2025000000012"/>
    <n v="0.18135027496486225"/>
    <x v="3"/>
    <n v="2025"/>
    <s v="Clean"/>
  </r>
  <r>
    <x v="462"/>
    <s v="09/23/2024"/>
    <s v="25-09-2024"/>
    <s v="25-Sep-2024"/>
    <s v="23-Sep-2024"/>
    <n v="2"/>
    <s v="CUST-6594"/>
    <s v="Aarav Sharma"/>
    <x v="3"/>
    <x v="0"/>
    <s v="Delhi"/>
    <s v="New Delhi"/>
    <x v="0"/>
    <x v="9"/>
    <s v="Pro Binders 404"/>
    <x v="2"/>
    <n v="2"/>
    <n v="1275.1400000000001"/>
    <n v="0.2"/>
    <n v="2040.22"/>
    <n v="1395.71"/>
    <n v="644.51"/>
    <s v="Paid"/>
    <x v="0"/>
    <s v="Unique"/>
    <m/>
    <s v="Clean"/>
    <s v="valid"/>
    <n v="0.2"/>
    <n v="2040.2240000000002"/>
    <n v="644.51400000000012"/>
    <n v="0.31590354784572677"/>
    <x v="6"/>
    <n v="2024"/>
    <s v="Clean"/>
  </r>
  <r>
    <x v="463"/>
    <s v="07-02-2025"/>
    <s v="2025-02-08"/>
    <s v="08-Feb-2025"/>
    <s v="07-Feb-2025"/>
    <n v="1"/>
    <s v="CUST-2626"/>
    <s v="Arjun Bose"/>
    <x v="2"/>
    <x v="3"/>
    <s v="Madhya Pradesh"/>
    <s v="Indore"/>
    <x v="2"/>
    <x v="11"/>
    <s v="Eco Phones 208"/>
    <x v="3"/>
    <n v="4"/>
    <n v="889.5"/>
    <n v="0.2"/>
    <n v="2846.4"/>
    <n v="2132.37"/>
    <n v="714.03"/>
    <s v="Paid"/>
    <x v="0"/>
    <s v="Unique"/>
    <m/>
    <s v="Clean"/>
    <s v="valid"/>
    <n v="0.2"/>
    <n v="2846.4"/>
    <n v="714.0300000000002"/>
    <n v="0.25085370994940986"/>
    <x v="5"/>
    <n v="2025"/>
    <s v="Clean"/>
  </r>
  <r>
    <x v="464"/>
    <s v="11-03-2025"/>
    <s v="03/15/2025"/>
    <s v="15-Mar-2025"/>
    <s v="11-Mar-2025"/>
    <n v="4"/>
    <s v="CUST-7362"/>
    <s v="Arjun Bose"/>
    <x v="2"/>
    <x v="1"/>
    <s v="Bihar"/>
    <s v="Patna"/>
    <x v="0"/>
    <x v="0"/>
    <s v="Elite Paper 106"/>
    <x v="1"/>
    <n v="3"/>
    <n v="3625.08"/>
    <n v="0.05"/>
    <n v="10331.48"/>
    <n v="7131.91"/>
    <n v="3199.57"/>
    <s v="Pending"/>
    <x v="1"/>
    <s v="Unique"/>
    <m/>
    <s v="Clean"/>
    <s v="valid"/>
    <n v="0.05"/>
    <n v="10331.477999999999"/>
    <n v="3199.5679999999993"/>
    <n v="0.30969121746181905"/>
    <x v="9"/>
    <n v="2025"/>
    <s v="Warning"/>
  </r>
  <r>
    <x v="465"/>
    <s v="29-01-2024"/>
    <s v="2024-02-06"/>
    <s v="06-Feb-2024"/>
    <s v="29-Jan-2024"/>
    <n v="8"/>
    <s v="CUST-1748"/>
    <s v="Aarav Sharma"/>
    <x v="1"/>
    <x v="3"/>
    <s v="Madhya Pradesh"/>
    <s v="Indore"/>
    <x v="0"/>
    <x v="7"/>
    <s v="Eco Labels 914"/>
    <x v="3"/>
    <n v="2"/>
    <n v="1258.9000000000001"/>
    <n v="0"/>
    <n v="2517.8000000000002"/>
    <n v="1478.54"/>
    <n v="1039.26"/>
    <s v="Paid"/>
    <x v="0"/>
    <s v="Unique"/>
    <m/>
    <s v="Clean"/>
    <s v="valid"/>
    <n v="0"/>
    <n v="2517.8000000000002"/>
    <n v="1039.2600000000002"/>
    <n v="0.41276511239971408"/>
    <x v="8"/>
    <n v="2024"/>
    <s v="Clean"/>
  </r>
  <r>
    <x v="466"/>
    <s v="04-01-2024"/>
    <s v="01/08/2024"/>
    <s v="01-Aug-2024"/>
    <s v="04-Jan-2024"/>
    <n v="210"/>
    <s v="CUST-2725"/>
    <s v="Mira Das"/>
    <x v="1"/>
    <x v="1"/>
    <s v="Bihar"/>
    <s v="Patna"/>
    <x v="2"/>
    <x v="5"/>
    <s v="Max Accessories 486"/>
    <x v="1"/>
    <n v="9"/>
    <n v="1591.96"/>
    <n v="0.2"/>
    <n v="11462.11"/>
    <n v="7105.48"/>
    <n v="4356.63"/>
    <s v="Paid"/>
    <x v="0"/>
    <s v="Unique"/>
    <m/>
    <s v="Clean"/>
    <s v="valid"/>
    <n v="0.2"/>
    <n v="11462.112000000001"/>
    <n v="4356.6320000000014"/>
    <n v="0.38008981241851425"/>
    <x v="8"/>
    <n v="2024"/>
    <s v="Clean"/>
  </r>
  <r>
    <x v="467"/>
    <s v="20-08-2024"/>
    <s v="21 Aug 2024"/>
    <s v="21-Aug-2024"/>
    <s v="20-Aug-2024"/>
    <n v="1"/>
    <s v="CUST-9470"/>
    <s v="Aditi Sen"/>
    <x v="2"/>
    <x v="1"/>
    <s v="Odisha"/>
    <s v="Bhubaneswar"/>
    <x v="2"/>
    <x v="6"/>
    <s v="Max Copiers 867"/>
    <x v="2"/>
    <n v="5"/>
    <n v="4288.33"/>
    <n v="0.1"/>
    <n v="19297.490000000002"/>
    <n v="15451.66"/>
    <n v="3845.83"/>
    <s v="Refunded"/>
    <x v="1"/>
    <s v="Unique"/>
    <m/>
    <s v="Clean"/>
    <s v="valid"/>
    <n v="0.1"/>
    <n v="19297.485000000001"/>
    <n v="3845.8250000000007"/>
    <n v="0.1992915138941681"/>
    <x v="1"/>
    <n v="2024"/>
    <s v="Warning"/>
  </r>
  <r>
    <x v="468"/>
    <s v="09 Jan 2025"/>
    <s v="07 Jan 2025"/>
    <s v="07-Jan-2025"/>
    <s v="09-Jan-2025"/>
    <n v="-2"/>
    <s v="CUST-4176"/>
    <s v="Aarav Sharma"/>
    <x v="3"/>
    <x v="1"/>
    <s v="West Bengal"/>
    <s v="Kolkata"/>
    <x v="0"/>
    <x v="9"/>
    <s v="Pro Binders 555"/>
    <x v="0"/>
    <n v="3"/>
    <n v="2188.33"/>
    <n v="0"/>
    <n v="6564.99"/>
    <n v="5407.24"/>
    <n v="1157.75"/>
    <s v="Paid"/>
    <x v="0"/>
    <s v="Unique"/>
    <m/>
    <s v="Clean"/>
    <s v="Invalid"/>
    <n v="0"/>
    <n v="6564.99"/>
    <n v="1157.75"/>
    <n v="0.17635213458055535"/>
    <x v="8"/>
    <n v="2025"/>
    <s v="Clean"/>
  </r>
  <r>
    <x v="469"/>
    <s v="2024-01-19"/>
    <s v="01/25/2024"/>
    <s v="25-Jan-2024"/>
    <s v="19-Jan-2024"/>
    <n v="6"/>
    <s v="CUST-3448"/>
    <s v="Aditi Sen"/>
    <x v="2"/>
    <x v="3"/>
    <s v="Goa"/>
    <s v="Panaji"/>
    <x v="2"/>
    <x v="6"/>
    <s v="Pro Copiers 971"/>
    <x v="2"/>
    <n v="3"/>
    <n v="1041.6600000000001"/>
    <n v="0.1"/>
    <n v="2812.48"/>
    <n v="2282.12"/>
    <n v="530.36"/>
    <s v="Paid"/>
    <x v="0"/>
    <s v="Unique"/>
    <m/>
    <s v="Clean"/>
    <s v="valid"/>
    <n v="0.1"/>
    <n v="2812.4820000000004"/>
    <n v="530.36200000000053"/>
    <n v="0.18857436243147527"/>
    <x v="8"/>
    <n v="2024"/>
    <s v="Clean"/>
  </r>
  <r>
    <x v="470"/>
    <s v="28-07-2024"/>
    <s v="07/31/2024"/>
    <s v="31-Jul-2024"/>
    <s v="28-Jul-2024"/>
    <n v="3"/>
    <s v="CUST-4970"/>
    <s v="Aditi Sen"/>
    <x v="0"/>
    <x v="0"/>
    <s v="Rajasthan"/>
    <s v="Jaipur"/>
    <x v="1"/>
    <x v="1"/>
    <s v="Pro Tables 833"/>
    <x v="1"/>
    <n v="2"/>
    <n v="4424.78"/>
    <n v="0.2"/>
    <n v="7079.65"/>
    <n v="4465.91"/>
    <n v="2613.7399999999998"/>
    <s v="Paid"/>
    <x v="0"/>
    <s v="Unique"/>
    <m/>
    <s v="Clean"/>
    <s v="valid"/>
    <n v="0.2"/>
    <n v="7079.6480000000001"/>
    <n v="2613.7380000000003"/>
    <n v="0.36919038912669105"/>
    <x v="0"/>
    <n v="2024"/>
    <s v="Clean"/>
  </r>
  <r>
    <x v="471"/>
    <s v="11-02-2024"/>
    <s v="02/15/2024"/>
    <s v="15-Feb-2024"/>
    <s v="11-Feb-2024"/>
    <n v="4"/>
    <s v="CUST-6147"/>
    <s v="Kabir Singh"/>
    <x v="0"/>
    <x v="2"/>
    <s v="Telangana"/>
    <s v="Hyderabad"/>
    <x v="0"/>
    <x v="9"/>
    <s v="Prime Binders 497"/>
    <x v="3"/>
    <n v="3"/>
    <n v="3019.14"/>
    <n v="0.25"/>
    <n v="6793.07"/>
    <n v="4985.22"/>
    <n v="1807.85"/>
    <s v="Paid"/>
    <x v="0"/>
    <s v="Unique"/>
    <m/>
    <s v="Clean"/>
    <s v="valid"/>
    <n v="0.25"/>
    <n v="6793.0650000000005"/>
    <n v="1807.8450000000003"/>
    <n v="0.26613097327936652"/>
    <x v="5"/>
    <n v="2024"/>
    <s v="Clean"/>
  </r>
  <r>
    <x v="472"/>
    <s v="02-03-2024"/>
    <s v="03/07/2024"/>
    <s v="03-Jul-2024"/>
    <s v="02-Mar-2024"/>
    <n v="123"/>
    <s v="CUST-7208"/>
    <s v="Rohan Mehta"/>
    <x v="2"/>
    <x v="1"/>
    <s v="Odisha"/>
    <s v="Bhubaneswar"/>
    <x v="0"/>
    <x v="8"/>
    <s v="Pro Storage 756"/>
    <x v="3"/>
    <n v="7"/>
    <n v="263.45999999999998"/>
    <n v="0"/>
    <n v="1844.22"/>
    <n v="1094.21"/>
    <n v="750.01"/>
    <s v="Paid"/>
    <x v="0"/>
    <s v="Unique"/>
    <m/>
    <s v="Clean"/>
    <s v="valid"/>
    <n v="0"/>
    <n v="1844.2199999999998"/>
    <n v="750.00999999999976"/>
    <n v="0.40668141544934977"/>
    <x v="9"/>
    <n v="2024"/>
    <s v="Clean"/>
  </r>
  <r>
    <x v="473"/>
    <s v="13-11-2024"/>
    <s v="13 Nov 2024"/>
    <s v="13-Nov-2024"/>
    <s v="13-Nov-2024"/>
    <n v="0"/>
    <s v="CUST-2794"/>
    <s v="Priya Menon"/>
    <x v="0"/>
    <x v="3"/>
    <s v="Goa"/>
    <s v="Panaji"/>
    <x v="2"/>
    <x v="6"/>
    <s v="Max Copiers 829"/>
    <x v="3"/>
    <n v="6"/>
    <n v="191.45"/>
    <n v="0.2"/>
    <n v="918.96"/>
    <n v="554.17999999999995"/>
    <n v="364.78"/>
    <s v="Paid"/>
    <x v="0"/>
    <s v="Unique"/>
    <m/>
    <s v="Clean"/>
    <s v="valid"/>
    <n v="0.2"/>
    <n v="918.95999999999992"/>
    <n v="364.78"/>
    <n v="0.39694872464525116"/>
    <x v="2"/>
    <n v="2024"/>
    <s v="Clean"/>
  </r>
  <r>
    <x v="474"/>
    <s v="03-06-2024"/>
    <s v="2024-06-10"/>
    <s v="10-Jun-2024"/>
    <s v="03-Jun-2024"/>
    <n v="7"/>
    <s v="CUST-6249"/>
    <s v="Diya Patel"/>
    <x v="2"/>
    <x v="0"/>
    <s v="Punjab"/>
    <s v="Ludhiana"/>
    <x v="1"/>
    <x v="3"/>
    <s v="Prime Furnishings 827"/>
    <x v="3"/>
    <n v="3"/>
    <n v="1633.57"/>
    <n v="0"/>
    <n v="4900.71"/>
    <n v="2713.9"/>
    <n v="2186.81"/>
    <s v="Paid"/>
    <x v="0"/>
    <s v="Unique"/>
    <m/>
    <s v="Clean"/>
    <s v="valid"/>
    <n v="0"/>
    <n v="4900.71"/>
    <n v="2186.81"/>
    <n v="0.44622309828575857"/>
    <x v="10"/>
    <n v="2024"/>
    <s v="Clean"/>
  </r>
  <r>
    <x v="475"/>
    <s v="03/01/2025"/>
    <s v="08 Mar 2025"/>
    <s v="08-Mar-2025"/>
    <s v="03-Jan-2025"/>
    <n v="64"/>
    <s v="CUST-5712"/>
    <s v="Vikram Iyer"/>
    <x v="0"/>
    <x v="1"/>
    <s v="West Bengal"/>
    <s v="Kolkata"/>
    <x v="1"/>
    <x v="4"/>
    <s v="Eco Chairs 365"/>
    <x v="1"/>
    <n v="8"/>
    <n v="3378.82"/>
    <n v="0.25"/>
    <n v="20272.919999999998"/>
    <n v="15873.38"/>
    <n v="4399.54"/>
    <s v="Pending"/>
    <x v="2"/>
    <s v="Unique"/>
    <m/>
    <s v="Clean"/>
    <s v="valid"/>
    <n v="0.25"/>
    <n v="20272.920000000002"/>
    <n v="4399.5400000000027"/>
    <n v="0.21701560505344086"/>
    <x v="8"/>
    <n v="2025"/>
    <s v="Clean"/>
  </r>
  <r>
    <x v="476"/>
    <s v="05/07/2024"/>
    <s v="05/14/2024"/>
    <s v="14-May-2024"/>
    <s v="05-Jul-2024"/>
    <n v="-52"/>
    <s v="CUST-3004"/>
    <s v="Sneha Kapoor"/>
    <x v="1"/>
    <x v="0"/>
    <s v="Rajasthan"/>
    <s v="Jaipur"/>
    <x v="0"/>
    <x v="8"/>
    <s v="Classic Storage 545"/>
    <x v="2"/>
    <n v="3"/>
    <n v="383.58"/>
    <n v="0.1"/>
    <n v="1035.67"/>
    <n v="595.41999999999996"/>
    <n v="440.25"/>
    <s v="Paid"/>
    <x v="0"/>
    <s v="Unique"/>
    <m/>
    <s v="Clean"/>
    <s v="Invalid"/>
    <n v="0.1"/>
    <n v="1035.6659999999999"/>
    <n v="440.24599999999998"/>
    <n v="0.42508492120046426"/>
    <x v="0"/>
    <n v="2024"/>
    <s v="Clean"/>
  </r>
  <r>
    <x v="477"/>
    <s v="08/23/2025"/>
    <s v="28-08-2025"/>
    <s v="28-Aug-2025"/>
    <s v="23-Aug-2025"/>
    <n v="5"/>
    <s v="CUST-6920"/>
    <s v="Vikram Iyer"/>
    <x v="2"/>
    <x v="3"/>
    <s v="Gujarat"/>
    <s v="Ahmedabad"/>
    <x v="1"/>
    <x v="4"/>
    <s v="Pro Chairs 186"/>
    <x v="3"/>
    <n v="6"/>
    <n v="2193.23"/>
    <n v="0.1"/>
    <n v="11843.44"/>
    <n v="9356.8799999999992"/>
    <n v="2486.56"/>
    <s v="Paid"/>
    <x v="1"/>
    <s v="Unique"/>
    <m/>
    <s v="Clean"/>
    <s v="valid"/>
    <n v="0.1"/>
    <n v="11843.442000000001"/>
    <n v="2486.5620000000017"/>
    <n v="0.20995264721184953"/>
    <x v="1"/>
    <n v="2025"/>
    <s v="Warning"/>
  </r>
  <r>
    <x v="478"/>
    <s v="06/09/2024"/>
    <s v="2024-06-13"/>
    <s v="13-Jun-2024"/>
    <s v="06-Sep-2024"/>
    <n v="-85"/>
    <s v="CUST-4838"/>
    <s v="Mira Das"/>
    <x v="3"/>
    <x v="4"/>
    <s v="Uttar Pradesh"/>
    <s v="Noida"/>
    <x v="2"/>
    <x v="12"/>
    <s v="Classic Machines 561"/>
    <x v="1"/>
    <n v="7"/>
    <n v="4079.71"/>
    <n v="0.1"/>
    <n v="25702.17"/>
    <n v="14571.48"/>
    <n v="11130.69"/>
    <s v="Refunded"/>
    <x v="2"/>
    <s v="Unique"/>
    <m/>
    <s v="Clean"/>
    <s v="Invalid"/>
    <n v="0.1"/>
    <n v="25702.173000000003"/>
    <n v="11130.693000000003"/>
    <n v="0.43306427826160854"/>
    <x v="6"/>
    <n v="2024"/>
    <s v="Clean"/>
  </r>
  <r>
    <x v="479"/>
    <s v="23 Feb 2024"/>
    <s v="2024-02-20"/>
    <s v="20-Feb-2024"/>
    <s v="23-Feb-2024"/>
    <n v="-3"/>
    <s v="CUST-7520"/>
    <s v="Arjun Bose"/>
    <x v="2"/>
    <x v="1"/>
    <s v="Odisha"/>
    <s v="Bhubaneswar"/>
    <x v="1"/>
    <x v="4"/>
    <s v="Max Chairs 594"/>
    <x v="0"/>
    <n v="1"/>
    <n v="2202.5500000000002"/>
    <n v="0"/>
    <n v="1651.91"/>
    <n v="1034.57"/>
    <n v="617.34"/>
    <s v="Paid"/>
    <x v="0"/>
    <s v="Unique"/>
    <m/>
    <s v="Clean"/>
    <s v="Invalid"/>
    <n v="0"/>
    <n v="2202.5500000000002"/>
    <n v="1167.9800000000002"/>
    <n v="0.53028535107035035"/>
    <x v="5"/>
    <n v="2024"/>
    <s v="Clean"/>
  </r>
  <r>
    <x v="480"/>
    <s v="2025-01-05"/>
    <s v="09 Jan 2025"/>
    <s v="09-Jan-2025"/>
    <s v="05-Jan-2025"/>
    <n v="4"/>
    <s v="CUST-9947"/>
    <s v="Neha Gupta"/>
    <x v="1"/>
    <x v="2"/>
    <s v="Tamil Nadu"/>
    <s v="Chennai"/>
    <x v="0"/>
    <x v="8"/>
    <s v="Eco Storage 923"/>
    <x v="4"/>
    <n v="5"/>
    <n v="905.16"/>
    <n v="0"/>
    <n v="4525.8"/>
    <n v="2714.51"/>
    <n v="1811.29"/>
    <s v="Paid"/>
    <x v="0"/>
    <s v="Unique"/>
    <m/>
    <s v="Clean"/>
    <s v="valid"/>
    <n v="0"/>
    <n v="4525.8"/>
    <n v="1811.29"/>
    <n v="0.40021432674886204"/>
    <x v="8"/>
    <n v="2025"/>
    <s v="Clean"/>
  </r>
  <r>
    <x v="481"/>
    <s v="2025-06-05"/>
    <s v="06/13/2025"/>
    <s v="13-Jun-2025"/>
    <s v="05-Jun-2025"/>
    <n v="8"/>
    <s v="CUST-4403"/>
    <s v="Isha Nair"/>
    <x v="0"/>
    <x v="0"/>
    <s v="Uttar Pradesh"/>
    <s v="Noida"/>
    <x v="2"/>
    <x v="12"/>
    <s v="Classic Machines 287"/>
    <x v="1"/>
    <n v="4"/>
    <n v="2793.88"/>
    <s v="85%"/>
    <n v="10616.74"/>
    <n v="6353.59"/>
    <n v="4263.1499999999996"/>
    <s v="Paid"/>
    <x v="0"/>
    <s v="Unique"/>
    <m/>
    <s v="Invalid"/>
    <s v="valid"/>
    <n v="8.5000000000000006E-3"/>
    <n v="11080.528080000002"/>
    <n v="4726.9380800000017"/>
    <n v="0.42659862832097084"/>
    <x v="10"/>
    <n v="2025"/>
    <s v="Clean"/>
  </r>
  <r>
    <x v="482"/>
    <s v="07/22/2024"/>
    <s v="07/22/2024"/>
    <s v="22-Jul-2024"/>
    <s v="22-Jul-2024"/>
    <n v="0"/>
    <s v="CUST-3583"/>
    <s v="Priya Menon"/>
    <x v="0"/>
    <x v="2"/>
    <s v="Karnataka"/>
    <s v="Bengaluru"/>
    <x v="2"/>
    <x v="5"/>
    <s v="Basic Accessories 518"/>
    <x v="0"/>
    <n v="3"/>
    <n v="1286.22"/>
    <n v="0.25"/>
    <n v="2893.99"/>
    <n v="1856.03"/>
    <n v="1037.96"/>
    <s v="Paid"/>
    <x v="0"/>
    <s v="Unique"/>
    <m/>
    <s v="Clean"/>
    <s v="valid"/>
    <n v="0.25"/>
    <n v="2893.9949999999999"/>
    <n v="1037.9649999999999"/>
    <n v="0.35866164247001114"/>
    <x v="0"/>
    <n v="2024"/>
    <s v="Clean"/>
  </r>
  <r>
    <x v="483"/>
    <s v="25 Dec 2024"/>
    <s v="25-12-2024"/>
    <s v="25-Dec-2024"/>
    <s v="25-Dec-2024"/>
    <n v="0"/>
    <s v="CUST-9432"/>
    <s v="Mira Das"/>
    <x v="2"/>
    <x v="1"/>
    <s v="Bihar"/>
    <s v="Patna"/>
    <x v="2"/>
    <x v="6"/>
    <s v="Pro Copiers 984"/>
    <x v="3"/>
    <n v="1"/>
    <n v="829.66"/>
    <n v="0.15"/>
    <n v="705.21"/>
    <n v="438.32"/>
    <n v="266.89"/>
    <s v="Paid"/>
    <x v="0"/>
    <s v="Unique"/>
    <m/>
    <s v="Clean"/>
    <s v="valid"/>
    <n v="0.15"/>
    <n v="705.2109999999999"/>
    <n v="266.89099999999991"/>
    <n v="0.37845552607659261"/>
    <x v="7"/>
    <n v="2024"/>
    <s v="Clean"/>
  </r>
  <r>
    <x v="484"/>
    <s v="2024-12-28"/>
    <s v="12/31/2024"/>
    <s v="31-Dec-2024"/>
    <s v="28-Dec-2024"/>
    <n v="3"/>
    <s v="CUST-1801"/>
    <s v="Mira Das"/>
    <x v="1"/>
    <x v="2"/>
    <s v="Andhra Pradesh"/>
    <s v="Vijayawada"/>
    <x v="1"/>
    <x v="3"/>
    <s v="Max Furnishings 297"/>
    <x v="2"/>
    <n v="6"/>
    <n v="3641.22"/>
    <n v="0.25"/>
    <n v="16385.490000000002"/>
    <n v="13679.24"/>
    <n v="2706.25"/>
    <s v="Paid"/>
    <x v="0"/>
    <s v="Unique"/>
    <m/>
    <s v="Clean"/>
    <s v="valid"/>
    <n v="0.25"/>
    <n v="16385.489999999998"/>
    <n v="2706.2499999999982"/>
    <n v="0.16516137143289572"/>
    <x v="7"/>
    <n v="2024"/>
    <s v="Clean"/>
  </r>
  <r>
    <x v="485"/>
    <s v="2025-01-22"/>
    <s v="23 Jan 2025"/>
    <s v="23-Jan-2025"/>
    <s v="22-Jan-2025"/>
    <n v="1"/>
    <s v="CUST-1594"/>
    <s v="Rahul Verma"/>
    <x v="2"/>
    <x v="3"/>
    <s v="Goa"/>
    <s v="Panaji"/>
    <x v="1"/>
    <x v="10"/>
    <s v="Elite Bookcases 802"/>
    <x v="3"/>
    <n v="4"/>
    <n v="2555.19"/>
    <n v="0.25"/>
    <n v="7665.57"/>
    <n v="5595.6"/>
    <n v="2069.9699999999998"/>
    <s v="Paid"/>
    <x v="0"/>
    <s v="Unique"/>
    <m/>
    <s v="Clean"/>
    <s v="valid"/>
    <n v="0.25"/>
    <n v="7665.57"/>
    <n v="2069.9699999999993"/>
    <n v="0.27003471366121495"/>
    <x v="8"/>
    <n v="2025"/>
    <s v="Clean"/>
  </r>
  <r>
    <x v="486"/>
    <s v="22-06-2025"/>
    <s v="06/26/2025"/>
    <s v="26-Jun-2025"/>
    <s v="22-Jun-2025"/>
    <n v="4"/>
    <s v="CUST-8132"/>
    <s v="Rahul Verma"/>
    <x v="2"/>
    <x v="3"/>
    <s v="Goa"/>
    <s v="Panaji"/>
    <x v="1"/>
    <x v="1"/>
    <s v="Pro Tables 257"/>
    <x v="3"/>
    <n v="3"/>
    <n v="1946.18"/>
    <n v="0.2"/>
    <n v="4670.83"/>
    <n v="3166.49"/>
    <n v="1504.34"/>
    <s v="Paid"/>
    <x v="0"/>
    <s v="Unique"/>
    <m/>
    <s v="Clean"/>
    <s v="valid"/>
    <n v="0.2"/>
    <n v="4670.8320000000003"/>
    <n v="1504.3420000000006"/>
    <n v="0.3220715281560117"/>
    <x v="10"/>
    <n v="2025"/>
    <s v="Clean"/>
  </r>
  <r>
    <x v="487"/>
    <s v="10 Jun 2025"/>
    <s v="06/17/2025"/>
    <s v="17-Jun-2025"/>
    <s v="10-Jun-2025"/>
    <n v="7"/>
    <s v="CUST-7685"/>
    <s v="Rahul Verma"/>
    <x v="2"/>
    <x v="2"/>
    <s v="Telangana"/>
    <s v="Hyderabad"/>
    <x v="1"/>
    <x v="3"/>
    <s v="Prime Furnishings 299"/>
    <x v="3"/>
    <n v="5"/>
    <n v="1231.0999999999999"/>
    <n v="0"/>
    <n v="6155.5"/>
    <n v="4282.09"/>
    <n v="1873.41"/>
    <s v="Refunded"/>
    <x v="2"/>
    <s v="Unique"/>
    <m/>
    <s v="Clean"/>
    <s v="valid"/>
    <n v="0"/>
    <n v="6155.5"/>
    <n v="1873.4099999999999"/>
    <n v="0.3043473316546178"/>
    <x v="10"/>
    <n v="2025"/>
    <s v="Clean"/>
  </r>
  <r>
    <x v="488"/>
    <s v="14 Oct 2024"/>
    <s v="2024-10-20"/>
    <s v="20-Oct-2024"/>
    <s v="14-Oct-2024"/>
    <n v="6"/>
    <s v="CUST-2183"/>
    <s v="Aditi Sen"/>
    <x v="1"/>
    <x v="0"/>
    <s v="Rajasthan"/>
    <s v="Jaipur"/>
    <x v="1"/>
    <x v="1"/>
    <s v="Eco Tables 487"/>
    <x v="1"/>
    <n v="7"/>
    <n v="1547.6"/>
    <n v="0.2"/>
    <n v="8666.56"/>
    <n v="5967.44"/>
    <n v="2699.12"/>
    <s v="Paid"/>
    <x v="0"/>
    <s v="Unique"/>
    <m/>
    <s v="Clean"/>
    <s v="valid"/>
    <n v="0.2"/>
    <n v="8666.56"/>
    <n v="2699.12"/>
    <n v="0.31144075619392242"/>
    <x v="4"/>
    <n v="2024"/>
    <s v="Clean"/>
  </r>
  <r>
    <x v="489"/>
    <s v="2024-02-07"/>
    <s v="2024-02-12"/>
    <s v="12-Feb-2024"/>
    <s v="07-Feb-2024"/>
    <n v="5"/>
    <s v="CUST-1636"/>
    <s v="Arjun Bose"/>
    <x v="3"/>
    <x v="1"/>
    <s v="West Bengal"/>
    <s v="Kolkata"/>
    <x v="2"/>
    <x v="5"/>
    <s v="Prime Accessories 960"/>
    <x v="0"/>
    <n v="1"/>
    <n v="452.19"/>
    <n v="0.2"/>
    <n v="361.75"/>
    <n v="262.52999999999997"/>
    <n v="99.22"/>
    <s v="Paid"/>
    <x v="0"/>
    <s v="Unique"/>
    <m/>
    <s v="Clean"/>
    <s v="valid"/>
    <n v="0.2"/>
    <n v="361.75200000000001"/>
    <n v="99.222000000000037"/>
    <n v="0.27428182843495003"/>
    <x v="5"/>
    <n v="2024"/>
    <s v="Clean"/>
  </r>
  <r>
    <x v="490"/>
    <s v="2024-09-16"/>
    <s v="09/19/2024"/>
    <s v="19-Sep-2024"/>
    <s v="16-Sep-2024"/>
    <n v="3"/>
    <s v="CUST-1350"/>
    <s v="Aditi Sen"/>
    <x v="0"/>
    <x v="3"/>
    <s v="Rajasthan"/>
    <s v="Udaipur"/>
    <x v="0"/>
    <x v="9"/>
    <s v="Smart Binders 191"/>
    <x v="2"/>
    <n v="7"/>
    <n v="406.42"/>
    <n v="0.15"/>
    <n v="2418.1999999999998"/>
    <n v="1613.82"/>
    <n v="804.38"/>
    <s v="Paid"/>
    <x v="0"/>
    <s v="Unique"/>
    <m/>
    <s v="Clean"/>
    <s v="valid"/>
    <n v="0.15"/>
    <n v="2418.1990000000001"/>
    <n v="804.37900000000013"/>
    <n v="0.33263556886757462"/>
    <x v="6"/>
    <n v="2024"/>
    <s v="Clean"/>
  </r>
  <r>
    <x v="491"/>
    <s v="2025-04-29"/>
    <s v="30-04-2025"/>
    <s v="30-Apr-2025"/>
    <s v="29-Apr-2025"/>
    <n v="1"/>
    <s v="CUST-4101"/>
    <s v="Mira Das"/>
    <x v="2"/>
    <x v="2"/>
    <s v="Kerala"/>
    <s v="Kochi"/>
    <x v="2"/>
    <x v="5"/>
    <s v="Prime Accessories 118"/>
    <x v="3"/>
    <n v="4"/>
    <n v="606.58000000000004"/>
    <n v="0.2"/>
    <n v="1941.06"/>
    <n v="1207.42"/>
    <n v="733.64"/>
    <s v="Paid"/>
    <x v="0"/>
    <s v="Unique"/>
    <m/>
    <s v="Clean"/>
    <s v="valid"/>
    <n v="0.2"/>
    <n v="1941.0560000000003"/>
    <n v="733.63600000000019"/>
    <n v="0.37795715321969076"/>
    <x v="11"/>
    <n v="2025"/>
    <s v="Clean"/>
  </r>
  <r>
    <x v="492"/>
    <s v="28-06-2025"/>
    <s v="07/02/2025"/>
    <s v="07-Feb-2025"/>
    <s v="28-Jun-2025"/>
    <n v="-141"/>
    <s v="CUST-4679"/>
    <s v="Ananya Rao"/>
    <x v="2"/>
    <x v="2"/>
    <s v="Andhra Pradesh"/>
    <s v="Vijayawada"/>
    <x v="0"/>
    <x v="8"/>
    <s v="Elite Storage 331"/>
    <x v="0"/>
    <n v="2"/>
    <n v="2725.44"/>
    <n v="0.25"/>
    <n v="4088.16"/>
    <n v="3205.68"/>
    <n v="882.48"/>
    <s v="Paid"/>
    <x v="0"/>
    <s v="Unique"/>
    <m/>
    <s v="Clean"/>
    <s v="Invalid"/>
    <n v="0.25"/>
    <n v="4088.16"/>
    <n v="882.48"/>
    <n v="0.21586239286133616"/>
    <x v="10"/>
    <n v="2025"/>
    <s v="Clean"/>
  </r>
  <r>
    <x v="493"/>
    <s v="13 Feb 2025"/>
    <s v="2025-02-13"/>
    <s v="13-Feb-2025"/>
    <s v="13-Feb-2025"/>
    <n v="0"/>
    <s v="CUST-3765"/>
    <s v="Kabir Singh"/>
    <x v="2"/>
    <x v="1"/>
    <s v="Odisha"/>
    <s v="Bhubaneswar"/>
    <x v="0"/>
    <x v="0"/>
    <s v="Prime Paper 996"/>
    <x v="0"/>
    <n v="7"/>
    <n v="2296.6999999999998"/>
    <n v="0.05"/>
    <n v="15273.05"/>
    <n v="11088.76"/>
    <n v="4184.29"/>
    <s v="Paid"/>
    <x v="0"/>
    <s v="Unique"/>
    <m/>
    <s v="Clean"/>
    <s v="valid"/>
    <n v="0.05"/>
    <n v="15273.054999999997"/>
    <n v="4184.2949999999964"/>
    <n v="0.27396581757873573"/>
    <x v="5"/>
    <n v="2025"/>
    <s v="Clean"/>
  </r>
  <r>
    <x v="494"/>
    <s v="2024-11-14"/>
    <s v="2024-11-22"/>
    <s v="22-Nov-2024"/>
    <s v="14-Nov-2024"/>
    <n v="8"/>
    <s v="CUST-9056"/>
    <s v="Isha Nair"/>
    <x v="0"/>
    <x v="3"/>
    <s v="Madhya Pradesh"/>
    <s v="Indore"/>
    <x v="2"/>
    <x v="11"/>
    <s v="Smart Phones 125"/>
    <x v="3"/>
    <n v="3"/>
    <n v="671.68"/>
    <n v="-0.13"/>
    <n v="1712.78"/>
    <n v="1569.38"/>
    <n v="360.66"/>
    <s v="Failed"/>
    <x v="1"/>
    <s v="Unique"/>
    <m/>
    <s v="Invalid"/>
    <s v="valid"/>
    <n v="-0.13"/>
    <n v="2276.9951999999998"/>
    <n v="707.61519999999973"/>
    <n v="0.31076710218800629"/>
    <x v="2"/>
    <n v="2024"/>
    <s v="Invalid"/>
  </r>
  <r>
    <x v="495"/>
    <s v="05/09/2024"/>
    <s v="05/15/2024"/>
    <s v="15-May-2024"/>
    <s v="05-Sep-2024"/>
    <n v="-113"/>
    <s v="CUST-9801"/>
    <s v="Mira Das"/>
    <x v="1"/>
    <x v="1"/>
    <s v="Assam"/>
    <s v="Guwahati"/>
    <x v="2"/>
    <x v="11"/>
    <s v="Eco Phones 220"/>
    <x v="0"/>
    <n v="4"/>
    <n v="995.98"/>
    <n v="0.05"/>
    <n v="3784.72"/>
    <n v="2419.2399999999998"/>
    <n v="1365.48"/>
    <s v="Refunded"/>
    <x v="2"/>
    <s v="Unique"/>
    <m/>
    <s v="Clean"/>
    <s v="Invalid"/>
    <n v="0.05"/>
    <n v="3784.7239999999997"/>
    <n v="1365.4839999999999"/>
    <n v="0.36078826355633858"/>
    <x v="6"/>
    <n v="2024"/>
    <s v="Clean"/>
  </r>
  <r>
    <x v="496"/>
    <s v="2025-07-04"/>
    <s v="2025-07-06"/>
    <s v="06-Jul-2025"/>
    <s v="04-Jul-2025"/>
    <n v="2"/>
    <s v="CUST-2038"/>
    <s v="Kabir Singh"/>
    <x v="1"/>
    <x v="1"/>
    <s v="Jharkhand"/>
    <s v="Ranchi"/>
    <x v="1"/>
    <x v="4"/>
    <s v="Eco Chairs 795"/>
    <x v="0"/>
    <n v="2"/>
    <n v="3686.42"/>
    <n v="0.1"/>
    <n v="6635.56"/>
    <n v="3652.91"/>
    <n v="2982.65"/>
    <s v="Paid"/>
    <x v="0"/>
    <s v="Unique"/>
    <m/>
    <s v="Clean"/>
    <s v="valid"/>
    <n v="0.1"/>
    <n v="6635.5560000000005"/>
    <n v="2982.6460000000006"/>
    <n v="0.44949451108543131"/>
    <x v="0"/>
    <n v="2025"/>
    <s v="Clean"/>
  </r>
  <r>
    <x v="497"/>
    <s v="29 Aug 2024"/>
    <s v="29 Aug 2024"/>
    <s v="29-Aug-2024"/>
    <s v="29-Aug-2024"/>
    <n v="0"/>
    <s v="CUST-1567"/>
    <s v="Sneha Kapoor"/>
    <x v="1"/>
    <x v="0"/>
    <s v="Uttar Pradesh"/>
    <s v="Noida"/>
    <x v="2"/>
    <x v="5"/>
    <s v="Smart Accessories 896"/>
    <x v="0"/>
    <n v="1"/>
    <n v="3106.88"/>
    <n v="0.2"/>
    <n v="2485.5"/>
    <n v="2028.43"/>
    <n v="457.07"/>
    <s v="Paid"/>
    <x v="1"/>
    <s v="Unique"/>
    <m/>
    <s v="Clean"/>
    <s v="valid"/>
    <n v="0.2"/>
    <n v="2485.5040000000004"/>
    <n v="457.0740000000003"/>
    <n v="0.18389590199814615"/>
    <x v="1"/>
    <n v="2024"/>
    <s v="Warning"/>
  </r>
  <r>
    <x v="498"/>
    <s v="2025-09-07"/>
    <s v="10 Sep 2025"/>
    <s v="10-Sep-2025"/>
    <s v="07-Sep-2025"/>
    <n v="3"/>
    <s v="CUST-1190"/>
    <s v="Karan Malhotra"/>
    <x v="0"/>
    <x v="0"/>
    <s v="Punjab"/>
    <s v="Ludhiana"/>
    <x v="1"/>
    <x v="4"/>
    <s v="Basic Chairs 255"/>
    <x v="1"/>
    <n v="2"/>
    <n v="447.55"/>
    <n v="0.05"/>
    <n v="850.35"/>
    <n v="600.98"/>
    <n v="249.37"/>
    <s v="Refunded"/>
    <x v="1"/>
    <s v="Unique"/>
    <m/>
    <s v="Clean"/>
    <s v="valid"/>
    <n v="0.05"/>
    <n v="850.34500000000003"/>
    <n v="249.36500000000001"/>
    <n v="0.29325156260106194"/>
    <x v="6"/>
    <n v="2025"/>
    <s v="Warning"/>
  </r>
  <r>
    <x v="499"/>
    <s v="2024-12-22"/>
    <s v="26-12-2024"/>
    <s v="26-Dec-2024"/>
    <s v="22-Dec-2024"/>
    <n v="4"/>
    <s v="CUST-5604"/>
    <s v="Rahul Verma"/>
    <x v="3"/>
    <x v="0"/>
    <s v="Uttar Pradesh"/>
    <s v="Noida"/>
    <x v="1"/>
    <x v="4"/>
    <s v="Eco Chairs 210"/>
    <x v="3"/>
    <n v="9"/>
    <n v="1110.8699999999999"/>
    <n v="0"/>
    <n v="7498.37"/>
    <n v="6059.07"/>
    <n v="1439.3"/>
    <s v="Paid"/>
    <x v="1"/>
    <s v="Unique"/>
    <m/>
    <s v="Clean"/>
    <s v="valid"/>
    <n v="0"/>
    <n v="9997.8299999999981"/>
    <n v="3938.7599999999984"/>
    <n v="0.3939614896432525"/>
    <x v="7"/>
    <n v="2024"/>
    <s v="Warning"/>
  </r>
  <r>
    <x v="500"/>
    <s v="05/17/2024"/>
    <s v="05/22/2024"/>
    <s v="22-May-2024"/>
    <s v="17-May-2024"/>
    <n v="5"/>
    <s v="CUST-7661"/>
    <s v="Sneha Kapoor"/>
    <x v="0"/>
    <x v="2"/>
    <s v="Kerala"/>
    <s v="Kochi"/>
    <x v="2"/>
    <x v="11"/>
    <s v="Prime Phones 533"/>
    <x v="1"/>
    <n v="9"/>
    <n v="3795.99"/>
    <s v="85%"/>
    <n v="34163.910000000003"/>
    <n v="28577.15"/>
    <n v="5586.76"/>
    <s v="Paid"/>
    <x v="0"/>
    <s v="Unique"/>
    <m/>
    <s v="Invalid"/>
    <s v="valid"/>
    <n v="8.5000000000000006E-3"/>
    <n v="33873.516765"/>
    <n v="5296.3667649999988"/>
    <n v="0.15635715658766494"/>
    <x v="3"/>
    <n v="2024"/>
    <s v="Clean"/>
  </r>
  <r>
    <x v="501"/>
    <s v="11 Aug 2024"/>
    <s v="08/17/2024"/>
    <s v="17-Aug-2024"/>
    <s v="11-Aug-2024"/>
    <n v="6"/>
    <s v="CUST-3710"/>
    <s v="Neha Gupta"/>
    <x v="0"/>
    <x v="1"/>
    <s v="Jharkhand"/>
    <s v="Ranchi"/>
    <x v="0"/>
    <x v="2"/>
    <s v="Elite Art 325"/>
    <x v="0"/>
    <n v="6"/>
    <n v="3497.54"/>
    <n v="0.15"/>
    <n v="17837.45"/>
    <n v="13627.02"/>
    <n v="4210.43"/>
    <s v="Paid"/>
    <x v="0"/>
    <s v="Unique"/>
    <m/>
    <s v="Clean"/>
    <s v="valid"/>
    <n v="0.15"/>
    <n v="17837.453999999998"/>
    <n v="4210.4339999999975"/>
    <n v="0.23604456106796395"/>
    <x v="1"/>
    <n v="2024"/>
    <s v="Clean"/>
  </r>
  <r>
    <x v="502"/>
    <s v="04/01/2024"/>
    <s v="2024-04-09"/>
    <s v="09-Apr-2024"/>
    <s v="04-Jan-2024"/>
    <n v="96"/>
    <s v="CUST-1534"/>
    <s v="Priya Menon"/>
    <x v="1"/>
    <x v="1"/>
    <s v="Odisha"/>
    <s v="Bhubaneswar"/>
    <x v="2"/>
    <x v="6"/>
    <s v="Prime Copiers 557"/>
    <x v="0"/>
    <n v="6"/>
    <n v="826.93"/>
    <n v="0.1"/>
    <n v="4465.42"/>
    <n v="3377.1"/>
    <n v="1088.32"/>
    <s v="Paid"/>
    <x v="0"/>
    <s v="Unique"/>
    <m/>
    <s v="Clean"/>
    <s v="valid"/>
    <n v="0.1"/>
    <n v="4465.4220000000005"/>
    <n v="1088.3220000000006"/>
    <n v="0.24372209390288319"/>
    <x v="8"/>
    <n v="2024"/>
    <s v="Clean"/>
  </r>
  <r>
    <x v="503"/>
    <s v="2024-09-28"/>
    <s v="2024-10-05"/>
    <s v="05-Oct-2024"/>
    <s v="28-Sep-2024"/>
    <n v="7"/>
    <s v="CUST-7422"/>
    <s v="Aarav Sharma"/>
    <x v="0"/>
    <x v="2"/>
    <s v="Tamil Nadu"/>
    <s v="Chennai"/>
    <x v="2"/>
    <x v="11"/>
    <s v="Smart Phones 674"/>
    <x v="3"/>
    <n v="7"/>
    <n v="1681.6"/>
    <n v="0.1"/>
    <n v="10594.08"/>
    <n v="7160.31"/>
    <n v="3433.77"/>
    <s v="Paid"/>
    <x v="0"/>
    <s v="Unique"/>
    <m/>
    <s v="Clean"/>
    <s v="valid"/>
    <n v="0.1"/>
    <n v="10594.08"/>
    <n v="3433.7699999999995"/>
    <n v="0.32412158488514337"/>
    <x v="6"/>
    <n v="2024"/>
    <s v="Clean"/>
  </r>
  <r>
    <x v="504"/>
    <s v="2025-02-12"/>
    <s v="2025-02-17"/>
    <s v="17-Feb-2025"/>
    <s v="12-Feb-2025"/>
    <n v="5"/>
    <s v="CUST-9693"/>
    <s v="Arjun Bose"/>
    <x v="2"/>
    <x v="3"/>
    <s v="Gujarat"/>
    <s v="Ahmedabad"/>
    <x v="0"/>
    <x v="2"/>
    <s v="Elite Art 553"/>
    <x v="3"/>
    <n v="4"/>
    <n v="4328.12"/>
    <n v="0"/>
    <n v="17312.48"/>
    <n v="14424.22"/>
    <n v="2888.26"/>
    <s v="Paid"/>
    <x v="0"/>
    <s v="Unique"/>
    <m/>
    <s v="Clean"/>
    <s v="valid"/>
    <n v="0"/>
    <n v="17312.48"/>
    <n v="2888.26"/>
    <n v="0.16683109525613893"/>
    <x v="5"/>
    <n v="2025"/>
    <s v="Clean"/>
  </r>
  <r>
    <x v="505"/>
    <s v="2024-11-09"/>
    <s v="14 Nov 2024"/>
    <s v="14-Nov-2024"/>
    <s v="09-Nov-2024"/>
    <n v="5"/>
    <s v="CUST-5458"/>
    <s v="Neha Gupta"/>
    <x v="2"/>
    <x v="3"/>
    <s v="Madhya Pradesh"/>
    <s v="Indore"/>
    <x v="0"/>
    <x v="2"/>
    <s v="Classic Art 339"/>
    <x v="2"/>
    <n v="9"/>
    <n v="2438.29"/>
    <n v="0.2"/>
    <n v="17555.689999999999"/>
    <n v="13293.2"/>
    <n v="4262.49"/>
    <s v="Paid"/>
    <x v="1"/>
    <s v="Unique"/>
    <m/>
    <s v="Clean"/>
    <s v="valid"/>
    <n v="0.2"/>
    <n v="17555.688000000002"/>
    <n v="4262.4880000000012"/>
    <n v="0.24279811762432785"/>
    <x v="2"/>
    <n v="2024"/>
    <s v="Warning"/>
  </r>
  <r>
    <x v="506"/>
    <s v="15-12-2024"/>
    <s v="2024-12-15"/>
    <s v="15-Dec-2024"/>
    <s v="15-Dec-2024"/>
    <n v="0"/>
    <s v="CUST-3011"/>
    <s v="Aarav Sharma"/>
    <x v="1"/>
    <x v="0"/>
    <s v="Punjab"/>
    <s v="Ludhiana"/>
    <x v="1"/>
    <x v="3"/>
    <s v="Smart Furnishings 352"/>
    <x v="2"/>
    <n v="2"/>
    <n v="669.8"/>
    <n v="0.1"/>
    <n v="1205.6400000000001"/>
    <n v="842.07"/>
    <n v="363.57"/>
    <s v="Refunded"/>
    <x v="2"/>
    <s v="Unique"/>
    <m/>
    <s v="Clean"/>
    <s v="valid"/>
    <n v="0.1"/>
    <n v="1205.6399999999999"/>
    <n v="363.56999999999982"/>
    <n v="0.30155767890912699"/>
    <x v="7"/>
    <n v="2024"/>
    <s v="Clean"/>
  </r>
  <r>
    <x v="507"/>
    <s v="2025-04-15"/>
    <s v="2025-04-22"/>
    <s v="22-Apr-2025"/>
    <s v="15-Apr-2025"/>
    <n v="7"/>
    <s v="CUST-1826"/>
    <s v="Isha Nair"/>
    <x v="1"/>
    <x v="0"/>
    <s v="Haryana"/>
    <s v="Gurugram"/>
    <x v="0"/>
    <x v="9"/>
    <s v="Classic Binders 602"/>
    <x v="1"/>
    <n v="4"/>
    <n v="2990.42"/>
    <n v="0.25"/>
    <n v="8971.26"/>
    <n v="6814.35"/>
    <n v="2156.91"/>
    <s v="Paid"/>
    <x v="0"/>
    <s v="Unique"/>
    <m/>
    <s v="Clean"/>
    <s v="valid"/>
    <n v="0.25"/>
    <n v="8971.26"/>
    <n v="2156.91"/>
    <n v="0.24042442198754688"/>
    <x v="11"/>
    <n v="2025"/>
    <s v="Clean"/>
  </r>
  <r>
    <x v="508"/>
    <s v="31 Mar 2024"/>
    <s v="07-04-2024"/>
    <s v="07-Apr-2024"/>
    <s v="31-Mar-2024"/>
    <n v="7"/>
    <s v="CUST-3333"/>
    <s v="Isha Nair"/>
    <x v="1"/>
    <x v="0"/>
    <s v="Haryana"/>
    <s v="Gurugram"/>
    <x v="2"/>
    <x v="12"/>
    <s v="Smart Machines 853"/>
    <x v="0"/>
    <n v="4"/>
    <n v="1831"/>
    <n v="0"/>
    <n v="7324"/>
    <n v="4179.63"/>
    <n v="3144.37"/>
    <s v="Paid"/>
    <x v="0"/>
    <s v="Unique"/>
    <m/>
    <s v="Clean"/>
    <s v="valid"/>
    <n v="0"/>
    <n v="7324"/>
    <n v="3144.37"/>
    <n v="0.42932413981430911"/>
    <x v="9"/>
    <n v="2024"/>
    <s v="Clean"/>
  </r>
  <r>
    <x v="509"/>
    <s v="2025-05-12"/>
    <s v="05/14/2025"/>
    <s v="14-May-2025"/>
    <s v="12-May-2025"/>
    <n v="2"/>
    <s v="CUST-7901"/>
    <s v="Neha Gupta"/>
    <x v="0"/>
    <x v="3"/>
    <s v="Gujarat"/>
    <s v="Ahmedabad"/>
    <x v="2"/>
    <x v="12"/>
    <s v="Classic Machines 599"/>
    <x v="1"/>
    <n v="8"/>
    <n v="3631.44"/>
    <n v="0.2"/>
    <n v="23241.22"/>
    <n v="17220.900000000001"/>
    <n v="6020.32"/>
    <s v="Paid"/>
    <x v="0"/>
    <s v="Unique"/>
    <m/>
    <s v="Clean"/>
    <s v="valid"/>
    <n v="0.2"/>
    <n v="23241.216"/>
    <n v="6020.3159999999989"/>
    <n v="0.25903618812371948"/>
    <x v="3"/>
    <n v="2025"/>
    <s v="Clean"/>
  </r>
  <r>
    <x v="510"/>
    <s v="10/18/2024"/>
    <s v="21-10-2024"/>
    <s v="21-Oct-2024"/>
    <s v="18-Oct-2024"/>
    <n v="3"/>
    <s v="CUST-9759"/>
    <s v="Aarav  Sharma"/>
    <x v="0"/>
    <x v="2"/>
    <s v="Karnataka"/>
    <s v="Bengaluru"/>
    <x v="0"/>
    <x v="8"/>
    <s v="Pro Storage 373"/>
    <x v="0"/>
    <n v="2"/>
    <n v="4238.51"/>
    <n v="0"/>
    <n v="8477.02"/>
    <n v="6884.96"/>
    <n v="1592.06"/>
    <s v="Paid"/>
    <x v="0"/>
    <s v="Unique"/>
    <m/>
    <s v="Clean"/>
    <s v="valid"/>
    <n v="0"/>
    <n v="8477.02"/>
    <n v="1592.0600000000004"/>
    <n v="0.18780892341884298"/>
    <x v="4"/>
    <n v="2024"/>
    <s v="Clean"/>
  </r>
  <r>
    <x v="511"/>
    <s v="10/23/2024"/>
    <s v="26 Oct 2024"/>
    <s v="26-Oct-2024"/>
    <s v="23-Oct-2024"/>
    <n v="3"/>
    <s v="CUST-7232"/>
    <s v="Sneha Kapoor"/>
    <x v="0"/>
    <x v="3"/>
    <s v="Madhya Pradesh"/>
    <s v="Indore"/>
    <x v="1"/>
    <x v="10"/>
    <s v="Smart Bookcases 920"/>
    <x v="3"/>
    <n v="9"/>
    <n v="544.27"/>
    <n v="0.25"/>
    <n v="3673.82"/>
    <n v="2088.15"/>
    <n v="1585.67"/>
    <s v="Paid"/>
    <x v="0"/>
    <s v="Unique"/>
    <m/>
    <s v="Clean"/>
    <s v="valid"/>
    <n v="0.25"/>
    <n v="3673.8225000000002"/>
    <n v="1585.6725000000001"/>
    <n v="0.43161380278987349"/>
    <x v="4"/>
    <n v="2024"/>
    <s v="Clean"/>
  </r>
  <r>
    <x v="512"/>
    <s v="03/02/2025"/>
    <s v="2025-03-03"/>
    <s v="03-Mar-2025"/>
    <s v="03-Feb-2025"/>
    <n v="28"/>
    <s v="CUST-9943"/>
    <s v="Isha Nair"/>
    <x v="2"/>
    <x v="2"/>
    <s v="Kerala"/>
    <s v="Kochi"/>
    <x v="0"/>
    <x v="7"/>
    <s v="Pro Labels 849"/>
    <x v="0"/>
    <n v="2"/>
    <n v="4031.45"/>
    <n v="0.25"/>
    <n v="6047.17"/>
    <n v="3368.79"/>
    <n v="2678.38"/>
    <s v="Paid"/>
    <x v="0"/>
    <s v="Unique"/>
    <m/>
    <s v="Clean"/>
    <s v="valid"/>
    <n v="0.25"/>
    <n v="6047.1749999999993"/>
    <n v="2678.3849999999993"/>
    <n v="0.44291508018206843"/>
    <x v="5"/>
    <n v="2025"/>
    <s v="Clean"/>
  </r>
  <r>
    <x v="513"/>
    <s v="27-06-2025"/>
    <s v="07/02/2025"/>
    <s v="07-Feb-2025"/>
    <s v="27-Jun-2025"/>
    <n v="-140"/>
    <s v="CUST-8993"/>
    <s v="Aarav Sharma"/>
    <x v="2"/>
    <x v="2"/>
    <s v="Kerala"/>
    <s v="Kochi"/>
    <x v="2"/>
    <x v="5"/>
    <s v="Prime Accessories 849"/>
    <x v="2"/>
    <n v="6"/>
    <n v="1099.49"/>
    <n v="0.1"/>
    <n v="6212.38"/>
    <n v="4088.46"/>
    <n v="1848.79"/>
    <s v="Paid"/>
    <x v="0"/>
    <s v="Unique"/>
    <m/>
    <s v="Clean"/>
    <s v="Invalid"/>
    <n v="0.1"/>
    <n v="5937.246000000001"/>
    <n v="1848.786000000001"/>
    <n v="0.31138780505304997"/>
    <x v="10"/>
    <n v="2025"/>
    <s v="Clean"/>
  </r>
  <r>
    <x v="514"/>
    <s v="18 Nov 2024"/>
    <s v="2024-11-22"/>
    <s v="22-Nov-2024"/>
    <s v="18-Nov-2024"/>
    <n v="4"/>
    <s v="CUST-7729"/>
    <s v="Karan Malhotra"/>
    <x v="3"/>
    <x v="2"/>
    <s v="Kerala"/>
    <s v="Kochi"/>
    <x v="2"/>
    <x v="5"/>
    <s v="Smart Accessories 388"/>
    <x v="3"/>
    <n v="6"/>
    <n v="3872.94"/>
    <n v="0.1"/>
    <n v="20913.88"/>
    <n v="11684.68"/>
    <n v="9229.2000000000007"/>
    <s v="Paid"/>
    <x v="0"/>
    <s v="Unique"/>
    <m/>
    <s v="Clean"/>
    <s v="valid"/>
    <n v="0.1"/>
    <n v="20913.876"/>
    <n v="9229.1959999999999"/>
    <n v="0.44129533903710627"/>
    <x v="2"/>
    <n v="2024"/>
    <s v="Clean"/>
  </r>
  <r>
    <x v="515"/>
    <s v="04/11/2025"/>
    <s v="2025-04-11"/>
    <s v="11-Apr-2025"/>
    <s v="04-Nov-2025"/>
    <n v="-207"/>
    <s v="CUST-9986"/>
    <s v="Rahul Verma"/>
    <x v="2"/>
    <x v="0"/>
    <s v="Delhi"/>
    <s v="New Delhi"/>
    <x v="0"/>
    <x v="0"/>
    <s v="Classic Paper 752"/>
    <x v="3"/>
    <n v="1"/>
    <n v="4458.49"/>
    <n v="-7.0000000000000007E-2"/>
    <n v="3566.79"/>
    <n v="2083.41"/>
    <n v="1483.38"/>
    <s v="Paid"/>
    <x v="0"/>
    <s v="Unique"/>
    <m/>
    <s v="Invalid"/>
    <s v="Invalid"/>
    <n v="-7.0000000000000007E-2"/>
    <n v="4770.5843000000004"/>
    <n v="2687.1743000000006"/>
    <n v="0.56327991101635089"/>
    <x v="2"/>
    <n v="2025"/>
    <s v="Invalid"/>
  </r>
  <r>
    <x v="516"/>
    <s v="09/28/2024"/>
    <s v="04 Oct 2024"/>
    <s v="04-Oct-2024"/>
    <s v="28-Sep-2024"/>
    <n v="6"/>
    <s v="CUST-2731"/>
    <s v="Kabir Singh"/>
    <x v="3"/>
    <x v="0"/>
    <s v="Delhi"/>
    <s v="New Delhi"/>
    <x v="2"/>
    <x v="6"/>
    <s v="Classic Copiers 143"/>
    <x v="3"/>
    <n v="1"/>
    <n v="2233.1799999999998"/>
    <n v="0"/>
    <n v="2233.1799999999998"/>
    <n v="1585.82"/>
    <n v="647.36"/>
    <s v="Failed"/>
    <x v="2"/>
    <s v="Unique"/>
    <m/>
    <s v="Clean"/>
    <s v="valid"/>
    <n v="0"/>
    <n v="2233.1799999999998"/>
    <n v="647.3599999999999"/>
    <n v="0.28988258895386843"/>
    <x v="6"/>
    <n v="2024"/>
    <s v="Warning"/>
  </r>
  <r>
    <x v="517"/>
    <s v="2025-05-25"/>
    <s v="27 May 2025"/>
    <s v="27-May-2025"/>
    <s v="25-May-2025"/>
    <n v="2"/>
    <s v="CUST-4235"/>
    <s v="Rahul Verma"/>
    <x v="0"/>
    <x v="1"/>
    <s v="Odisha"/>
    <s v="Bhubaneswar"/>
    <x v="1"/>
    <x v="3"/>
    <s v="Basic Furnishings 386"/>
    <x v="0"/>
    <n v="7"/>
    <n v="2123.2800000000002"/>
    <n v="0.2"/>
    <n v="11890.37"/>
    <n v="9234.5300000000007"/>
    <n v="2655.84"/>
    <s v="Refunded"/>
    <x v="2"/>
    <s v="Unique"/>
    <m/>
    <s v="Clean"/>
    <s v="valid"/>
    <n v="0.2"/>
    <n v="11890.368000000002"/>
    <n v="2655.8380000000016"/>
    <n v="0.22336045444514427"/>
    <x v="3"/>
    <n v="2025"/>
    <s v="Clean"/>
  </r>
  <r>
    <x v="518"/>
    <s v="30-04-2025"/>
    <s v="26 Apr 2025"/>
    <s v="26-Apr-2025"/>
    <s v="30-Apr-2025"/>
    <n v="-4"/>
    <s v="CUST-3377"/>
    <s v="Diya Patel"/>
    <x v="2"/>
    <x v="1"/>
    <s v="Odisha"/>
    <s v="Bhubaneswar"/>
    <x v="1"/>
    <x v="1"/>
    <s v="Classic Tables 592"/>
    <x v="2"/>
    <n v="7"/>
    <n v="1604.13"/>
    <n v="0.25"/>
    <n v="8421.68"/>
    <n v="6534.47"/>
    <n v="1887.21"/>
    <s v="Paid"/>
    <x v="1"/>
    <s v="Unique"/>
    <m/>
    <s v="Clean"/>
    <s v="Invalid"/>
    <n v="0.25"/>
    <n v="8421.682499999999"/>
    <n v="1887.2124999999987"/>
    <n v="0.22408972316398759"/>
    <x v="11"/>
    <n v="2025"/>
    <s v="Warning"/>
  </r>
  <r>
    <x v="519"/>
    <s v="03-07-2025"/>
    <s v="2025-07-07"/>
    <s v="07-Jul-2025"/>
    <s v="03-Jul-2025"/>
    <n v="4"/>
    <s v="CUST-3258"/>
    <s v="Priya Menon"/>
    <x v="0"/>
    <x v="0"/>
    <s v="Uttar Pradesh"/>
    <s v="Noida"/>
    <x v="1"/>
    <x v="1"/>
    <s v="Pro Tables 412"/>
    <x v="3"/>
    <n v="4"/>
    <n v="4365.21"/>
    <n v="0.2"/>
    <n v="13968.67"/>
    <n v="8857.58"/>
    <n v="5111.09"/>
    <s v="Pending"/>
    <x v="1"/>
    <s v="Unique"/>
    <m/>
    <s v="Clean"/>
    <s v="valid"/>
    <n v="0.2"/>
    <n v="13968.672"/>
    <n v="5111.0920000000006"/>
    <n v="0.36589677243477409"/>
    <x v="0"/>
    <n v="2025"/>
    <s v="Warning"/>
  </r>
  <r>
    <x v="520"/>
    <s v="2024-07-16"/>
    <s v="23 Jul 2024"/>
    <s v="23-Jul-2024"/>
    <s v="16-Jul-2024"/>
    <n v="7"/>
    <s v="CUST-2155"/>
    <s v="Aarav Sharma"/>
    <x v="3"/>
    <x v="2"/>
    <s v="Karnataka"/>
    <s v="Bengaluru"/>
    <x v="2"/>
    <x v="12"/>
    <s v="Prime Machines 393"/>
    <x v="1"/>
    <n v="1"/>
    <n v="1695.91"/>
    <n v="0.05"/>
    <n v="1611.11"/>
    <n v="895.15"/>
    <n v="715.96"/>
    <s v="Paid"/>
    <x v="0"/>
    <s v="Unique"/>
    <m/>
    <s v="Clean"/>
    <s v="valid"/>
    <n v="0.05"/>
    <n v="1611.1144999999999"/>
    <n v="715.96449999999993"/>
    <n v="0.44439082386757739"/>
    <x v="0"/>
    <n v="2024"/>
    <s v="Clean"/>
  </r>
  <r>
    <x v="521"/>
    <s v="2025-03-25"/>
    <s v="2025-04-01"/>
    <s v="01-Apr-2025"/>
    <s v="25-Mar-2025"/>
    <n v="7"/>
    <s v="CUST-8012"/>
    <s v="Diya Patel"/>
    <x v="0"/>
    <x v="0"/>
    <s v="Punjab"/>
    <s v="Ludhiana"/>
    <x v="0"/>
    <x v="7"/>
    <s v="Classic Labels 776"/>
    <x v="0"/>
    <n v="6"/>
    <n v="2192.11"/>
    <n v="0.05"/>
    <n v="12495.03"/>
    <n v="9184.52"/>
    <n v="3310.51"/>
    <s v="Paid"/>
    <x v="0"/>
    <s v="Unique"/>
    <m/>
    <s v="Clean"/>
    <s v="valid"/>
    <n v="0.05"/>
    <n v="12495.027"/>
    <n v="3310.5069999999996"/>
    <n v="0.26494596610315446"/>
    <x v="9"/>
    <n v="2025"/>
    <s v="Clean"/>
  </r>
  <r>
    <x v="522"/>
    <s v="02/28/2025"/>
    <s v="08 Mar 2025"/>
    <s v="08-Mar-2025"/>
    <s v="28-Feb-2025"/>
    <n v="8"/>
    <s v="CUST-2917"/>
    <s v="Neha Gupta"/>
    <x v="1"/>
    <x v="1"/>
    <s v="Jharkhand"/>
    <s v="Ranchi"/>
    <x v="2"/>
    <x v="11"/>
    <s v="Max Phones 612"/>
    <x v="2"/>
    <n v="9"/>
    <n v="3670.54"/>
    <n v="0"/>
    <n v="33034.86"/>
    <n v="24539.83"/>
    <n v="8495.0300000000007"/>
    <s v="Paid"/>
    <x v="0"/>
    <s v="Unique"/>
    <m/>
    <s v="Clean"/>
    <s v="valid"/>
    <n v="0"/>
    <n v="33034.86"/>
    <n v="8495.0299999999988"/>
    <n v="0.25715350390466307"/>
    <x v="5"/>
    <n v="2025"/>
    <s v="Clean"/>
  </r>
  <r>
    <x v="523"/>
    <s v="02-04-2024"/>
    <s v="2024-04-03"/>
    <s v="03-Apr-2024"/>
    <s v="02-Apr-2024"/>
    <n v="1"/>
    <s v="CUST-4653"/>
    <s v="Kabir Singh"/>
    <x v="3"/>
    <x v="3"/>
    <s v="Goa"/>
    <s v="Panaji"/>
    <x v="0"/>
    <x v="0"/>
    <s v="Basic Paper 315"/>
    <x v="0"/>
    <n v="2"/>
    <n v="2902.63"/>
    <n v="0"/>
    <n v="5805.26"/>
    <n v="4654.3599999999997"/>
    <n v="1150.9000000000001"/>
    <s v="Paid"/>
    <x v="2"/>
    <s v="Unique"/>
    <m/>
    <s v="Clean"/>
    <s v="valid"/>
    <n v="0"/>
    <n v="5805.26"/>
    <n v="1150.9000000000005"/>
    <n v="0.19825124111581574"/>
    <x v="11"/>
    <n v="2024"/>
    <s v="Clean"/>
  </r>
  <r>
    <x v="524"/>
    <s v="30 Nov 2024"/>
    <s v="01 Dec 2024"/>
    <s v="01-Dec-2024"/>
    <s v="30-Nov-2024"/>
    <n v="1"/>
    <s v="CUST-3311"/>
    <s v="Ananya Rao"/>
    <x v="2"/>
    <x v="3"/>
    <s v="Gujarat"/>
    <s v="Ahmedabad"/>
    <x v="1"/>
    <x v="4"/>
    <s v="Basic Chairs 333"/>
    <x v="2"/>
    <n v="9"/>
    <n v="4207.3599999999997"/>
    <n v="0.1"/>
    <n v="34079.620000000003"/>
    <n v="21871.39"/>
    <n v="12208.23"/>
    <s v="Paid"/>
    <x v="0"/>
    <s v="Unique"/>
    <m/>
    <s v="Clean"/>
    <s v="valid"/>
    <n v="0.1"/>
    <n v="34079.616000000002"/>
    <n v="12208.226000000002"/>
    <n v="0.35822663025311091"/>
    <x v="2"/>
    <n v="2024"/>
    <s v="Clean"/>
  </r>
  <r>
    <x v="525"/>
    <s v="10/17/2024"/>
    <s v="2024-10-17"/>
    <s v="17-Oct-2024"/>
    <s v="17-Oct-2024"/>
    <n v="0"/>
    <s v="CUST-2924"/>
    <s v="Priya Menon"/>
    <x v="3"/>
    <x v="1"/>
    <s v="West Bengal"/>
    <s v="Kolkata"/>
    <x v="1"/>
    <x v="4"/>
    <s v="Prime Chairs 215"/>
    <x v="3"/>
    <n v="5"/>
    <n v="2524.4"/>
    <n v="0.1"/>
    <n v="11359.8"/>
    <n v="7062.44"/>
    <n v="4297.3599999999997"/>
    <s v="Paid"/>
    <x v="0"/>
    <s v="Unique"/>
    <m/>
    <s v="Clean"/>
    <s v="valid"/>
    <n v="0.1"/>
    <n v="11359.800000000001"/>
    <n v="4297.3600000000015"/>
    <n v="0.37829539252451638"/>
    <x v="4"/>
    <n v="2024"/>
    <s v="Clean"/>
  </r>
  <r>
    <x v="526"/>
    <s v="2025-07-18"/>
    <s v="21 Jul 2025"/>
    <s v="21-Jul-2025"/>
    <s v="18-Jul-2025"/>
    <n v="3"/>
    <s v="CUST-7198"/>
    <s v="Priya Menon"/>
    <x v="0"/>
    <x v="1"/>
    <s v="Odisha"/>
    <s v="Bhubaneswar"/>
    <x v="1"/>
    <x v="1"/>
    <s v="Elite Tables 815"/>
    <x v="0"/>
    <n v="4"/>
    <n v="284.04000000000002"/>
    <n v="0"/>
    <n v="908.93"/>
    <n v="572.08000000000004"/>
    <n v="336.85"/>
    <s v="Paid"/>
    <x v="0"/>
    <s v="Unique"/>
    <m/>
    <s v="Clean"/>
    <s v="valid"/>
    <n v="0"/>
    <n v="1136.1600000000001"/>
    <n v="564.08000000000004"/>
    <n v="0.49647936910294327"/>
    <x v="0"/>
    <n v="2025"/>
    <s v="Clean"/>
  </r>
  <r>
    <x v="527"/>
    <s v="01-10-2025"/>
    <s v="2025-10-05"/>
    <s v="05-Oct-2025"/>
    <s v="01-Oct-2025"/>
    <n v="4"/>
    <s v="CUST-3419"/>
    <s v="Aditi Sen"/>
    <x v="3"/>
    <x v="0"/>
    <s v="Haryana"/>
    <s v="Gurugram"/>
    <x v="0"/>
    <x v="0"/>
    <s v="Basic Paper 388"/>
    <x v="2"/>
    <n v="5"/>
    <n v="3247.56"/>
    <n v="0.15"/>
    <n v="13802.13"/>
    <n v="10075.93"/>
    <n v="3726.2"/>
    <s v="Paid"/>
    <x v="0"/>
    <s v="Unique"/>
    <m/>
    <s v="Clean"/>
    <s v="valid"/>
    <n v="0.15"/>
    <n v="13802.13"/>
    <n v="3726.1999999999989"/>
    <n v="0.26997282303528508"/>
    <x v="4"/>
    <n v="2025"/>
    <s v="Clean"/>
  </r>
  <r>
    <x v="528"/>
    <s v="2024-10-07"/>
    <s v="09-10-2024"/>
    <s v="09-Oct-2024"/>
    <s v="07-Oct-2024"/>
    <n v="2"/>
    <s v="CUST-2390"/>
    <s v="Diya Patel"/>
    <x v="0"/>
    <x v="2"/>
    <s v="Tamil Nadu"/>
    <s v="Chennai"/>
    <x v="0"/>
    <x v="9"/>
    <s v="Eco Binders 855"/>
    <x v="3"/>
    <n v="9"/>
    <n v="3457.09"/>
    <n v="0.05"/>
    <n v="29558.12"/>
    <n v="21302.13"/>
    <n v="8255.99"/>
    <s v="Pending"/>
    <x v="2"/>
    <s v="Unique"/>
    <m/>
    <s v="Clean"/>
    <s v="valid"/>
    <n v="0.05"/>
    <n v="29558.119500000001"/>
    <n v="8255.9894999999997"/>
    <n v="0.27931376013281223"/>
    <x v="4"/>
    <n v="2024"/>
    <s v="Clean"/>
  </r>
  <r>
    <x v="529"/>
    <s v="2024-02-06"/>
    <s v="2024-02-08"/>
    <s v="08-Feb-2024"/>
    <s v="06-Feb-2024"/>
    <n v="2"/>
    <s v="CUST-3362"/>
    <s v="Karan Malhotra"/>
    <x v="0"/>
    <x v="1"/>
    <s v="Jharkhand"/>
    <s v="Ranchi"/>
    <x v="1"/>
    <x v="10"/>
    <s v="Classic Bookcases 947"/>
    <x v="0"/>
    <n v="9"/>
    <n v="1822.25"/>
    <n v="0"/>
    <n v="16400.25"/>
    <n v="12146.96"/>
    <n v="4253.29"/>
    <s v="Paid"/>
    <x v="0"/>
    <s v="Unique"/>
    <m/>
    <s v="Clean"/>
    <s v="valid"/>
    <n v="0"/>
    <n v="16400.25"/>
    <n v="4253.2900000000009"/>
    <n v="0.25934299782015524"/>
    <x v="5"/>
    <n v="2024"/>
    <s v="Clean"/>
  </r>
  <r>
    <x v="530"/>
    <s v="05/30/2025"/>
    <s v="2025-06-01"/>
    <s v="01-Jun-2025"/>
    <s v="30-May-2025"/>
    <n v="2"/>
    <s v="CUST-8177"/>
    <s v="Rahul Verma"/>
    <x v="3"/>
    <x v="2"/>
    <s v="Tamil Nadu"/>
    <s v="Chennai"/>
    <x v="0"/>
    <x v="9"/>
    <s v="Eco Binders 352"/>
    <x v="3"/>
    <n v="9"/>
    <n v="1994.51"/>
    <n v="0.05"/>
    <n v="17053.060000000001"/>
    <n v="10742.38"/>
    <n v="6310.68"/>
    <s v="Paid"/>
    <x v="0"/>
    <s v="Unique"/>
    <m/>
    <s v="Clean"/>
    <s v="valid"/>
    <n v="0.05"/>
    <n v="17053.0605"/>
    <n v="6310.6805000000004"/>
    <n v="0.37006146198801093"/>
    <x v="3"/>
    <n v="2025"/>
    <s v="Clean"/>
  </r>
  <r>
    <x v="531"/>
    <s v="01 Aug 2024"/>
    <s v="08-08-2024"/>
    <s v="08-Aug-2024"/>
    <s v="01-Aug-2024"/>
    <n v="7"/>
    <s v="CUST-6357"/>
    <s v="Diya Patel"/>
    <x v="1"/>
    <x v="3"/>
    <s v="Maharashtra"/>
    <s v="Mumbai"/>
    <x v="0"/>
    <x v="8"/>
    <s v="Pro Storage 364"/>
    <x v="4"/>
    <n v="1"/>
    <n v="442.97"/>
    <n v="0.1"/>
    <n v="398.67"/>
    <n v="311.66000000000003"/>
    <n v="87.01"/>
    <s v="Paid"/>
    <x v="0"/>
    <s v="Unique"/>
    <m/>
    <s v="Clean"/>
    <s v="valid"/>
    <n v="0.1"/>
    <n v="398.67300000000006"/>
    <n v="87.013000000000034"/>
    <n v="0.21825656615822997"/>
    <x v="1"/>
    <n v="2024"/>
    <s v="Clean"/>
  </r>
  <r>
    <x v="532"/>
    <s v="2025-10-05"/>
    <s v="2025-10-10"/>
    <s v="10-Oct-2025"/>
    <s v="05-Oct-2025"/>
    <n v="5"/>
    <s v="CUST-7690"/>
    <s v="Priya Menon"/>
    <x v="2"/>
    <x v="1"/>
    <s v="Assam"/>
    <s v="Guwahati"/>
    <x v="1"/>
    <x v="1"/>
    <s v="Classic Tables 213"/>
    <x v="0"/>
    <n v="9"/>
    <n v="2089.14"/>
    <n v="0.05"/>
    <n v="17862.150000000001"/>
    <n v="9892.2099999999991"/>
    <n v="7969.94"/>
    <s v="Failed"/>
    <x v="1"/>
    <s v="Unique"/>
    <m/>
    <s v="Clean"/>
    <s v="valid"/>
    <n v="0.05"/>
    <n v="17862.146999999997"/>
    <n v="7969.9369999999981"/>
    <n v="0.44619143488182017"/>
    <x v="4"/>
    <n v="2025"/>
    <s v="Warning"/>
  </r>
  <r>
    <x v="533"/>
    <s v="25 Aug 2024"/>
    <s v="2024-09-01"/>
    <s v="01-Sep-2024"/>
    <s v="25-Aug-2024"/>
    <n v="7"/>
    <s v="CUST-4487"/>
    <s v="Isha Nair"/>
    <x v="3"/>
    <x v="0"/>
    <s v="Rajasthan"/>
    <s v="Jaipur"/>
    <x v="1"/>
    <x v="1"/>
    <s v="Smart Tables 659"/>
    <x v="1"/>
    <n v="6"/>
    <n v="481.3"/>
    <n v="0.25"/>
    <n v="2165.85"/>
    <n v="2124.48"/>
    <n v="430.45"/>
    <s v="Paid"/>
    <x v="0"/>
    <s v="Unique"/>
    <m/>
    <s v="Clean"/>
    <s v="valid"/>
    <n v="0.25"/>
    <n v="2165.8500000000004"/>
    <n v="41.370000000000346"/>
    <n v="1.91010457787937E-2"/>
    <x v="1"/>
    <n v="2024"/>
    <s v="Clean"/>
  </r>
  <r>
    <x v="534"/>
    <s v="04/27/2025"/>
    <s v="2025-05-05"/>
    <s v="05-May-2025"/>
    <s v="27-Apr-2025"/>
    <n v="8"/>
    <s v="CUST-8204"/>
    <s v="Rohan Mehta"/>
    <x v="3"/>
    <x v="1"/>
    <s v="Bihar"/>
    <s v="Patna"/>
    <x v="2"/>
    <x v="5"/>
    <s v="Classic Accessories 325"/>
    <x v="0"/>
    <n v="4"/>
    <n v="3963.39"/>
    <n v="0.1"/>
    <n v="14268.2"/>
    <n v="11705.3"/>
    <n v="2562.9"/>
    <s v="Pending"/>
    <x v="2"/>
    <s v="Unique"/>
    <m/>
    <s v="Clean"/>
    <s v="valid"/>
    <n v="0.1"/>
    <n v="14268.204"/>
    <n v="2562.9040000000005"/>
    <n v="0.17962344805274724"/>
    <x v="11"/>
    <n v="2025"/>
    <s v="Clean"/>
  </r>
  <r>
    <x v="535"/>
    <s v="19-05-2024"/>
    <s v="21 May 2024"/>
    <s v="21-May-2024"/>
    <s v="19-May-2024"/>
    <n v="2"/>
    <s v="CUST-1729"/>
    <s v="Diya Patel"/>
    <x v="1"/>
    <x v="3"/>
    <s v="Maharashtra"/>
    <s v="Mumbai"/>
    <x v="2"/>
    <x v="6"/>
    <s v="Eco Copiers 243"/>
    <x v="2"/>
    <n v="3"/>
    <n v="4000.98"/>
    <n v="0.2"/>
    <n v="9602.35"/>
    <n v="7387.57"/>
    <n v="2214.7800000000002"/>
    <s v="Paid"/>
    <x v="0"/>
    <s v="Unique"/>
    <m/>
    <s v="Clean"/>
    <s v="valid"/>
    <n v="0.2"/>
    <n v="9602.3520000000008"/>
    <n v="2214.7820000000011"/>
    <n v="0.23064994909580494"/>
    <x v="3"/>
    <n v="2024"/>
    <s v="Clean"/>
  </r>
  <r>
    <x v="536"/>
    <s v="2025-04-10"/>
    <s v="2025-04-17"/>
    <s v="17-Apr-2025"/>
    <s v="10-Apr-2025"/>
    <n v="7"/>
    <s v="CUST-4269"/>
    <s v="Ananya Rao"/>
    <x v="1"/>
    <x v="3"/>
    <s v="Rajasthan"/>
    <s v="Udaipur"/>
    <x v="1"/>
    <x v="4"/>
    <s v="Elite Chairs 777"/>
    <x v="2"/>
    <n v="7"/>
    <n v="3788.9"/>
    <n v="0.25"/>
    <n v="19891.72"/>
    <n v="12295.76"/>
    <n v="7595.96"/>
    <s v="Failed"/>
    <x v="1"/>
    <s v="Unique"/>
    <m/>
    <s v="Clean"/>
    <s v="valid"/>
    <n v="0.25"/>
    <n v="19891.724999999999"/>
    <n v="7595.9649999999983"/>
    <n v="0.38186557475533162"/>
    <x v="11"/>
    <n v="2025"/>
    <s v="Warning"/>
  </r>
  <r>
    <x v="537"/>
    <s v="2024-01-22"/>
    <s v="2024-01-30"/>
    <s v="30-Jan-2024"/>
    <s v="22-Jan-2024"/>
    <n v="8"/>
    <s v="CUST-1370"/>
    <s v="Ananya Rao"/>
    <x v="1"/>
    <x v="0"/>
    <s v="Haryana"/>
    <s v="Gurugram"/>
    <x v="0"/>
    <x v="2"/>
    <s v="Classic Art 772"/>
    <x v="1"/>
    <n v="3"/>
    <n v="676.37"/>
    <n v="0.05"/>
    <n v="1927.65"/>
    <n v="1460.6"/>
    <n v="467.05"/>
    <s v="Failed"/>
    <x v="1"/>
    <s v="Unique"/>
    <m/>
    <s v="Clean"/>
    <s v="valid"/>
    <n v="0.05"/>
    <n v="1927.6545000000001"/>
    <n v="467.05450000000019"/>
    <n v="0.24229160360427668"/>
    <x v="8"/>
    <n v="2024"/>
    <s v="Warning"/>
  </r>
  <r>
    <x v="538"/>
    <s v="25-09-2024"/>
    <s v="01-10-2024"/>
    <s v="01-Oct-2024"/>
    <s v="25-Sep-2024"/>
    <n v="6"/>
    <s v="CUST-5381"/>
    <s v="Diya Patel"/>
    <x v="1"/>
    <x v="1"/>
    <s v="Jharkhand"/>
    <s v="Ranchi"/>
    <x v="1"/>
    <x v="1"/>
    <s v="Elite Tables 888"/>
    <x v="0"/>
    <n v="9"/>
    <n v="3908.6"/>
    <n v="0.15"/>
    <n v="29900.79"/>
    <n v="24650.67"/>
    <n v="5250.12"/>
    <s v="Paid"/>
    <x v="0"/>
    <s v="Unique"/>
    <m/>
    <s v="Clean"/>
    <s v="valid"/>
    <n v="0.15"/>
    <n v="29900.79"/>
    <n v="5250.1200000000026"/>
    <n v="0.17558465846554563"/>
    <x v="6"/>
    <n v="2024"/>
    <s v="Clean"/>
  </r>
  <r>
    <x v="539"/>
    <s v="07/04/2025"/>
    <s v="2025-07-04"/>
    <s v="04-Jul-2025"/>
    <s v="07-Apr-2025"/>
    <n v="88"/>
    <s v="CUST-3694"/>
    <s v="Mira Das"/>
    <x v="1"/>
    <x v="2"/>
    <s v="Tamil Nadu"/>
    <s v="Chennai"/>
    <x v="1"/>
    <x v="4"/>
    <s v="Classic Chairs 666"/>
    <x v="3"/>
    <n v="3"/>
    <n v="705.35"/>
    <n v="0.1"/>
    <n v="1904.45"/>
    <n v="1316.54"/>
    <n v="587.91"/>
    <s v="Paid"/>
    <x v="1"/>
    <s v="Unique"/>
    <m/>
    <s v="Clean"/>
    <s v="valid"/>
    <n v="0.1"/>
    <n v="1904.4450000000002"/>
    <n v="587.9050000000002"/>
    <n v="0.30870148520960183"/>
    <x v="11"/>
    <n v="2025"/>
    <s v="Warning"/>
  </r>
  <r>
    <x v="540"/>
    <s v="26-02-2024"/>
    <s v="23 Feb 2024"/>
    <s v="23-Feb-2024"/>
    <s v="26-Feb-2024"/>
    <n v="-3"/>
    <s v="CUST-7563"/>
    <s v="Kabir Singh"/>
    <x v="0"/>
    <x v="3"/>
    <s v="Gujarat"/>
    <s v="Ahmedabad"/>
    <x v="1"/>
    <x v="3"/>
    <s v="Basic Furnishings 350"/>
    <x v="3"/>
    <n v="7"/>
    <n v="3852.07"/>
    <n v="0.2"/>
    <n v="21571.59"/>
    <n v="17118.07"/>
    <n v="4453.5200000000004"/>
    <s v="Paid"/>
    <x v="0"/>
    <s v="Unique"/>
    <m/>
    <s v="Clean"/>
    <s v="Invalid"/>
    <n v="0.2"/>
    <n v="21571.592000000004"/>
    <n v="4453.5220000000045"/>
    <n v="0.20645309813017063"/>
    <x v="5"/>
    <n v="2024"/>
    <s v="Clean"/>
  </r>
  <r>
    <x v="541"/>
    <s v="08-07-2025"/>
    <s v="2025-07-09"/>
    <s v="09-Jul-2025"/>
    <s v="08-Jul-2025"/>
    <n v="1"/>
    <s v="CUST-4188"/>
    <s v="Sneha Kapoor"/>
    <x v="0"/>
    <x v="3"/>
    <s v="Maharashtra"/>
    <s v="Mumbai"/>
    <x v="2"/>
    <x v="6"/>
    <s v="Elite Copiers 831"/>
    <x v="1"/>
    <n v="3"/>
    <n v="2880.56"/>
    <n v="0"/>
    <n v="8641.68"/>
    <n v="5747.09"/>
    <n v="2894.59"/>
    <s v="Paid"/>
    <x v="2"/>
    <s v="Unique"/>
    <m/>
    <s v="Clean"/>
    <s v="valid"/>
    <n v="0"/>
    <n v="8641.68"/>
    <n v="2894.59"/>
    <n v="0.33495686024013849"/>
    <x v="0"/>
    <n v="2025"/>
    <s v="Clean"/>
  </r>
  <r>
    <x v="542"/>
    <s v="09/17/2024"/>
    <s v="2024-09-23"/>
    <s v="23-Sep-2024"/>
    <s v="17-Sep-2024"/>
    <n v="6"/>
    <s v="CUST-9376"/>
    <s v="Rahul Verma"/>
    <x v="3"/>
    <x v="2"/>
    <s v="Kerala"/>
    <s v="Kochi"/>
    <x v="1"/>
    <x v="10"/>
    <s v="Eco Bookcases 759"/>
    <x v="0"/>
    <n v="3"/>
    <n v="4067.62"/>
    <n v="0.2"/>
    <n v="9988.5300000000007"/>
    <n v="8368.24"/>
    <n v="1394.05"/>
    <s v="Paid"/>
    <x v="1"/>
    <s v="Unique"/>
    <m/>
    <s v="Clean"/>
    <s v="valid"/>
    <n v="0.2"/>
    <n v="9762.2880000000005"/>
    <n v="1394.0480000000007"/>
    <n v="0.14279931098119628"/>
    <x v="6"/>
    <n v="2024"/>
    <s v="Warning"/>
  </r>
  <r>
    <x v="543"/>
    <s v="2024-07-14"/>
    <s v="20-07-2024"/>
    <s v="20-Jul-2024"/>
    <s v="14-Jul-2024"/>
    <n v="6"/>
    <s v="CUST-9094"/>
    <s v="Mira Das"/>
    <x v="0"/>
    <x v="1"/>
    <s v="Bihar"/>
    <s v="Patna"/>
    <x v="2"/>
    <x v="6"/>
    <s v="Max Copiers 440"/>
    <x v="1"/>
    <n v="1"/>
    <n v="492.67"/>
    <n v="0.15"/>
    <n v="418.77"/>
    <n v="313.72000000000003"/>
    <n v="105.05"/>
    <s v="Paid"/>
    <x v="0"/>
    <s v="Unique"/>
    <m/>
    <s v="Clean"/>
    <s v="valid"/>
    <n v="0.15"/>
    <n v="418.76949999999999"/>
    <n v="105.04949999999997"/>
    <n v="0.25085279610859906"/>
    <x v="0"/>
    <n v="2024"/>
    <s v="Clean"/>
  </r>
  <r>
    <x v="544"/>
    <s v="2025-01-29"/>
    <s v="02/05/2025"/>
    <s v="02-May-2025"/>
    <s v="29-Jan-2025"/>
    <n v="93"/>
    <s v="CUST-2366"/>
    <s v="Ananya Rao"/>
    <x v="0"/>
    <x v="2"/>
    <s v="Kerala"/>
    <s v="Kochi"/>
    <x v="0"/>
    <x v="2"/>
    <s v="Smart Art 201"/>
    <x v="1"/>
    <n v="8"/>
    <n v="3643.62"/>
    <n v="0.25"/>
    <n v="21861.72"/>
    <n v="18464.34"/>
    <n v="3397.38"/>
    <s v="Paid"/>
    <x v="1"/>
    <s v="Unique"/>
    <m/>
    <s v="Clean"/>
    <s v="valid"/>
    <n v="0.25"/>
    <n v="21861.72"/>
    <n v="3397.380000000001"/>
    <n v="0.1554031430280875"/>
    <x v="8"/>
    <n v="2025"/>
    <s v="Warning"/>
  </r>
  <r>
    <x v="545"/>
    <s v="05/27/2024"/>
    <s v="30 May 2024"/>
    <s v="30-May-2024"/>
    <s v="27-May-2024"/>
    <n v="3"/>
    <s v="CUST-7168"/>
    <s v="Kabir Singh"/>
    <x v="1"/>
    <x v="1"/>
    <s v="Jharkhand"/>
    <s v="Ranchi"/>
    <x v="0"/>
    <x v="8"/>
    <s v="Classic Storage 755"/>
    <x v="1"/>
    <n v="7"/>
    <n v="2900.86"/>
    <n v="0.15"/>
    <n v="17260.12"/>
    <n v="13513.51"/>
    <n v="3746.61"/>
    <s v="Paid"/>
    <x v="0"/>
    <s v="Unique"/>
    <m/>
    <s v="Clean"/>
    <s v="valid"/>
    <n v="0.15"/>
    <n v="17260.116999999998"/>
    <n v="3746.6069999999982"/>
    <n v="0.21706730029697935"/>
    <x v="3"/>
    <n v="2024"/>
    <s v="Clean"/>
  </r>
  <r>
    <x v="546"/>
    <s v="2025-08-14"/>
    <s v="22 Aug 2025"/>
    <s v="22-Aug-2025"/>
    <s v="14-Aug-2025"/>
    <n v="8"/>
    <s v="CUST-8157"/>
    <s v="Arjun Bose"/>
    <x v="2"/>
    <x v="3"/>
    <s v="Gujarat"/>
    <s v="Ahmedabad"/>
    <x v="0"/>
    <x v="0"/>
    <s v="Prime Paper 143"/>
    <x v="2"/>
    <n v="5"/>
    <n v="2567.37"/>
    <n v="0.15"/>
    <n v="10911.32"/>
    <n v="6966.44"/>
    <n v="4395.17"/>
    <s v="Paid"/>
    <x v="0"/>
    <s v="Unique"/>
    <m/>
    <s v="Clean"/>
    <s v="valid"/>
    <n v="0.15"/>
    <n v="10911.322499999998"/>
    <n v="3944.8824999999988"/>
    <n v="0.36154027158486052"/>
    <x v="1"/>
    <n v="2025"/>
    <s v="Clean"/>
  </r>
  <r>
    <x v="547"/>
    <s v="16 May 2024"/>
    <s v="23 May 2024"/>
    <s v="23-May-2024"/>
    <s v="16-May-2024"/>
    <n v="7"/>
    <s v="CUST-9146"/>
    <s v="Neha Gupta"/>
    <x v="1"/>
    <x v="0"/>
    <s v="Uttar Pradesh"/>
    <s v="Noida"/>
    <x v="2"/>
    <x v="6"/>
    <s v="Max Copiers 607"/>
    <x v="3"/>
    <n v="9"/>
    <n v="3722.09"/>
    <n v="0.1"/>
    <n v="30148.93"/>
    <n v="25155.07"/>
    <n v="4993.8599999999997"/>
    <s v="Paid"/>
    <x v="0"/>
    <s v="Unique"/>
    <m/>
    <s v="Clean"/>
    <s v="valid"/>
    <n v="0.1"/>
    <n v="30148.929"/>
    <n v="4993.8590000000004"/>
    <n v="0.16563968159532302"/>
    <x v="3"/>
    <n v="2024"/>
    <s v="Clean"/>
  </r>
  <r>
    <x v="548"/>
    <s v="29 May 2024"/>
    <s v="29-05-2024"/>
    <s v="29-May-2024"/>
    <s v="29-May-2024"/>
    <n v="0"/>
    <s v="CUST-5129"/>
    <s v="Rohan Mehta"/>
    <x v="2"/>
    <x v="1"/>
    <s v="Bihar"/>
    <s v="Patna"/>
    <x v="1"/>
    <x v="10"/>
    <s v="Prime Bookcases 402"/>
    <x v="1"/>
    <n v="1"/>
    <n v="1072.01"/>
    <n v="0"/>
    <n v="1072.01"/>
    <n v="852.62"/>
    <n v="219.39"/>
    <s v="Pending"/>
    <x v="1"/>
    <s v="Unique"/>
    <m/>
    <s v="Clean"/>
    <s v="valid"/>
    <n v="0"/>
    <n v="1072.01"/>
    <n v="219.39"/>
    <n v="0.20465294167032022"/>
    <x v="3"/>
    <n v="2024"/>
    <s v="Warning"/>
  </r>
  <r>
    <x v="549"/>
    <s v="10/11/2025"/>
    <s v="13 Oct 2025"/>
    <s v="13-Oct-2025"/>
    <s v="10-Nov-2025"/>
    <n v="-28"/>
    <s v="CUST-6028"/>
    <s v="Mira Das"/>
    <x v="2"/>
    <x v="2"/>
    <s v="Telangana"/>
    <s v="Hyderabad"/>
    <x v="0"/>
    <x v="2"/>
    <s v="Pro Art 287"/>
    <x v="0"/>
    <n v="3"/>
    <n v="3804.27"/>
    <n v="0.1"/>
    <n v="10271.530000000001"/>
    <n v="8272.24"/>
    <n v="1999.29"/>
    <s v="Paid"/>
    <x v="0"/>
    <s v="Unique"/>
    <m/>
    <s v="Clean"/>
    <s v="Invalid"/>
    <n v="0.1"/>
    <n v="10271.529"/>
    <n v="1999.2890000000007"/>
    <n v="0.19464375751652949"/>
    <x v="2"/>
    <n v="2025"/>
    <s v="Clean"/>
  </r>
  <r>
    <x v="550"/>
    <s v="02-08-2024"/>
    <s v="08/10/2024"/>
    <s v="08-Oct-2024"/>
    <s v="02-Aug-2024"/>
    <n v="67"/>
    <s v="CUST-8687"/>
    <s v="Mira Das"/>
    <x v="3"/>
    <x v="1"/>
    <s v="Odisha"/>
    <s v="Bhubaneswar"/>
    <x v="2"/>
    <x v="5"/>
    <s v="Max Accessories 591"/>
    <x v="3"/>
    <n v="6"/>
    <n v="2126.44"/>
    <n v="0.2"/>
    <n v="10206.91"/>
    <n v="6764.53"/>
    <n v="3442.38"/>
    <s v="Paid"/>
    <x v="0"/>
    <s v="Unique"/>
    <m/>
    <s v="Clean"/>
    <s v="valid"/>
    <n v="0.2"/>
    <n v="10206.912"/>
    <n v="3442.3820000000005"/>
    <n v="0.33725988820125036"/>
    <x v="1"/>
    <n v="2024"/>
    <s v="Clean"/>
  </r>
  <r>
    <x v="551"/>
    <s v="27-02-2024"/>
    <s v="2024-02-27"/>
    <s v="27-Feb-2024"/>
    <s v="27-Feb-2024"/>
    <n v="0"/>
    <s v="CUST-8172"/>
    <s v="Sneha Kapoor"/>
    <x v="0"/>
    <x v="1"/>
    <s v="Jharkhand"/>
    <s v="Ranchi"/>
    <x v="1"/>
    <x v="4"/>
    <s v="Elite Chairs 314"/>
    <x v="0"/>
    <n v="3"/>
    <n v="3148.09"/>
    <n v="0.15"/>
    <n v="8027.63"/>
    <n v="5496.09"/>
    <n v="2531.54"/>
    <s v="Paid"/>
    <x v="0"/>
    <s v="Unique"/>
    <m/>
    <s v="Clean"/>
    <s v="valid"/>
    <n v="0.15"/>
    <n v="8027.6295"/>
    <n v="2531.5394999999999"/>
    <n v="0.31535330572991688"/>
    <x v="5"/>
    <n v="2024"/>
    <s v="Clean"/>
  </r>
  <r>
    <x v="552"/>
    <s v="24-01-2025"/>
    <s v="30 Jan 2025"/>
    <s v="30-Jan-2025"/>
    <s v="24-Jan-2025"/>
    <n v="6"/>
    <s v="CUST-8861"/>
    <s v="Ananya Rao"/>
    <x v="2"/>
    <x v="1"/>
    <s v="West Bengal"/>
    <s v="Kolkata"/>
    <x v="2"/>
    <x v="6"/>
    <s v="Pro Copiers 246"/>
    <x v="3"/>
    <n v="8"/>
    <n v="312.52999999999997"/>
    <s v="70%"/>
    <n v="1875.18"/>
    <n v="1579.17"/>
    <n v="296.01"/>
    <s v="Paid"/>
    <x v="0"/>
    <s v="Unique"/>
    <m/>
    <s v="Invalid"/>
    <s v="valid"/>
    <n v="6.9999999999999993E-3"/>
    <n v="2482.7383199999999"/>
    <n v="903.56831999999986"/>
    <n v="0.36394021581783131"/>
    <x v="8"/>
    <n v="2025"/>
    <s v="Clean"/>
  </r>
  <r>
    <x v="553"/>
    <s v="04/25/2025"/>
    <s v="2025-04-28"/>
    <s v="28-Apr-2025"/>
    <s v="25-Apr-2025"/>
    <n v="3"/>
    <s v="CUST-9241"/>
    <s v="Aarav Sharma"/>
    <x v="1"/>
    <x v="3"/>
    <s v="Gujarat"/>
    <s v="Ahmedabad"/>
    <x v="0"/>
    <x v="8"/>
    <s v="Pro Storage 128"/>
    <x v="2"/>
    <n v="9"/>
    <n v="1294.1099999999999"/>
    <n v="0.25"/>
    <n v="8735.24"/>
    <n v="6620.07"/>
    <n v="2115.17"/>
    <s v="Paid"/>
    <x v="0"/>
    <s v="Unique"/>
    <m/>
    <s v="Clean"/>
    <s v="valid"/>
    <n v="0.25"/>
    <n v="8735.2425000000003"/>
    <n v="2115.1725000000006"/>
    <n v="0.24214239043735769"/>
    <x v="11"/>
    <n v="2025"/>
    <s v="Clean"/>
  </r>
  <r>
    <x v="554"/>
    <s v="2024-10-12"/>
    <s v="17 Oct 2024"/>
    <s v="17-Oct-2024"/>
    <s v="12-Oct-2024"/>
    <n v="5"/>
    <s v="CUST-2126"/>
    <s v="Arjun Bose"/>
    <x v="0"/>
    <x v="4"/>
    <s v="Jharkhand"/>
    <s v="Ranchi"/>
    <x v="1"/>
    <x v="3"/>
    <s v="Prime Furnishings 892"/>
    <x v="3"/>
    <n v="4"/>
    <n v="1071.22"/>
    <n v="0.05"/>
    <n v="4070.64"/>
    <n v="2831.62"/>
    <n v="1239.02"/>
    <s v="Paid"/>
    <x v="0"/>
    <s v="Unique"/>
    <m/>
    <s v="Clean"/>
    <s v="valid"/>
    <n v="0.05"/>
    <n v="4070.636"/>
    <n v="1239.0160000000001"/>
    <n v="0.30437897173807732"/>
    <x v="4"/>
    <n v="2024"/>
    <s v="Clean"/>
  </r>
  <r>
    <x v="555"/>
    <s v="04-02-2025"/>
    <s v="10 Feb 2025"/>
    <s v="10-Feb-2025"/>
    <s v="04-Feb-2025"/>
    <n v="6"/>
    <s v="CUST-7513"/>
    <s v="Ananya Rao"/>
    <x v="1"/>
    <x v="2"/>
    <s v="Telangana"/>
    <s v="Hyderabad"/>
    <x v="0"/>
    <x v="8"/>
    <s v="Prime Storage 689"/>
    <x v="3"/>
    <n v="6"/>
    <n v="1042.8"/>
    <n v="0.05"/>
    <n v="5943.96"/>
    <n v="3604.14"/>
    <n v="2339.8200000000002"/>
    <s v="Paid"/>
    <x v="0"/>
    <s v="Unique"/>
    <m/>
    <s v="Clean"/>
    <s v="valid"/>
    <n v="0.05"/>
    <n v="5943.9599999999991"/>
    <n v="2339.8199999999993"/>
    <n v="0.39364665980255581"/>
    <x v="5"/>
    <n v="2025"/>
    <s v="Clean"/>
  </r>
  <r>
    <x v="556"/>
    <s v="23 Jun 2024"/>
    <s v="2024-06-29"/>
    <s v="29-Jun-2024"/>
    <s v="23-Jun-2024"/>
    <n v="6"/>
    <s v="CUST-1992"/>
    <s v="Neha Gupta"/>
    <x v="0"/>
    <x v="0"/>
    <s v="Haryana"/>
    <s v="Gurugram"/>
    <x v="1"/>
    <x v="1"/>
    <s v="Classic Tables 769"/>
    <x v="2"/>
    <n v="1"/>
    <n v="4426.66"/>
    <n v="0"/>
    <n v="4426.66"/>
    <n v="3035.2"/>
    <n v="1816.23"/>
    <s v="Paid"/>
    <x v="2"/>
    <s v="Unique"/>
    <m/>
    <s v="Clean"/>
    <s v="valid"/>
    <n v="0"/>
    <n v="4426.66"/>
    <n v="1391.46"/>
    <n v="0.31433631677156143"/>
    <x v="10"/>
    <n v="2024"/>
    <s v="Clean"/>
  </r>
  <r>
    <x v="557"/>
    <s v="2024-05-08"/>
    <s v="14-05-2024"/>
    <s v="14-May-2024"/>
    <s v="08-May-2024"/>
    <n v="6"/>
    <s v="CUST-8848"/>
    <s v="Vikram Iyer"/>
    <x v="3"/>
    <x v="0"/>
    <s v="Haryana"/>
    <s v="Gurugram"/>
    <x v="2"/>
    <x v="11"/>
    <s v="Prime Phones 503"/>
    <x v="2"/>
    <n v="9"/>
    <n v="3769.46"/>
    <n v="0.05"/>
    <n v="32228.880000000001"/>
    <n v="24971.360000000001"/>
    <n v="7257.52"/>
    <s v="Paid"/>
    <x v="1"/>
    <s v="Unique"/>
    <m/>
    <s v="Clean"/>
    <s v="valid"/>
    <n v="0.05"/>
    <n v="32228.882999999998"/>
    <n v="7257.5229999999974"/>
    <n v="0.22518692317074712"/>
    <x v="3"/>
    <n v="2024"/>
    <s v="Warning"/>
  </r>
  <r>
    <x v="558"/>
    <s v="2025-09-04"/>
    <s v="09/04/2025"/>
    <s v="09-Apr-2025"/>
    <s v="04-Sep-2025"/>
    <n v="-148"/>
    <s v="CUST-9368"/>
    <s v="Aditi Sen"/>
    <x v="2"/>
    <x v="0"/>
    <s v="Punjab"/>
    <s v="Ludhiana"/>
    <x v="2"/>
    <x v="12"/>
    <s v="Basic Machines 136"/>
    <x v="2"/>
    <n v="8"/>
    <n v="3079.95"/>
    <n v="0.2"/>
    <n v="19711.68"/>
    <n v="14461.8"/>
    <n v="5249.88"/>
    <s v="Paid"/>
    <x v="0"/>
    <s v="Unique"/>
    <m/>
    <s v="Clean"/>
    <s v="Invalid"/>
    <n v="0.2"/>
    <n v="19711.68"/>
    <n v="5249.880000000001"/>
    <n v="0.26633346320557155"/>
    <x v="6"/>
    <n v="2025"/>
    <s v="Clean"/>
  </r>
  <r>
    <x v="559"/>
    <s v="30 Sep 2025"/>
    <s v="2025-10-07"/>
    <s v="07-Oct-2025"/>
    <s v="30-Sep-2025"/>
    <n v="7"/>
    <s v="CUST-6797"/>
    <s v="Diya Patel"/>
    <x v="2"/>
    <x v="1"/>
    <s v="Bihar"/>
    <s v="Patna"/>
    <x v="2"/>
    <x v="6"/>
    <s v="Basic Copiers 512"/>
    <x v="0"/>
    <n v="5"/>
    <n v="3277.82"/>
    <n v="0.1"/>
    <n v="14750.19"/>
    <n v="9482.58"/>
    <n v="5267.61"/>
    <s v="Paid"/>
    <x v="2"/>
    <s v="Unique"/>
    <m/>
    <s v="Clean"/>
    <s v="valid"/>
    <n v="0.1"/>
    <n v="14750.190000000002"/>
    <n v="5267.6100000000024"/>
    <n v="0.35712150148574368"/>
    <x v="6"/>
    <n v="2025"/>
    <s v="Clean"/>
  </r>
  <r>
    <x v="560"/>
    <s v="2024-01-16"/>
    <s v="22-01-2024"/>
    <s v="22-Jan-2024"/>
    <s v="16-Jan-2024"/>
    <n v="6"/>
    <s v="CUST-9333"/>
    <s v="Arjun Bose"/>
    <x v="0"/>
    <x v="3"/>
    <s v="Goa"/>
    <s v="Panaji"/>
    <x v="0"/>
    <x v="8"/>
    <s v="Smart Storage 767"/>
    <x v="3"/>
    <n v="4"/>
    <n v="282.52999999999997"/>
    <n v="0"/>
    <n v="1130.1199999999999"/>
    <n v="848.62"/>
    <n v="281.5"/>
    <s v="Paid"/>
    <x v="1"/>
    <s v="Unique"/>
    <m/>
    <s v="Clean"/>
    <s v="valid"/>
    <n v="0"/>
    <n v="1130.1199999999999"/>
    <n v="281.49999999999989"/>
    <n v="0.249088592361873"/>
    <x v="8"/>
    <n v="2024"/>
    <s v="Warning"/>
  </r>
  <r>
    <x v="561"/>
    <s v="2025-07-14"/>
    <s v="18 Jul 2025"/>
    <s v="18-Jul-2025"/>
    <s v="14-Jul-2025"/>
    <n v="4"/>
    <s v="CUST-6654"/>
    <s v="Aditi Sen"/>
    <x v="0"/>
    <x v="0"/>
    <s v="Punjab"/>
    <s v="Ludhiana"/>
    <x v="2"/>
    <x v="6"/>
    <s v="Eco Copiers 954"/>
    <x v="2"/>
    <n v="4"/>
    <n v="725.22"/>
    <n v="0"/>
    <n v="2900.88"/>
    <n v="2391.85"/>
    <n v="509.03"/>
    <s v="Pending"/>
    <x v="2"/>
    <s v="Unique"/>
    <m/>
    <s v="Clean"/>
    <s v="valid"/>
    <n v="0"/>
    <n v="2900.88"/>
    <n v="509.0300000000002"/>
    <n v="0.17547433882132324"/>
    <x v="0"/>
    <n v="2025"/>
    <s v="Clean"/>
  </r>
  <r>
    <x v="562"/>
    <s v="10 May 2024"/>
    <s v="16 May 2024"/>
    <s v="16-May-2024"/>
    <s v="10-May-2024"/>
    <n v="6"/>
    <s v="CUST-8622"/>
    <s v="Karan Malhotra"/>
    <x v="0"/>
    <x v="0"/>
    <s v="Punjab"/>
    <s v="Ludhiana"/>
    <x v="0"/>
    <x v="9"/>
    <s v="Elite Binders 143"/>
    <x v="1"/>
    <n v="7"/>
    <n v="121.54"/>
    <n v="0.2"/>
    <n v="680.62"/>
    <n v="463.49"/>
    <n v="217.13"/>
    <s v="Failed"/>
    <x v="2"/>
    <s v="Unique"/>
    <m/>
    <s v="Clean"/>
    <s v="valid"/>
    <n v="0.2"/>
    <n v="680.62400000000014"/>
    <n v="217.13400000000013"/>
    <n v="0.31902195632243363"/>
    <x v="3"/>
    <n v="2024"/>
    <s v="Warning"/>
  </r>
  <r>
    <x v="563"/>
    <s v="05/06/2024"/>
    <s v="12-05-2024"/>
    <s v="12-May-2024"/>
    <s v="05-Jun-2024"/>
    <n v="-24"/>
    <s v="CUST-8776"/>
    <s v="Arjun Bose"/>
    <x v="2"/>
    <x v="3"/>
    <s v="Goa"/>
    <s v="Panaji"/>
    <x v="1"/>
    <x v="1"/>
    <s v="Classic Tables 560"/>
    <x v="3"/>
    <n v="9"/>
    <n v="790.97"/>
    <n v="0.2"/>
    <n v="5694.98"/>
    <n v="4618.33"/>
    <n v="1076.6500000000001"/>
    <s v="Pending"/>
    <x v="1"/>
    <s v="Unique"/>
    <m/>
    <s v="Clean"/>
    <s v="Invalid"/>
    <n v="0.2"/>
    <n v="5694.9840000000004"/>
    <n v="1076.6540000000005"/>
    <n v="0.1890530333360024"/>
    <x v="10"/>
    <n v="2024"/>
    <s v="Warning"/>
  </r>
  <r>
    <x v="564"/>
    <s v="11/10/2024"/>
    <s v="14-11-2024"/>
    <s v="14-Nov-2024"/>
    <s v="11-Oct-2024"/>
    <n v="34"/>
    <s v="CUST-9100"/>
    <s v="Sneha Kapoor"/>
    <x v="2"/>
    <x v="2"/>
    <s v="Andhra Pradesh"/>
    <s v="Vijayawada"/>
    <x v="1"/>
    <x v="1"/>
    <s v="Basic Tables 759"/>
    <x v="2"/>
    <n v="2"/>
    <n v="921.34"/>
    <n v="0.2"/>
    <n v="1474.14"/>
    <n v="968.46"/>
    <n v="505.68"/>
    <s v="Paid"/>
    <x v="0"/>
    <s v="Unique"/>
    <m/>
    <s v="Clean"/>
    <s v="valid"/>
    <n v="0.2"/>
    <n v="1474.1440000000002"/>
    <n v="505.6840000000002"/>
    <n v="0.34303568715132315"/>
    <x v="4"/>
    <n v="2024"/>
    <s v="Clean"/>
  </r>
  <r>
    <x v="565"/>
    <s v="07 Aug 2025"/>
    <s v="13-08-2025"/>
    <s v="13-Aug-2025"/>
    <s v="07-Aug-2025"/>
    <n v="6"/>
    <s v="CUST-5601"/>
    <s v="Mira Das"/>
    <x v="2"/>
    <x v="0"/>
    <s v="Delhi"/>
    <s v="New Delhi"/>
    <x v="2"/>
    <x v="11"/>
    <s v="Prime Phones 564"/>
    <x v="3"/>
    <n v="6"/>
    <n v="1921.86"/>
    <n v="0.2"/>
    <n v="9224.93"/>
    <n v="7005.2"/>
    <n v="2219.73"/>
    <s v="Refunded"/>
    <x v="1"/>
    <s v="Unique"/>
    <m/>
    <s v="Clean"/>
    <s v="valid"/>
    <n v="0.2"/>
    <n v="9224.9279999999999"/>
    <n v="2219.7280000000001"/>
    <n v="0.24062279944081949"/>
    <x v="1"/>
    <n v="2025"/>
    <s v="Warning"/>
  </r>
  <r>
    <x v="566"/>
    <s v="11 Aug 2024"/>
    <s v="2024-08-19"/>
    <s v="19-Aug-2024"/>
    <s v="11-Aug-2024"/>
    <n v="8"/>
    <s v="CUST-5246"/>
    <s v="Sneha Kapoor"/>
    <x v="1"/>
    <x v="3"/>
    <s v="Maharashtra"/>
    <s v="Mumbai"/>
    <x v="0"/>
    <x v="0"/>
    <s v="Smart Paper 807"/>
    <x v="1"/>
    <n v="2"/>
    <n v="2617.89"/>
    <n v="0.1"/>
    <n v="4712.2"/>
    <n v="3851.91"/>
    <n v="860.29"/>
    <s v="Failed"/>
    <x v="2"/>
    <s v="Unique"/>
    <m/>
    <s v="Clean"/>
    <s v="valid"/>
    <n v="0.1"/>
    <n v="4712.2020000000002"/>
    <n v="860.29200000000037"/>
    <n v="0.18256687637754077"/>
    <x v="1"/>
    <n v="2024"/>
    <s v="Warning"/>
  </r>
  <r>
    <x v="567"/>
    <s v="06 Feb 2024"/>
    <s v="10-02-2024"/>
    <s v="10-Feb-2024"/>
    <s v="06-Feb-2024"/>
    <n v="4"/>
    <s v="CUST-3128"/>
    <s v="Arjun Bose"/>
    <x v="3"/>
    <x v="0"/>
    <s v="Uttar Pradesh"/>
    <s v="Noida"/>
    <x v="1"/>
    <x v="3"/>
    <s v="Pro Furnishings 108"/>
    <x v="1"/>
    <n v="1"/>
    <n v="1374.06"/>
    <n v="0.05"/>
    <n v="1305.3599999999999"/>
    <n v="731.89"/>
    <n v="573.47"/>
    <s v="Paid"/>
    <x v="0"/>
    <s v="Unique"/>
    <m/>
    <s v="Clean"/>
    <s v="valid"/>
    <n v="0.05"/>
    <n v="1305.357"/>
    <n v="573.46699999999998"/>
    <n v="0.4393181328939133"/>
    <x v="5"/>
    <n v="2024"/>
    <s v="Clean"/>
  </r>
  <r>
    <x v="568"/>
    <s v="21 Jan 2024"/>
    <s v="24 Jan 2024"/>
    <s v="24-Jan-2024"/>
    <s v="21-Jan-2024"/>
    <n v="3"/>
    <s v="CUST-4604"/>
    <s v="Kabir Singh"/>
    <x v="2"/>
    <x v="0"/>
    <s v="Punjab"/>
    <s v="Ludhiana"/>
    <x v="2"/>
    <x v="12"/>
    <s v="Classic Machines 522"/>
    <x v="1"/>
    <n v="1"/>
    <n v="3806.3"/>
    <n v="0.25"/>
    <n v="2854.73"/>
    <n v="1968.12"/>
    <n v="886.61"/>
    <s v="Paid"/>
    <x v="0"/>
    <s v="Unique"/>
    <m/>
    <s v="Clean"/>
    <s v="valid"/>
    <n v="0.25"/>
    <n v="2854.7250000000004"/>
    <n v="886.60500000000047"/>
    <n v="0.31057457373302172"/>
    <x v="8"/>
    <n v="2024"/>
    <s v="Clean"/>
  </r>
  <r>
    <x v="569"/>
    <s v="09/08/2025"/>
    <s v="2025-09-10"/>
    <s v="10-Sep-2025"/>
    <s v="09-Aug-2025"/>
    <n v="32"/>
    <s v="CUST-2586"/>
    <s v="Rahul Verma"/>
    <x v="3"/>
    <x v="3"/>
    <s v="Maharashtra"/>
    <s v="Mumbai"/>
    <x v="1"/>
    <x v="3"/>
    <s v="Elite Furnishings 822"/>
    <x v="3"/>
    <n v="6"/>
    <n v="3251.17"/>
    <n v="0.25"/>
    <n v="14630.26"/>
    <n v="11906.36"/>
    <n v="2723.9"/>
    <s v="Refunded"/>
    <x v="2"/>
    <s v="Unique"/>
    <m/>
    <s v="Clean"/>
    <s v="valid"/>
    <n v="0.25"/>
    <n v="14630.264999999999"/>
    <n v="2723.9049999999988"/>
    <n v="0.18618288868998606"/>
    <x v="1"/>
    <n v="2025"/>
    <s v="Clean"/>
  </r>
  <r>
    <x v="570"/>
    <s v="2025-08-18"/>
    <s v="08/22/2025"/>
    <s v="22-Aug-2025"/>
    <s v="18-Aug-2025"/>
    <n v="4"/>
    <s v="CUST-6585"/>
    <s v="Arjun Bose"/>
    <x v="0"/>
    <x v="1"/>
    <s v="Jharkhand"/>
    <s v="Ranchi"/>
    <x v="1"/>
    <x v="3"/>
    <s v="Max Furnishings 647"/>
    <x v="0"/>
    <n v="3"/>
    <n v="3946.44"/>
    <n v="0.25"/>
    <n v="8879.49"/>
    <n v="6344.57"/>
    <n v="2534.92"/>
    <s v="Failed"/>
    <x v="2"/>
    <s v="Unique"/>
    <m/>
    <s v="Clean"/>
    <s v="valid"/>
    <n v="0.25"/>
    <n v="8879.49"/>
    <n v="2534.92"/>
    <n v="0.28548035979543873"/>
    <x v="1"/>
    <n v="2025"/>
    <s v="Warning"/>
  </r>
  <r>
    <x v="571"/>
    <s v="10 Feb 2025"/>
    <s v="2025-02-14"/>
    <s v="14-Feb-2025"/>
    <s v="10-Feb-2025"/>
    <n v="4"/>
    <s v="CUST-3425"/>
    <s v="Priya Menon"/>
    <x v="1"/>
    <x v="0"/>
    <s v="Uttar Pradesh"/>
    <s v="Noida"/>
    <x v="2"/>
    <x v="11"/>
    <s v="Prime Phones 895"/>
    <x v="4"/>
    <n v="5"/>
    <n v="4276.29"/>
    <n v="0"/>
    <n v="21381.45"/>
    <n v="13240.21"/>
    <n v="8141.24"/>
    <s v="Failed"/>
    <x v="2"/>
    <s v="Duplicate Order ID"/>
    <s v="FLAG FOR REVIEW"/>
    <s v="Clean"/>
    <s v="valid"/>
    <n v="0"/>
    <n v="21381.45"/>
    <n v="8141.2400000000016"/>
    <n v="0.38076182859441249"/>
    <x v="5"/>
    <n v="2025"/>
    <s v="Warning"/>
  </r>
  <r>
    <x v="572"/>
    <s v="01/02/2024"/>
    <s v="09-01-2024"/>
    <s v="09-Jan-2024"/>
    <s v="01-Feb-2024"/>
    <n v="-23"/>
    <s v="CUST-8633"/>
    <s v="  Diya Patel "/>
    <x v="2"/>
    <x v="0"/>
    <s v="Delhi"/>
    <s v="New Delhi"/>
    <x v="2"/>
    <x v="11"/>
    <s v="Eco Phones 368"/>
    <x v="3"/>
    <n v="3"/>
    <n v="739.56"/>
    <n v="0.2"/>
    <n v="1774.94"/>
    <n v="1007.4"/>
    <n v="767.54"/>
    <s v="Paid"/>
    <x v="0"/>
    <s v="Unique"/>
    <m/>
    <s v="Clean"/>
    <s v="Invalid"/>
    <n v="0.2"/>
    <n v="1774.944"/>
    <n v="767.54399999999998"/>
    <n v="0.43243279787982042"/>
    <x v="5"/>
    <n v="2024"/>
    <s v="Clean"/>
  </r>
  <r>
    <x v="573"/>
    <s v="09/22/2025"/>
    <s v="09/26/2025"/>
    <s v="26-Sep-2025"/>
    <s v="22-Sep-2025"/>
    <n v="4"/>
    <s v="CUST-8243"/>
    <s v="Isha Nair"/>
    <x v="0"/>
    <x v="2"/>
    <s v="Andhra Pradesh"/>
    <s v="Vijayawada"/>
    <x v="2"/>
    <x v="11"/>
    <s v="Pro Phones 644"/>
    <x v="3"/>
    <n v="1"/>
    <n v="573.65"/>
    <n v="0"/>
    <n v="573.65"/>
    <n v="322.67"/>
    <n v="250.98"/>
    <s v="Paid"/>
    <x v="0"/>
    <s v="Unique"/>
    <m/>
    <s v="Clean"/>
    <s v="valid"/>
    <n v="0"/>
    <n v="573.65"/>
    <n v="250.97999999999996"/>
    <n v="0.43751416368866031"/>
    <x v="6"/>
    <n v="2025"/>
    <s v="Clean"/>
  </r>
  <r>
    <x v="574"/>
    <s v="20 Feb 2024"/>
    <s v="25-02-2024"/>
    <s v="25-Feb-2024"/>
    <s v="20-Feb-2024"/>
    <n v="5"/>
    <s v="CUST-9139"/>
    <s v="Diya Patel"/>
    <x v="3"/>
    <x v="0"/>
    <s v="Punjab"/>
    <s v="Ludhiana"/>
    <x v="2"/>
    <x v="12"/>
    <s v="Smart Machines 566"/>
    <x v="3"/>
    <n v="4"/>
    <n v="1355.8"/>
    <n v="0"/>
    <n v="5423.2"/>
    <n v="4072.44"/>
    <n v="1350.76"/>
    <s v="Paid"/>
    <x v="0"/>
    <s v="Unique"/>
    <m/>
    <s v="Clean"/>
    <s v="valid"/>
    <n v="0"/>
    <n v="5423.2"/>
    <n v="1350.7599999999998"/>
    <n v="0.24907065938929043"/>
    <x v="5"/>
    <n v="2024"/>
    <s v="Clean"/>
  </r>
  <r>
    <x v="575"/>
    <s v="11 Mar 2025"/>
    <s v="14 Mar 2025"/>
    <s v="14-Mar-2025"/>
    <s v="11-Mar-2025"/>
    <n v="3"/>
    <s v="CUST-5496"/>
    <s v="Sneha Kapoor"/>
    <x v="3"/>
    <x v="2"/>
    <s v="Kerala"/>
    <s v="Kochi"/>
    <x v="1"/>
    <x v="3"/>
    <s v="Elite Furnishings 173"/>
    <x v="1"/>
    <n v="4"/>
    <n v="1244.82"/>
    <n v="0.2"/>
    <n v="3983.42"/>
    <n v="3174.91"/>
    <n v="808.51"/>
    <s v="Failed"/>
    <x v="2"/>
    <s v="Unique"/>
    <m/>
    <s v="Clean"/>
    <s v="valid"/>
    <n v="0.2"/>
    <n v="3983.424"/>
    <n v="808.51400000000012"/>
    <n v="0.2029696060474607"/>
    <x v="9"/>
    <n v="2025"/>
    <s v="Warning"/>
  </r>
  <r>
    <x v="576"/>
    <s v="17-02-2024"/>
    <s v="02/23/2024"/>
    <s v="23-Feb-2024"/>
    <s v="17-Feb-2024"/>
    <n v="6"/>
    <s v="CUST-2228"/>
    <s v="Rohan Mehta"/>
    <x v="3"/>
    <x v="4"/>
    <s v="Bihar"/>
    <s v="Patna"/>
    <x v="0"/>
    <x v="9"/>
    <s v="Smart Binders 417"/>
    <x v="3"/>
    <n v="9"/>
    <n v="2614.46"/>
    <n v="0"/>
    <n v="23530.14"/>
    <n v="19537.79"/>
    <n v="3992.35"/>
    <s v="Refunded"/>
    <x v="2"/>
    <s v="Unique"/>
    <m/>
    <s v="Clean"/>
    <s v="valid"/>
    <n v="0"/>
    <n v="23530.14"/>
    <n v="3992.3499999999985"/>
    <n v="0.16966962372514566"/>
    <x v="5"/>
    <n v="2024"/>
    <s v="Clean"/>
  </r>
  <r>
    <x v="577"/>
    <s v="08/28/2025"/>
    <s v="2025-09-03"/>
    <s v="03-Sep-2025"/>
    <s v="28-Aug-2025"/>
    <n v="6"/>
    <s v="CUST-4151"/>
    <s v="Priya Menon"/>
    <x v="2"/>
    <x v="3"/>
    <s v="Madhya Pradesh"/>
    <s v="Indore"/>
    <x v="1"/>
    <x v="3"/>
    <s v="Smart Furnishings 714"/>
    <x v="3"/>
    <n v="7"/>
    <n v="268.45"/>
    <n v="0"/>
    <n v="1879.15"/>
    <n v="1134.9000000000001"/>
    <n v="744.25"/>
    <s v="Paid"/>
    <x v="0"/>
    <s v="Unique"/>
    <m/>
    <s v="Clean"/>
    <s v="valid"/>
    <n v="0"/>
    <n v="1879.1499999999999"/>
    <n v="744.24999999999977"/>
    <n v="0.39605672777585599"/>
    <x v="1"/>
    <n v="2025"/>
    <s v="Clean"/>
  </r>
  <r>
    <x v="578"/>
    <s v="2024-02-21"/>
    <s v="23-02-2024"/>
    <s v="23-Feb-2024"/>
    <s v="21-Feb-2024"/>
    <n v="2"/>
    <s v="CUST-4900"/>
    <s v="Neha Gupta"/>
    <x v="1"/>
    <x v="3"/>
    <s v="Gujarat"/>
    <s v="Ahmedabad"/>
    <x v="2"/>
    <x v="6"/>
    <s v="Elite Copiers 682"/>
    <x v="2"/>
    <n v="6"/>
    <n v="2633.65"/>
    <n v="0.05"/>
    <n v="15011.81"/>
    <n v="9660.36"/>
    <n v="5351.45"/>
    <s v="Paid"/>
    <x v="0"/>
    <s v="Unique"/>
    <m/>
    <s v="Clean"/>
    <s v="valid"/>
    <n v="0.05"/>
    <n v="15011.805"/>
    <n v="5351.4449999999997"/>
    <n v="0.35648244831317749"/>
    <x v="5"/>
    <n v="2024"/>
    <s v="Clean"/>
  </r>
  <r>
    <x v="579"/>
    <s v="19-06-2024"/>
    <s v="24 Jun 2024"/>
    <s v="24-Jun-2024"/>
    <s v="19-Jun-2024"/>
    <n v="5"/>
    <s v="CUST-9617"/>
    <s v="Aarav Sharma"/>
    <x v="1"/>
    <x v="2"/>
    <s v="Tamil Nadu"/>
    <s v="Chennai"/>
    <x v="0"/>
    <x v="8"/>
    <s v="Pro Storage 482"/>
    <x v="1"/>
    <n v="1"/>
    <n v="3202.41"/>
    <n v="0"/>
    <n v="3202.41"/>
    <n v="2608.44"/>
    <n v="593.97"/>
    <s v="Paid"/>
    <x v="0"/>
    <s v="Unique"/>
    <m/>
    <s v="Clean"/>
    <s v="valid"/>
    <n v="0"/>
    <n v="3202.41"/>
    <n v="593.9699999999998"/>
    <n v="0.18547593843386695"/>
    <x v="10"/>
    <n v="2024"/>
    <s v="Clean"/>
  </r>
  <r>
    <x v="580"/>
    <s v="06-03-2025"/>
    <s v="03/13/2025"/>
    <s v="13-Mar-2025"/>
    <s v="06-Mar-2025"/>
    <n v="7"/>
    <s v="CUST-7958"/>
    <s v="Kabir Singh"/>
    <x v="0"/>
    <x v="2"/>
    <s v="Kerala"/>
    <s v="Kochi"/>
    <x v="1"/>
    <x v="4"/>
    <s v="Pro Chairs 888"/>
    <x v="3"/>
    <n v="3"/>
    <n v="163.72"/>
    <n v="0.15"/>
    <n v="417.49"/>
    <n v="261.67"/>
    <n v="155.82"/>
    <s v="Failed"/>
    <x v="2"/>
    <s v="Unique"/>
    <m/>
    <s v="Clean"/>
    <s v="valid"/>
    <n v="0.15"/>
    <n v="417.48599999999999"/>
    <n v="155.81599999999997"/>
    <n v="0.37322449136018926"/>
    <x v="9"/>
    <n v="2025"/>
    <s v="Warning"/>
  </r>
  <r>
    <x v="581"/>
    <s v="2025-08-09"/>
    <s v="08/10/2025"/>
    <s v="08-Oct-2025"/>
    <s v="09-Aug-2025"/>
    <n v="60"/>
    <s v="CUST-9931"/>
    <s v="Neha Gupta"/>
    <x v="0"/>
    <x v="0"/>
    <s v="Delhi"/>
    <s v="New Delhi"/>
    <x v="0"/>
    <x v="2"/>
    <s v="Classic Art 611"/>
    <x v="0"/>
    <n v="4"/>
    <n v="4080.95"/>
    <n v="0"/>
    <n v="16323.8"/>
    <n v="9965.7900000000009"/>
    <n v="6358.01"/>
    <s v="Refunded"/>
    <x v="2"/>
    <s v="Unique"/>
    <m/>
    <s v="Clean"/>
    <s v="valid"/>
    <n v="0"/>
    <n v="16323.8"/>
    <n v="6358.0099999999984"/>
    <n v="0.38949325524693995"/>
    <x v="1"/>
    <n v="2025"/>
    <s v="Clean"/>
  </r>
  <r>
    <x v="582"/>
    <s v="2024-10-15"/>
    <s v="10/20/2024"/>
    <s v="20-Oct-2024"/>
    <s v="15-Oct-2024"/>
    <n v="5"/>
    <s v="CUST-2088"/>
    <s v="Ananya Rao"/>
    <x v="0"/>
    <x v="1"/>
    <s v="Odisha"/>
    <s v="Bhubaneswar"/>
    <x v="0"/>
    <x v="2"/>
    <s v="Basic Art 174"/>
    <x v="2"/>
    <n v="5"/>
    <n v="671.24"/>
    <n v="0"/>
    <n v="3356.2"/>
    <n v="2205.7199999999998"/>
    <n v="1150.48"/>
    <s v="Pending"/>
    <x v="2"/>
    <s v="Unique"/>
    <m/>
    <s v="Clean"/>
    <s v="valid"/>
    <n v="0"/>
    <n v="3356.2"/>
    <n v="1150.48"/>
    <n v="0.34279244383528995"/>
    <x v="4"/>
    <n v="2024"/>
    <s v="Clean"/>
  </r>
  <r>
    <x v="583"/>
    <s v="28 Feb 2024"/>
    <s v="02/28/2024"/>
    <s v="28-Feb-2024"/>
    <s v="28-Feb-2024"/>
    <n v="0"/>
    <s v="CUST-1686"/>
    <s v="Rohan Mehta"/>
    <x v="1"/>
    <x v="1"/>
    <s v="West Bengal"/>
    <s v="Kolkata"/>
    <x v="0"/>
    <x v="8"/>
    <s v="Classic Storage 451"/>
    <x v="2"/>
    <n v="1"/>
    <n v="2626.84"/>
    <n v="0.2"/>
    <n v="2101.4699999999998"/>
    <n v="1217.83"/>
    <n v="883.64"/>
    <s v="Failed"/>
    <x v="2"/>
    <s v="Unique"/>
    <m/>
    <s v="Clean"/>
    <s v="valid"/>
    <n v="0.2"/>
    <n v="2101.4720000000002"/>
    <n v="883.64200000000028"/>
    <n v="0.42048716328364127"/>
    <x v="5"/>
    <n v="2024"/>
    <s v="Warning"/>
  </r>
  <r>
    <x v="584"/>
    <s v="08/04/2024"/>
    <s v="10-08-2024"/>
    <s v="10-Aug-2024"/>
    <s v="08-Apr-2024"/>
    <n v="124"/>
    <s v="CUST-4894"/>
    <s v="Vikram Iyer"/>
    <x v="0"/>
    <x v="1"/>
    <s v="Bihar"/>
    <s v="Patna"/>
    <x v="0"/>
    <x v="2"/>
    <s v="Pro Art 172"/>
    <x v="1"/>
    <n v="1"/>
    <n v="984.93"/>
    <n v="0.15"/>
    <n v="837.19"/>
    <n v="583.79"/>
    <n v="253.4"/>
    <s v="Pending"/>
    <x v="2"/>
    <s v="Unique"/>
    <m/>
    <s v="Clean"/>
    <s v="valid"/>
    <n v="0.15"/>
    <n v="837.19049999999993"/>
    <n v="253.40049999999997"/>
    <n v="0.30267961712417901"/>
    <x v="11"/>
    <n v="2024"/>
    <s v="Clean"/>
  </r>
  <r>
    <x v="585"/>
    <s v="22 Jun 2025"/>
    <s v="2025-06-25"/>
    <s v="25-Jun-2025"/>
    <s v="22-Jun-2025"/>
    <n v="3"/>
    <s v="CUST-5201"/>
    <s v="Diya Patel"/>
    <x v="1"/>
    <x v="3"/>
    <s v="Maharashtra"/>
    <s v="Mumbai"/>
    <x v="2"/>
    <x v="11"/>
    <s v="Prime Phones 744"/>
    <x v="2"/>
    <n v="8"/>
    <n v="3453.66"/>
    <n v="0"/>
    <n v="27629.279999999999"/>
    <n v="22026.48"/>
    <n v="5602.8"/>
    <s v="Paid"/>
    <x v="0"/>
    <s v="Unique"/>
    <m/>
    <s v="Clean"/>
    <s v="valid"/>
    <n v="0"/>
    <n v="27629.279999999999"/>
    <n v="5602.7999999999993"/>
    <n v="0.20278487170132553"/>
    <x v="10"/>
    <n v="2025"/>
    <s v="Clean"/>
  </r>
  <r>
    <x v="586"/>
    <s v="12-04-2025"/>
    <s v="12 Apr 2025"/>
    <s v="12-Apr-2025"/>
    <s v="12-Apr-2025"/>
    <n v="0"/>
    <s v="CUST-8626"/>
    <s v="Mira Das"/>
    <x v="3"/>
    <x v="0"/>
    <s v="Punjab"/>
    <s v="Ludhiana"/>
    <x v="0"/>
    <x v="9"/>
    <s v="Prime Binders 249"/>
    <x v="0"/>
    <n v="7"/>
    <n v="1334.2"/>
    <n v="0.2"/>
    <n v="7471.52"/>
    <n v="6184.32"/>
    <n v="1287.2"/>
    <s v="Paid"/>
    <x v="0"/>
    <s v="Unique"/>
    <m/>
    <s v="Clean"/>
    <s v="valid"/>
    <n v="0.2"/>
    <n v="7471.52"/>
    <n v="1287.2000000000007"/>
    <n v="0.17228087457438387"/>
    <x v="11"/>
    <n v="2025"/>
    <s v="Clean"/>
  </r>
  <r>
    <x v="587"/>
    <s v="23-07-2025"/>
    <s v="2025-07-31"/>
    <s v="31-Jul-2025"/>
    <s v="23-Jul-2025"/>
    <n v="8"/>
    <s v="CUST-1013"/>
    <s v="Kabir Singh"/>
    <x v="3"/>
    <x v="3"/>
    <s v="Madhya Pradesh"/>
    <s v="Indore"/>
    <x v="2"/>
    <x v="5"/>
    <s v="Eco Accessories 948"/>
    <x v="2"/>
    <n v="1"/>
    <n v="4253.84"/>
    <n v="0.15"/>
    <n v="3615.76"/>
    <n v="2951.52"/>
    <n v="664.24"/>
    <s v="Refunded"/>
    <x v="1"/>
    <s v="Unique"/>
    <m/>
    <s v="Clean"/>
    <s v="valid"/>
    <n v="0.15"/>
    <n v="3615.7640000000001"/>
    <n v="664.24400000000014"/>
    <n v="0.18370778623826114"/>
    <x v="0"/>
    <n v="2025"/>
    <s v="Warning"/>
  </r>
  <r>
    <x v="588"/>
    <s v="2025-03-11"/>
    <s v="15 Mar 2025"/>
    <s v="15-Mar-2025"/>
    <s v="11-Mar-2025"/>
    <n v="4"/>
    <s v="CUST-3601"/>
    <s v="Aarav Sharma"/>
    <x v="3"/>
    <x v="2"/>
    <s v="Karnataka"/>
    <s v="Bengaluru"/>
    <x v="2"/>
    <x v="5"/>
    <s v="Classic Accessories 458"/>
    <x v="0"/>
    <n v="8"/>
    <n v="4446.3599999999997"/>
    <n v="0.1"/>
    <n v="32013.79"/>
    <n v="20896.88"/>
    <n v="11116.91"/>
    <s v="Refunded"/>
    <x v="1"/>
    <s v="Unique"/>
    <m/>
    <s v="Clean"/>
    <s v="valid"/>
    <n v="0.1"/>
    <n v="32013.791999999998"/>
    <n v="11116.911999999997"/>
    <n v="0.34725383359771933"/>
    <x v="9"/>
    <n v="2025"/>
    <s v="Warning"/>
  </r>
  <r>
    <x v="589"/>
    <s v="06 Dec 2024"/>
    <s v="12/12/2024"/>
    <s v="12-Dec-2024"/>
    <s v="06-Dec-2024"/>
    <n v="6"/>
    <s v="CUST-7846"/>
    <s v="Rohan Mehta"/>
    <x v="2"/>
    <x v="0"/>
    <s v="Uttar Pradesh"/>
    <s v="Noida"/>
    <x v="2"/>
    <x v="11"/>
    <s v="Max Phones 318"/>
    <x v="2"/>
    <n v="3"/>
    <n v="524.75"/>
    <n v="0"/>
    <n v="1574.25"/>
    <n v="1326.12"/>
    <n v="248.13"/>
    <s v="Paid"/>
    <x v="0"/>
    <s v="Unique"/>
    <m/>
    <s v="Clean"/>
    <s v="valid"/>
    <n v="0"/>
    <n v="1574.25"/>
    <n v="248.13000000000011"/>
    <n v="0.15761791329204389"/>
    <x v="7"/>
    <n v="2024"/>
    <s v="Clean"/>
  </r>
  <r>
    <x v="590"/>
    <s v="29-05-2024"/>
    <s v="2024-05-29"/>
    <s v="29-May-2024"/>
    <s v="29-May-2024"/>
    <n v="0"/>
    <s v="CUST-3433"/>
    <s v="Aarav Sharma"/>
    <x v="3"/>
    <x v="0"/>
    <s v="Delhi"/>
    <s v="New Delhi"/>
    <x v="1"/>
    <x v="4"/>
    <s v="Elite Chairs 372"/>
    <x v="1"/>
    <n v="6"/>
    <n v="3430.35"/>
    <n v="0"/>
    <n v="20582.099999999999"/>
    <n v="15897.65"/>
    <n v="4684.45"/>
    <s v="Pending"/>
    <x v="1"/>
    <s v="Unique"/>
    <m/>
    <s v="Clean"/>
    <s v="valid"/>
    <n v="0"/>
    <n v="20582.099999999999"/>
    <n v="4684.4499999999989"/>
    <n v="0.22759825285077806"/>
    <x v="3"/>
    <n v="2024"/>
    <s v="Warning"/>
  </r>
  <r>
    <x v="591"/>
    <s v="2024-02-22"/>
    <s v="24-02-2024"/>
    <s v="24-Feb-2024"/>
    <s v="22-Feb-2024"/>
    <n v="2"/>
    <s v="CUST-2423"/>
    <s v="Sneha Kapoor"/>
    <x v="0"/>
    <x v="2"/>
    <s v="Karnataka"/>
    <s v="Bengaluru"/>
    <x v="2"/>
    <x v="6"/>
    <s v="Eco Copiers 324"/>
    <x v="2"/>
    <n v="3"/>
    <n v="3545.08"/>
    <n v="0"/>
    <n v="10635.24"/>
    <n v="6031.88"/>
    <n v="4603.3599999999997"/>
    <s v="Failed"/>
    <x v="2"/>
    <s v="Unique"/>
    <m/>
    <s v="Clean"/>
    <s v="valid"/>
    <n v="0"/>
    <n v="10635.24"/>
    <n v="4603.3599999999997"/>
    <n v="0.43284025560307055"/>
    <x v="5"/>
    <n v="2024"/>
    <s v="Warning"/>
  </r>
  <r>
    <x v="592"/>
    <s v="04-03-2024"/>
    <s v="2024-03-09"/>
    <s v="09-Mar-2024"/>
    <s v="04-Mar-2024"/>
    <n v="5"/>
    <s v="CUST-3559"/>
    <s v="Mira Das"/>
    <x v="0"/>
    <x v="1"/>
    <s v="West Bengal"/>
    <s v="Kolkata"/>
    <x v="2"/>
    <x v="5"/>
    <s v="Classic Accessories 131"/>
    <x v="1"/>
    <n v="8"/>
    <n v="4401.41"/>
    <n v="0.15"/>
    <n v="29929.59"/>
    <n v="22436.03"/>
    <n v="7493.56"/>
    <s v="Paid"/>
    <x v="0"/>
    <s v="Unique"/>
    <m/>
    <s v="Clean"/>
    <s v="valid"/>
    <n v="0.15"/>
    <n v="29929.588"/>
    <n v="7493.5580000000009"/>
    <n v="0.25037290857461858"/>
    <x v="9"/>
    <n v="2024"/>
    <s v="Clean"/>
  </r>
  <r>
    <x v="593"/>
    <s v="09/27/2025"/>
    <s v="2025-09-29"/>
    <s v="29-Sep-2025"/>
    <s v="27-Sep-2025"/>
    <n v="2"/>
    <s v="CUST-2917"/>
    <s v="Arjun Bose"/>
    <x v="3"/>
    <x v="0"/>
    <s v="Uttar Pradesh"/>
    <s v="Noida"/>
    <x v="1"/>
    <x v="1"/>
    <s v="Eco Tables 550"/>
    <x v="0"/>
    <n v="9"/>
    <n v="4100.1099999999997"/>
    <n v="0.25"/>
    <n v="27675.74"/>
    <n v="15571.08"/>
    <n v="12104.66"/>
    <s v="Paid"/>
    <x v="0"/>
    <s v="Unique"/>
    <m/>
    <s v="Clean"/>
    <s v="valid"/>
    <n v="0.25"/>
    <n v="27675.7425"/>
    <n v="12104.6625"/>
    <n v="0.4373744444254748"/>
    <x v="6"/>
    <n v="2025"/>
    <s v="Clean"/>
  </r>
  <r>
    <x v="594"/>
    <s v="2024-09-19"/>
    <s v="2024-09-21"/>
    <s v="21-Sep-2024"/>
    <s v="19-Sep-2024"/>
    <n v="2"/>
    <s v="CUST-6850"/>
    <s v="Karan Malhotra"/>
    <x v="1"/>
    <x v="1"/>
    <s v="West Bengal"/>
    <s v="Kolkata"/>
    <x v="1"/>
    <x v="4"/>
    <s v="Basic Chairs 932"/>
    <x v="2"/>
    <n v="3"/>
    <n v="3981.76"/>
    <n v="0"/>
    <n v="11945.28"/>
    <n v="9700.31"/>
    <n v="2244.9699999999998"/>
    <s v="Paid"/>
    <x v="0"/>
    <s v="Unique"/>
    <m/>
    <s v="Clean"/>
    <s v="valid"/>
    <n v="0"/>
    <n v="11945.28"/>
    <n v="2244.9700000000012"/>
    <n v="0.18793782983739193"/>
    <x v="6"/>
    <n v="2024"/>
    <s v="Clean"/>
  </r>
  <r>
    <x v="595"/>
    <s v="02/11/2025"/>
    <s v="16-02-2025"/>
    <s v="16-Feb-2025"/>
    <s v="02-Nov-2025"/>
    <n v="-259"/>
    <s v="CUST-5566"/>
    <s v="Mira Das"/>
    <x v="2"/>
    <x v="0"/>
    <s v="Uttar Pradesh"/>
    <s v="Noida"/>
    <x v="2"/>
    <x v="11"/>
    <s v="Classic Phones 294"/>
    <x v="2"/>
    <n v="8"/>
    <n v="1825.56"/>
    <n v="0.1"/>
    <n v="13144.03"/>
    <n v="9764"/>
    <n v="3380.03"/>
    <s v="Paid"/>
    <x v="0"/>
    <s v="Unique"/>
    <m/>
    <s v="Clean"/>
    <s v="Invalid"/>
    <n v="0.1"/>
    <n v="13144.031999999999"/>
    <n v="3380.0319999999992"/>
    <n v="0.25715336055176974"/>
    <x v="2"/>
    <n v="2025"/>
    <s v="Clean"/>
  </r>
  <r>
    <x v="596"/>
    <s v="10 Apr 2024"/>
    <s v="04/16/2024"/>
    <s v="16-Apr-2024"/>
    <s v="10-Apr-2024"/>
    <n v="6"/>
    <s v="CUST-2593"/>
    <s v="Aditi Sen"/>
    <x v="0"/>
    <x v="2"/>
    <s v="Kerala"/>
    <s v="Kochi"/>
    <x v="1"/>
    <x v="4"/>
    <s v="Elite Chairs 700"/>
    <x v="0"/>
    <n v="9"/>
    <n v="2723.26"/>
    <n v="0.25"/>
    <n v="18382.009999999998"/>
    <n v="13108.2"/>
    <n v="5273.81"/>
    <s v="Paid"/>
    <x v="0"/>
    <s v="Unique"/>
    <m/>
    <s v="Clean"/>
    <s v="valid"/>
    <n v="0.25"/>
    <n v="18382.005000000005"/>
    <n v="5273.8050000000039"/>
    <n v="0.28690042245119629"/>
    <x v="11"/>
    <n v="2024"/>
    <s v="Clean"/>
  </r>
  <r>
    <x v="597"/>
    <s v="08 Jul 2025"/>
    <s v="07/08/2025"/>
    <s v="07-Aug-2025"/>
    <s v="08-Jul-2025"/>
    <n v="30"/>
    <s v="CUST-6957"/>
    <s v="Aditi Sen"/>
    <x v="0"/>
    <x v="2"/>
    <s v="Telangana"/>
    <s v="Hyderabad"/>
    <x v="2"/>
    <x v="6"/>
    <s v="Prime Copiers 969"/>
    <x v="1"/>
    <n v="9"/>
    <n v="274.88"/>
    <n v="0.25"/>
    <n v="1855.44"/>
    <n v="1262.74"/>
    <n v="592.70000000000005"/>
    <s v="Paid"/>
    <x v="0"/>
    <s v="Unique"/>
    <m/>
    <s v="Clean"/>
    <s v="valid"/>
    <n v="0.25"/>
    <n v="1855.44"/>
    <n v="592.70000000000005"/>
    <n v="0.3194390548872505"/>
    <x v="0"/>
    <n v="2025"/>
    <s v="Clean"/>
  </r>
  <r>
    <x v="598"/>
    <s v="08/17/2024"/>
    <s v="08/24/2024"/>
    <s v="24-Aug-2024"/>
    <s v="17-Aug-2024"/>
    <n v="7"/>
    <s v="CUST-8498"/>
    <s v="Ananya Rao"/>
    <x v="2"/>
    <x v="1"/>
    <s v="West Bengal"/>
    <s v="Kolkata"/>
    <x v="2"/>
    <x v="6"/>
    <s v="Eco Copiers 268"/>
    <x v="1"/>
    <n v="3"/>
    <n v="1490.69"/>
    <n v="0.25"/>
    <n v="3354.05"/>
    <n v="2672.67"/>
    <n v="681.38"/>
    <s v="Paid"/>
    <x v="0"/>
    <s v="Unique"/>
    <m/>
    <s v="Clean"/>
    <s v="valid"/>
    <n v="0.25"/>
    <n v="3354.0524999999998"/>
    <n v="681.38249999999971"/>
    <n v="0.20315200790685289"/>
    <x v="1"/>
    <n v="2024"/>
    <s v="Clean"/>
  </r>
  <r>
    <x v="599"/>
    <s v="19-08-2024"/>
    <s v="21 Aug 2024"/>
    <s v="21-Aug-2024"/>
    <s v="19-Aug-2024"/>
    <n v="2"/>
    <s v="CUST-2612"/>
    <s v="Arjun Bose"/>
    <x v="0"/>
    <x v="0"/>
    <s v="Punjab"/>
    <s v="Ludhiana"/>
    <x v="2"/>
    <x v="11"/>
    <s v="Pro Phones 588"/>
    <x v="2"/>
    <n v="3"/>
    <n v="1103.54"/>
    <n v="0.25"/>
    <n v="2482.9699999999998"/>
    <n v="1621.72"/>
    <n v="861.25"/>
    <s v="Paid"/>
    <x v="0"/>
    <s v="Unique"/>
    <m/>
    <s v="Clean"/>
    <s v="valid"/>
    <n v="0.25"/>
    <n v="2482.9650000000001"/>
    <n v="861.24500000000012"/>
    <n v="0.34686151435884116"/>
    <x v="1"/>
    <n v="2024"/>
    <s v="Clean"/>
  </r>
  <r>
    <x v="600"/>
    <s v="05-03-2025"/>
    <s v="2025-03-12"/>
    <s v="12-Mar-2025"/>
    <s v="05-Mar-2025"/>
    <n v="7"/>
    <s v="CUST-6013"/>
    <s v="Ananya Rao"/>
    <x v="2"/>
    <x v="3"/>
    <s v="Madhya Pradesh"/>
    <s v="Indore"/>
    <x v="0"/>
    <x v="8"/>
    <s v="Prime Storage 432"/>
    <x v="1"/>
    <n v="3"/>
    <n v="3682.75"/>
    <n v="0"/>
    <n v="11048.25"/>
    <n v="9062.7199999999993"/>
    <n v="1985.53"/>
    <s v="Paid"/>
    <x v="0"/>
    <s v="Unique"/>
    <m/>
    <s v="Clean"/>
    <s v="valid"/>
    <n v="0"/>
    <n v="11048.25"/>
    <n v="1985.5300000000007"/>
    <n v="0.17971443441268986"/>
    <x v="9"/>
    <n v="2025"/>
    <s v="Clean"/>
  </r>
  <r>
    <x v="601"/>
    <s v="26 Jan 2024"/>
    <s v="01/31/2024"/>
    <s v="31-Jan-2024"/>
    <s v="26-Jan-2024"/>
    <n v="5"/>
    <s v="CUST-8289"/>
    <s v="Ananya Rao"/>
    <x v="3"/>
    <x v="1"/>
    <s v="West Bengal"/>
    <s v="Kolkata"/>
    <x v="0"/>
    <x v="0"/>
    <s v="Basic Paper 452"/>
    <x v="0"/>
    <n v="5"/>
    <n v="1615.03"/>
    <n v="0.2"/>
    <n v="6460.12"/>
    <n v="3604.03"/>
    <n v="2856.09"/>
    <s v="Paid"/>
    <x v="0"/>
    <s v="Unique"/>
    <m/>
    <s v="Clean"/>
    <s v="valid"/>
    <n v="0.2"/>
    <n v="6460.12"/>
    <n v="2856.0899999999997"/>
    <n v="0.44211098245853014"/>
    <x v="8"/>
    <n v="2024"/>
    <s v="Clean"/>
  </r>
  <r>
    <x v="602"/>
    <s v="23-10-2024"/>
    <s v="2024-10-30"/>
    <s v="30-Oct-2024"/>
    <s v="23-Oct-2024"/>
    <n v="7"/>
    <s v="CUST-5668"/>
    <s v="Aarav Sharma"/>
    <x v="0"/>
    <x v="1"/>
    <s v="Jharkhand"/>
    <s v="Ranchi"/>
    <x v="2"/>
    <x v="6"/>
    <s v="Max Copiers 477"/>
    <x v="0"/>
    <n v="9"/>
    <n v="3423.82"/>
    <n v="0.15"/>
    <n v="26192.22"/>
    <n v="20795.55"/>
    <n v="5396.67"/>
    <s v="Paid"/>
    <x v="0"/>
    <s v="Unique"/>
    <m/>
    <s v="Clean"/>
    <s v="valid"/>
    <n v="0.15"/>
    <n v="26192.223000000002"/>
    <n v="5396.6730000000025"/>
    <n v="0.20604104508426041"/>
    <x v="4"/>
    <n v="2024"/>
    <s v="Clean"/>
  </r>
  <r>
    <x v="603"/>
    <s v="01/03/2025"/>
    <s v="11-01-2025"/>
    <s v="11-Jan-2025"/>
    <s v="01-Mar-2025"/>
    <n v="-49"/>
    <s v="CUST-5808"/>
    <s v="Vikram Iyer"/>
    <x v="2"/>
    <x v="1"/>
    <s v="Bihar"/>
    <s v="Patna"/>
    <x v="2"/>
    <x v="5"/>
    <s v="Prime Accessories 300"/>
    <x v="2"/>
    <n v="8"/>
    <n v="2574.29"/>
    <n v="0.05"/>
    <n v="19564.599999999999"/>
    <n v="11154.59"/>
    <n v="8410.01"/>
    <s v="Pending"/>
    <x v="1"/>
    <s v="Unique"/>
    <m/>
    <s v="Clean"/>
    <s v="Invalid"/>
    <n v="0.05"/>
    <n v="19564.603999999999"/>
    <n v="8410.0139999999992"/>
    <n v="0.42985863654587642"/>
    <x v="9"/>
    <n v="2025"/>
    <s v="Warning"/>
  </r>
  <r>
    <x v="604"/>
    <s v="05-02-2025"/>
    <s v="02/06/2025"/>
    <s v="02-Jun-2025"/>
    <s v="05-Feb-2025"/>
    <n v="117"/>
    <s v="CUST-4526"/>
    <s v="Ananya Rao"/>
    <x v="0"/>
    <x v="3"/>
    <s v="Madhya Pradesh"/>
    <s v="Indore"/>
    <x v="0"/>
    <x v="9"/>
    <s v="Max Binders 547"/>
    <x v="1"/>
    <n v="3"/>
    <n v="1076.3"/>
    <n v="0"/>
    <n v="3228.9"/>
    <n v="1853.23"/>
    <n v="1375.67"/>
    <s v="Paid"/>
    <x v="0"/>
    <s v="Unique"/>
    <m/>
    <s v="Clean"/>
    <s v="valid"/>
    <n v="0"/>
    <n v="3228.8999999999996"/>
    <n v="1375.6699999999996"/>
    <n v="0.42604911889497965"/>
    <x v="5"/>
    <n v="2025"/>
    <s v="Clean"/>
  </r>
  <r>
    <x v="605"/>
    <s v="2025-07-09"/>
    <s v="13 Jul 2025"/>
    <s v="13-Jul-2025"/>
    <s v="09-Jul-2025"/>
    <n v="4"/>
    <s v="CUST-4447"/>
    <s v="Kabir Singh"/>
    <x v="2"/>
    <x v="3"/>
    <s v="Goa"/>
    <s v="Panaji"/>
    <x v="1"/>
    <x v="3"/>
    <s v="Pro Furnishings 267"/>
    <x v="0"/>
    <n v="5"/>
    <n v="1680.01"/>
    <s v="85%"/>
    <n v="7560.04"/>
    <n v="6448.05"/>
    <n v="1111.99"/>
    <s v="Paid"/>
    <x v="1"/>
    <s v="Unique"/>
    <m/>
    <s v="Invalid"/>
    <s v="valid"/>
    <n v="8.5000000000000006E-3"/>
    <n v="8328.6495749999995"/>
    <n v="1880.5995749999993"/>
    <n v="0.22579885947476658"/>
    <x v="0"/>
    <n v="2025"/>
    <s v="Warning"/>
  </r>
  <r>
    <x v="606"/>
    <s v="22 Feb 2025"/>
    <s v="02/28/2025"/>
    <s v="28-Feb-2025"/>
    <s v="22-Feb-2025"/>
    <n v="6"/>
    <s v="CUST-2698"/>
    <s v="Rahul Verma"/>
    <x v="3"/>
    <x v="3"/>
    <s v="Madhya Pradesh"/>
    <s v="Indore"/>
    <x v="2"/>
    <x v="6"/>
    <s v="Max Copiers 520"/>
    <x v="1"/>
    <n v="3"/>
    <n v="3890.81"/>
    <n v="0.25"/>
    <n v="8754.32"/>
    <n v="6238.9"/>
    <n v="2515.42"/>
    <s v="Paid"/>
    <x v="0"/>
    <s v="Unique"/>
    <m/>
    <s v="Clean"/>
    <s v="valid"/>
    <n v="0.25"/>
    <n v="8754.3225000000002"/>
    <n v="2515.4225000000006"/>
    <n v="0.28733491369549163"/>
    <x v="5"/>
    <n v="2025"/>
    <s v="Clean"/>
  </r>
  <r>
    <x v="607"/>
    <s v="16-02-2025"/>
    <s v="22 Feb 2025"/>
    <s v="22-Feb-2025"/>
    <s v="16-Feb-2025"/>
    <n v="6"/>
    <s v="CUST-6297"/>
    <s v="Sneha Kapoor"/>
    <x v="3"/>
    <x v="1"/>
    <s v="Bihar"/>
    <s v="Patna"/>
    <x v="0"/>
    <x v="8"/>
    <s v="Max Storage 424"/>
    <x v="1"/>
    <n v="5"/>
    <n v="954.67"/>
    <n v="0.15"/>
    <n v="4057.35"/>
    <n v="2862.03"/>
    <n v="1195.32"/>
    <s v="Paid"/>
    <x v="0"/>
    <s v="Unique"/>
    <m/>
    <s v="Clean"/>
    <s v="valid"/>
    <n v="0.15"/>
    <n v="4057.3474999999994"/>
    <n v="1195.3174999999992"/>
    <n v="0.29460565061286947"/>
    <x v="5"/>
    <n v="2025"/>
    <s v="Clean"/>
  </r>
  <r>
    <x v="608"/>
    <s v="21 Jun 2024"/>
    <s v="23 Jun 2024"/>
    <s v="23-Jun-2024"/>
    <s v="21-Jun-2024"/>
    <n v="2"/>
    <s v="CUST-7690"/>
    <s v="Karan Malhotra"/>
    <x v="3"/>
    <x v="3"/>
    <s v="Goa"/>
    <s v="Panaji"/>
    <x v="1"/>
    <x v="3"/>
    <s v="Elite Furnishings 706"/>
    <x v="0"/>
    <n v="9"/>
    <n v="2153.75"/>
    <n v="0"/>
    <n v="19383.75"/>
    <n v="11667.43"/>
    <n v="7716.32"/>
    <s v="Paid"/>
    <x v="0"/>
    <s v="Unique"/>
    <m/>
    <s v="Clean"/>
    <s v="valid"/>
    <n v="0"/>
    <n v="19383.75"/>
    <n v="7716.32"/>
    <n v="0.39808189849745274"/>
    <x v="10"/>
    <n v="2024"/>
    <s v="Clean"/>
  </r>
  <r>
    <x v="609"/>
    <s v="2025-01-08"/>
    <s v="12-01-2025"/>
    <s v="12-Jan-2025"/>
    <s v="08-Jan-2025"/>
    <n v="4"/>
    <s v="CUST-4380"/>
    <s v="Sneha Kapoor"/>
    <x v="3"/>
    <x v="2"/>
    <s v="Karnataka"/>
    <s v="Bengaluru"/>
    <x v="1"/>
    <x v="4"/>
    <s v="Pro Chairs 908"/>
    <x v="3"/>
    <n v="7"/>
    <n v="4337.4799999999996"/>
    <n v="0"/>
    <n v="30362.36"/>
    <n v="25065.4"/>
    <n v="5296.96"/>
    <s v="Paid"/>
    <x v="0"/>
    <s v="Unique"/>
    <m/>
    <s v="Clean"/>
    <s v="valid"/>
    <n v="0"/>
    <n v="30362.359999999997"/>
    <n v="5296.9599999999955"/>
    <n v="0.17445811195177174"/>
    <x v="8"/>
    <n v="2025"/>
    <s v="Clean"/>
  </r>
  <r>
    <x v="610"/>
    <s v="20 May 2024"/>
    <s v="05/20/2024"/>
    <s v="20-May-2024"/>
    <s v="20-May-2024"/>
    <n v="0"/>
    <s v="CUST-2779"/>
    <s v="Karan Malhotra"/>
    <x v="3"/>
    <x v="3"/>
    <s v="Madhya Pradesh"/>
    <s v="Indore"/>
    <x v="1"/>
    <x v="4"/>
    <s v="Pro Chairs 712"/>
    <x v="3"/>
    <n v="1"/>
    <n v="3032.95"/>
    <n v="0.1"/>
    <n v="2729.65"/>
    <n v="1715.36"/>
    <n v="1014.29"/>
    <s v="Paid"/>
    <x v="0"/>
    <s v="Unique"/>
    <m/>
    <s v="Clean"/>
    <s v="valid"/>
    <n v="0.1"/>
    <n v="2729.6549999999997"/>
    <n v="1014.2949999999998"/>
    <n v="0.37158358840219735"/>
    <x v="3"/>
    <n v="2024"/>
    <s v="Clean"/>
  </r>
  <r>
    <x v="611"/>
    <s v="08-07-2025"/>
    <s v="15 Jul 2025"/>
    <s v="15-Jul-2025"/>
    <s v="08-Jul-2025"/>
    <n v="7"/>
    <s v="CUST-6108"/>
    <s v="Ananya Rao"/>
    <x v="1"/>
    <x v="0"/>
    <s v="Rajasthan"/>
    <s v="Jaipur"/>
    <x v="0"/>
    <x v="9"/>
    <s v="Max Binders 785"/>
    <x v="1"/>
    <n v="8"/>
    <n v="655.28"/>
    <n v="0.1"/>
    <n v="4718.0200000000004"/>
    <n v="3908.23"/>
    <n v="809.79"/>
    <s v="Paid"/>
    <x v="0"/>
    <s v="Unique"/>
    <m/>
    <s v="Clean"/>
    <s v="valid"/>
    <n v="0.1"/>
    <n v="4718.0159999999996"/>
    <n v="809.7859999999996"/>
    <n v="0.17163697622051297"/>
    <x v="0"/>
    <n v="2025"/>
    <s v="Clean"/>
  </r>
  <r>
    <x v="612"/>
    <s v="06 Apr 2025"/>
    <s v="13-04-2025"/>
    <s v="13-Apr-2025"/>
    <s v="06-Apr-2025"/>
    <n v="7"/>
    <s v="CUST-5663"/>
    <s v="Aditi Sen"/>
    <x v="0"/>
    <x v="4"/>
    <s v="Odisha"/>
    <s v="Bhubaneswar"/>
    <x v="2"/>
    <x v="11"/>
    <s v="Elite Phones 239"/>
    <x v="3"/>
    <n v="1"/>
    <n v="3844.01"/>
    <n v="0"/>
    <n v="3844.01"/>
    <n v="2195.79"/>
    <n v="1648.22"/>
    <s v="Paid"/>
    <x v="0"/>
    <s v="Unique"/>
    <m/>
    <s v="Clean"/>
    <s v="valid"/>
    <n v="0"/>
    <n v="3844.01"/>
    <n v="1648.2200000000003"/>
    <n v="0.42877619985379856"/>
    <x v="11"/>
    <n v="2025"/>
    <s v="Clean"/>
  </r>
  <r>
    <x v="613"/>
    <s v="2024-10-05"/>
    <s v="10/10/2024"/>
    <s v="10-Oct-2024"/>
    <s v="05-Oct-2024"/>
    <n v="5"/>
    <s v="CUST-9311"/>
    <s v="Diya Patel"/>
    <x v="3"/>
    <x v="3"/>
    <s v="Gujarat"/>
    <s v="Ahmedabad"/>
    <x v="2"/>
    <x v="12"/>
    <s v="Basic Machines 413"/>
    <x v="1"/>
    <n v="9"/>
    <n v="3361.3"/>
    <n v="0.25"/>
    <n v="22688.78"/>
    <n v="14672.41"/>
    <n v="8016.37"/>
    <s v="Paid"/>
    <x v="0"/>
    <s v="Unique"/>
    <m/>
    <s v="Clean"/>
    <s v="valid"/>
    <n v="0.25"/>
    <n v="22688.775000000001"/>
    <n v="8016.3650000000016"/>
    <n v="0.35331854628555315"/>
    <x v="4"/>
    <n v="2024"/>
    <s v="Clean"/>
  </r>
  <r>
    <x v="614"/>
    <s v="11-02-2024"/>
    <s v="19-02-2024"/>
    <s v="19-Feb-2024"/>
    <s v="11-Feb-2024"/>
    <n v="8"/>
    <s v="CUST-8154"/>
    <s v="Ananya Rao"/>
    <x v="3"/>
    <x v="2"/>
    <s v="Telangana"/>
    <s v="Hyderabad"/>
    <x v="1"/>
    <x v="4"/>
    <s v="Elite Chairs 140"/>
    <x v="3"/>
    <n v="8"/>
    <n v="3398.32"/>
    <n v="0.25"/>
    <n v="20389.919999999998"/>
    <n v="16661.080000000002"/>
    <n v="3728.84"/>
    <s v="Refunded"/>
    <x v="1"/>
    <s v="Unique"/>
    <m/>
    <s v="Clean"/>
    <s v="valid"/>
    <n v="0.25"/>
    <n v="20389.920000000002"/>
    <n v="3728.84"/>
    <n v="0.18287663708342161"/>
    <x v="5"/>
    <n v="2024"/>
    <s v="Warning"/>
  </r>
  <r>
    <x v="615"/>
    <s v="2024-10-04"/>
    <s v="10/07/2024"/>
    <s v="10-Jul-2024"/>
    <s v="04-Oct-2024"/>
    <n v="-86"/>
    <s v="CUST-4462"/>
    <s v="Rahul Verma"/>
    <x v="2"/>
    <x v="2"/>
    <s v="Kerala"/>
    <s v="Kochi"/>
    <x v="0"/>
    <x v="2"/>
    <s v="Basic Art 771"/>
    <x v="0"/>
    <n v="2"/>
    <n v="3144.38"/>
    <n v="0.1"/>
    <n v="5904.57"/>
    <n v="4337.79"/>
    <n v="1322.09"/>
    <s v="Paid"/>
    <x v="0"/>
    <s v="Unique"/>
    <m/>
    <s v="Clean"/>
    <s v="Invalid"/>
    <n v="0.1"/>
    <n v="5659.884"/>
    <n v="1322.0940000000001"/>
    <n v="0.23359029973052453"/>
    <x v="4"/>
    <n v="2024"/>
    <s v="Clean"/>
  </r>
  <r>
    <x v="616"/>
    <s v="16 Aug 2024"/>
    <s v="19-08-2024"/>
    <s v="19-Aug-2024"/>
    <s v="16-Aug-2024"/>
    <n v="3"/>
    <s v="CUST-4660"/>
    <s v="Kabir Singh"/>
    <x v="0"/>
    <x v="2"/>
    <s v="Telangana"/>
    <s v="Hyderabad"/>
    <x v="0"/>
    <x v="0"/>
    <s v="Prime Paper 664"/>
    <x v="3"/>
    <n v="6"/>
    <n v="3925.55"/>
    <n v="0.2"/>
    <n v="18842.64"/>
    <n v="11840.58"/>
    <n v="7002.06"/>
    <s v="Paid"/>
    <x v="0"/>
    <s v="Unique"/>
    <m/>
    <s v="Clean"/>
    <s v="valid"/>
    <n v="0.2"/>
    <n v="18842.640000000003"/>
    <n v="7002.0600000000031"/>
    <n v="0.37160716332743193"/>
    <x v="1"/>
    <n v="2024"/>
    <s v="Clean"/>
  </r>
  <r>
    <x v="617"/>
    <s v="09/29/2024"/>
    <s v="2024-09-30"/>
    <s v="30-Sep-2024"/>
    <s v="29-Sep-2024"/>
    <n v="1"/>
    <s v="CUST-9002"/>
    <s v="Mira Das"/>
    <x v="3"/>
    <x v="2"/>
    <s v="Telangana"/>
    <s v="Hyderabad"/>
    <x v="2"/>
    <x v="11"/>
    <s v="Pro Phones 226"/>
    <x v="3"/>
    <n v="9"/>
    <n v="2741.91"/>
    <n v="0"/>
    <n v="24677.19"/>
    <n v="20350.849999999999"/>
    <n v="4326.34"/>
    <s v="Paid"/>
    <x v="0"/>
    <s v="Unique"/>
    <m/>
    <s v="Clean"/>
    <s v="valid"/>
    <n v="0"/>
    <n v="24677.19"/>
    <n v="4326.34"/>
    <n v="0.17531736798233513"/>
    <x v="6"/>
    <n v="2024"/>
    <s v="Clean"/>
  </r>
  <r>
    <x v="618"/>
    <s v="2024-07-23"/>
    <s v="2024-07-30"/>
    <s v="30-Jul-2024"/>
    <s v="23-Jul-2024"/>
    <n v="7"/>
    <s v="CUST-1057"/>
    <s v="Kabir Singh"/>
    <x v="2"/>
    <x v="0"/>
    <s v="Rajasthan"/>
    <s v="Jaipur"/>
    <x v="1"/>
    <x v="1"/>
    <s v="Basic Tables 684"/>
    <x v="1"/>
    <n v="9"/>
    <n v="1870.11"/>
    <n v="0.25"/>
    <n v="12623.24"/>
    <n v="10540.8"/>
    <n v="2082.44"/>
    <s v="Failed"/>
    <x v="1"/>
    <s v="Unique"/>
    <m/>
    <s v="Clean"/>
    <s v="valid"/>
    <n v="0.25"/>
    <n v="12623.242499999998"/>
    <n v="2082.4424999999992"/>
    <n v="0.16496890557239943"/>
    <x v="0"/>
    <n v="2024"/>
    <s v="Warning"/>
  </r>
  <r>
    <x v="619"/>
    <s v="11/22/2024"/>
    <s v="27 Nov 2024"/>
    <s v="27-Nov-2024"/>
    <s v="22-Nov-2024"/>
    <n v="5"/>
    <s v="CUST-9596"/>
    <s v="Priya Menon"/>
    <x v="2"/>
    <x v="2"/>
    <s v="Tamil Nadu"/>
    <s v="Chennai"/>
    <x v="0"/>
    <x v="9"/>
    <s v="Prime Binders 938"/>
    <x v="2"/>
    <n v="1"/>
    <n v="4251.26"/>
    <n v="0.2"/>
    <n v="3401.01"/>
    <n v="2917.54"/>
    <n v="483.47"/>
    <s v="Refunded"/>
    <x v="2"/>
    <s v="Unique"/>
    <m/>
    <s v="Clean"/>
    <s v="valid"/>
    <n v="0.2"/>
    <n v="3401.0080000000003"/>
    <n v="483.4680000000003"/>
    <n v="0.14215432601158254"/>
    <x v="2"/>
    <n v="2024"/>
    <s v="Clean"/>
  </r>
  <r>
    <x v="620"/>
    <s v="18-08-2024"/>
    <s v="08/21/2024"/>
    <s v="21-Aug-2024"/>
    <s v="18-Aug-2024"/>
    <n v="3"/>
    <s v="CUST-6947"/>
    <s v="Vikram Iyer"/>
    <x v="0"/>
    <x v="0"/>
    <s v="Uttar Pradesh"/>
    <s v="Noida"/>
    <x v="2"/>
    <x v="12"/>
    <s v="Classic Machines 337"/>
    <x v="3"/>
    <n v="9"/>
    <n v="734.34"/>
    <n v="0"/>
    <n v="6609.06"/>
    <n v="4946.78"/>
    <n v="1662.28"/>
    <s v="Paid"/>
    <x v="0"/>
    <s v="Unique"/>
    <m/>
    <s v="Clean"/>
    <s v="valid"/>
    <n v="0"/>
    <n v="6609.06"/>
    <n v="1662.2800000000007"/>
    <n v="0.25151534408826681"/>
    <x v="1"/>
    <n v="2024"/>
    <s v="Clean"/>
  </r>
  <r>
    <x v="621"/>
    <s v="28-11-2024"/>
    <s v="06-12-2024"/>
    <s v="06-Dec-2024"/>
    <s v="28-Nov-2024"/>
    <n v="8"/>
    <s v="CUST-7236"/>
    <s v="Aditi Sen"/>
    <x v="0"/>
    <x v="3"/>
    <s v="Maharashtra"/>
    <s v="Mumbai"/>
    <x v="1"/>
    <x v="4"/>
    <s v="Max Chairs 748"/>
    <x v="1"/>
    <n v="5"/>
    <n v="1092.8399999999999"/>
    <n v="0"/>
    <n v="5464.2"/>
    <n v="3318.09"/>
    <n v="2146.11"/>
    <s v="Paid"/>
    <x v="0"/>
    <s v="Unique"/>
    <m/>
    <s v="Clean"/>
    <s v="valid"/>
    <n v="0"/>
    <n v="5464.2"/>
    <n v="2146.1099999999997"/>
    <n v="0.39275831777753373"/>
    <x v="2"/>
    <n v="2024"/>
    <s v="Clean"/>
  </r>
  <r>
    <x v="622"/>
    <s v="29-01-2025"/>
    <s v="06 Feb 2025"/>
    <s v="06-Feb-2025"/>
    <s v="29-Jan-2025"/>
    <n v="8"/>
    <s v="CUST-1127"/>
    <s v="Vikram Iyer"/>
    <x v="0"/>
    <x v="1"/>
    <s v="Bihar"/>
    <s v="Patna"/>
    <x v="0"/>
    <x v="8"/>
    <s v="Basic Storage 934"/>
    <x v="3"/>
    <n v="4"/>
    <n v="2759.01"/>
    <n v="0.05"/>
    <n v="10484.24"/>
    <n v="6680.15"/>
    <n v="3804.09"/>
    <s v="Paid"/>
    <x v="0"/>
    <s v="Unique"/>
    <m/>
    <s v="Clean"/>
    <s v="valid"/>
    <n v="0.05"/>
    <n v="10484.238000000001"/>
    <n v="3804.0880000000016"/>
    <n v="0.36283876806306775"/>
    <x v="8"/>
    <n v="2025"/>
    <s v="Clean"/>
  </r>
  <r>
    <x v="623"/>
    <s v="08 Aug 2024"/>
    <s v="14 Aug 2024"/>
    <s v="14-Aug-2024"/>
    <s v="08-Aug-2024"/>
    <n v="6"/>
    <s v="CUST-6262"/>
    <s v="Vikram Iyer"/>
    <x v="3"/>
    <x v="0"/>
    <s v="Punjab"/>
    <s v="Ludhiana"/>
    <x v="0"/>
    <x v="8"/>
    <s v="Pro Storage 509"/>
    <x v="0"/>
    <n v="8"/>
    <n v="1359.19"/>
    <n v="0.05"/>
    <n v="10329.84"/>
    <n v="7512.22"/>
    <n v="2817.62"/>
    <s v="Paid"/>
    <x v="0"/>
    <s v="Unique"/>
    <m/>
    <s v="Clean"/>
    <s v="valid"/>
    <n v="0.05"/>
    <n v="10329.843999999999"/>
    <n v="2817.6239999999989"/>
    <n v="0.27276539703794161"/>
    <x v="1"/>
    <n v="2024"/>
    <s v="Clean"/>
  </r>
  <r>
    <x v="624"/>
    <s v="01/30/2024"/>
    <s v="2024-02-01"/>
    <s v="01-Feb-2024"/>
    <s v="30-Jan-2024"/>
    <n v="2"/>
    <s v="CUST-5070"/>
    <s v="Neha Gupta"/>
    <x v="3"/>
    <x v="1"/>
    <s v="Assam"/>
    <s v="Guwahati"/>
    <x v="1"/>
    <x v="4"/>
    <s v="Prime Chairs 765"/>
    <x v="2"/>
    <n v="2"/>
    <n v="4451.03"/>
    <n v="0.05"/>
    <n v="8456.9599999999991"/>
    <n v="5462.85"/>
    <n v="2994.11"/>
    <s v="Paid"/>
    <x v="0"/>
    <s v="Unique"/>
    <m/>
    <s v="Clean"/>
    <s v="valid"/>
    <n v="0.05"/>
    <n v="8456.9569999999985"/>
    <n v="2994.1069999999982"/>
    <n v="0.35404070282017502"/>
    <x v="8"/>
    <n v="2024"/>
    <s v="Clean"/>
  </r>
  <r>
    <x v="625"/>
    <s v="12/15/2024"/>
    <s v="21 Dec 2024"/>
    <s v="21-Dec-2024"/>
    <s v="15-Dec-2024"/>
    <n v="6"/>
    <s v="CUST-7946"/>
    <s v="Diya Patel"/>
    <x v="2"/>
    <x v="3"/>
    <s v="Rajasthan"/>
    <s v="Udaipur"/>
    <x v="1"/>
    <x v="4"/>
    <s v="Elite Chairs 358"/>
    <x v="1"/>
    <n v="3"/>
    <n v="527.66999999999996"/>
    <n v="0.2"/>
    <n v="1266.4100000000001"/>
    <n v="983.92"/>
    <n v="282.49"/>
    <s v="Paid"/>
    <x v="0"/>
    <s v="Unique"/>
    <m/>
    <s v="Clean"/>
    <s v="valid"/>
    <n v="0.2"/>
    <n v="1266.4079999999999"/>
    <n v="282.48799999999994"/>
    <n v="0.22306239379410109"/>
    <x v="7"/>
    <n v="2024"/>
    <s v="Clean"/>
  </r>
  <r>
    <x v="626"/>
    <s v="04-06-2025"/>
    <s v="06/07/2025"/>
    <s v="06-Jul-2025"/>
    <s v="04-Jun-2025"/>
    <n v="32"/>
    <s v="CUST-1793"/>
    <s v="Sneha Kapoor"/>
    <x v="3"/>
    <x v="1"/>
    <s v="Assam"/>
    <s v="Guwahati"/>
    <x v="2"/>
    <x v="12"/>
    <s v="Elite Machines 971"/>
    <x v="3"/>
    <n v="8"/>
    <n v="1434.13"/>
    <n v="0"/>
    <n v="11473.04"/>
    <n v="8931.33"/>
    <n v="2541.71"/>
    <s v="Pending"/>
    <x v="2"/>
    <s v="Unique"/>
    <m/>
    <s v="Clean"/>
    <s v="valid"/>
    <n v="0"/>
    <n v="11473.04"/>
    <n v="2541.7100000000009"/>
    <n v="0.22153762211236086"/>
    <x v="10"/>
    <n v="2025"/>
    <s v="Clean"/>
  </r>
  <r>
    <x v="627"/>
    <s v="02/13/2025"/>
    <s v="21-02-2025"/>
    <s v="21-Feb-2025"/>
    <s v="13-Feb-2025"/>
    <n v="8"/>
    <s v="CUST-8839"/>
    <s v="Karan Malhotra"/>
    <x v="1"/>
    <x v="2"/>
    <s v="Kerala"/>
    <s v="Kochi"/>
    <x v="2"/>
    <x v="11"/>
    <s v="Max Phones 825"/>
    <x v="0"/>
    <n v="2"/>
    <n v="2360.02"/>
    <n v="0.15"/>
    <n v="4012.03"/>
    <n v="3142.92"/>
    <n v="869.11"/>
    <s v="Pending"/>
    <x v="1"/>
    <s v="Unique"/>
    <m/>
    <s v="Clean"/>
    <s v="valid"/>
    <n v="0.15"/>
    <n v="4012.0339999999997"/>
    <n v="869.11399999999958"/>
    <n v="0.21662677833737193"/>
    <x v="5"/>
    <n v="2025"/>
    <s v="Warning"/>
  </r>
  <r>
    <x v="628"/>
    <s v="2025-10-05"/>
    <s v="12 Oct 2025"/>
    <s v="12-Oct-2025"/>
    <s v="05-Oct-2025"/>
    <n v="7"/>
    <s v="CUST-6725"/>
    <s v="Ananya Rao"/>
    <x v="3"/>
    <x v="1"/>
    <s v="Jharkhand"/>
    <s v="Ranchi"/>
    <x v="2"/>
    <x v="5"/>
    <s v="Eco Accessories 933"/>
    <x v="1"/>
    <n v="7"/>
    <n v="806.67"/>
    <n v="0.05"/>
    <n v="5364.36"/>
    <n v="4391.29"/>
    <n v="973.07"/>
    <s v="Paid"/>
    <x v="0"/>
    <s v="Unique"/>
    <m/>
    <s v="Clean"/>
    <s v="valid"/>
    <n v="0.05"/>
    <n v="5364.3554999999997"/>
    <n v="973.0654999999997"/>
    <n v="0.18139467080434915"/>
    <x v="4"/>
    <n v="2025"/>
    <s v="Clean"/>
  </r>
  <r>
    <x v="629"/>
    <s v="09/10/2025"/>
    <s v="14 Sep 2025"/>
    <s v="14-Sep-2025"/>
    <s v="09-Oct-2025"/>
    <n v="-25"/>
    <s v="CUST-3793"/>
    <s v="Arjun Bose"/>
    <x v="3"/>
    <x v="3"/>
    <s v="Gujarat"/>
    <s v="Ahmedabad"/>
    <x v="1"/>
    <x v="1"/>
    <s v="Max Tables 908"/>
    <x v="1"/>
    <n v="3"/>
    <n v="4198.46"/>
    <n v="0.15"/>
    <n v="10706.07"/>
    <n v="5927.1"/>
    <n v="4778.97"/>
    <s v="Paid"/>
    <x v="0"/>
    <s v="Unique"/>
    <m/>
    <s v="Clean"/>
    <s v="Invalid"/>
    <n v="0.15"/>
    <n v="10706.073"/>
    <n v="4778.973"/>
    <n v="0.44637963892082555"/>
    <x v="4"/>
    <n v="2025"/>
    <s v="Clean"/>
  </r>
  <r>
    <x v="630"/>
    <s v="2024-04-09"/>
    <s v="2024-04-10"/>
    <s v="10-Apr-2024"/>
    <s v="09-Apr-2024"/>
    <n v="1"/>
    <s v="CUST-6075"/>
    <s v="Priya Menon"/>
    <x v="2"/>
    <x v="1"/>
    <s v="Assam"/>
    <s v="Guwahati"/>
    <x v="0"/>
    <x v="0"/>
    <s v="Elite Paper 239"/>
    <x v="3"/>
    <n v="4"/>
    <n v="3047.05"/>
    <n v="0.1"/>
    <n v="10969.38"/>
    <n v="9254.4599999999991"/>
    <n v="1714.92"/>
    <s v="Paid"/>
    <x v="0"/>
    <s v="Unique"/>
    <m/>
    <s v="Clean"/>
    <s v="valid"/>
    <n v="0.1"/>
    <n v="10969.380000000001"/>
    <n v="1714.9200000000019"/>
    <n v="0.15633700354988173"/>
    <x v="11"/>
    <n v="2024"/>
    <s v="Clean"/>
  </r>
  <r>
    <x v="631"/>
    <s v="10 Apr 2024"/>
    <s v="15-04-2024"/>
    <s v="15-Apr-2024"/>
    <s v="10-Apr-2024"/>
    <n v="5"/>
    <s v="CUST-6381"/>
    <s v="Aarav Sharma"/>
    <x v="3"/>
    <x v="3"/>
    <s v="Rajasthan"/>
    <s v="Udaipur"/>
    <x v="1"/>
    <x v="4"/>
    <s v="Eco Chairs 452"/>
    <x v="3"/>
    <n v="8"/>
    <n v="4362.4799999999996"/>
    <n v="0.1"/>
    <n v="31409.86"/>
    <n v="22523.54"/>
    <n v="8886.32"/>
    <s v="Paid"/>
    <x v="0"/>
    <s v="Unique"/>
    <m/>
    <s v="Clean"/>
    <s v="valid"/>
    <n v="0.1"/>
    <n v="31409.855999999996"/>
    <n v="8886.3159999999953"/>
    <n v="0.2829148914277097"/>
    <x v="11"/>
    <n v="2024"/>
    <s v="Clean"/>
  </r>
  <r>
    <x v="632"/>
    <s v="15-04-2025"/>
    <s v="16-04-2025"/>
    <s v="16-Apr-2025"/>
    <s v="15-Apr-2025"/>
    <n v="1"/>
    <s v="CUST-4593"/>
    <s v="Sneha Kapoor"/>
    <x v="1"/>
    <x v="2"/>
    <s v="Karnataka"/>
    <s v="Bengaluru"/>
    <x v="1"/>
    <x v="3"/>
    <s v="Smart Furnishings 721"/>
    <x v="2"/>
    <n v="5"/>
    <n v="2850.53"/>
    <n v="0"/>
    <n v="14252.65"/>
    <n v="11558.31"/>
    <n v="2694.34"/>
    <s v="Paid"/>
    <x v="0"/>
    <s v="Unique"/>
    <m/>
    <s v="Clean"/>
    <s v="valid"/>
    <n v="0"/>
    <n v="14252.650000000001"/>
    <n v="2694.340000000002"/>
    <n v="0.18904133617257154"/>
    <x v="11"/>
    <n v="2025"/>
    <s v="Clean"/>
  </r>
  <r>
    <x v="633"/>
    <s v="04/18/2025"/>
    <s v="20 Apr 2025"/>
    <s v="20-Apr-2025"/>
    <s v="18-Apr-2025"/>
    <n v="2"/>
    <s v="CUST-5043"/>
    <s v="Aarav Sharma"/>
    <x v="1"/>
    <x v="2"/>
    <s v="Tamil Nadu"/>
    <s v="Chennai"/>
    <x v="2"/>
    <x v="5"/>
    <s v="Basic Accessories 729"/>
    <x v="0"/>
    <n v="1"/>
    <n v="1626.08"/>
    <n v="0.15"/>
    <n v="1382.17"/>
    <n v="810.03"/>
    <n v="572.14"/>
    <s v="Paid"/>
    <x v="0"/>
    <s v="Unique"/>
    <m/>
    <s v="Clean"/>
    <s v="valid"/>
    <n v="0.15"/>
    <n v="1382.1679999999999"/>
    <n v="572.13799999999992"/>
    <n v="0.4139424440444287"/>
    <x v="11"/>
    <n v="2025"/>
    <s v="Clean"/>
  </r>
  <r>
    <x v="634"/>
    <s v="01/11/2025"/>
    <s v="12 Jan 2025"/>
    <s v="12-Jan-2025"/>
    <s v="01-Nov-2025"/>
    <n v="-293"/>
    <s v="CUST-4722"/>
    <s v="Aditi Sen"/>
    <x v="0"/>
    <x v="2"/>
    <s v="Telangana"/>
    <s v="Hyderabad"/>
    <x v="1"/>
    <x v="4"/>
    <s v="Classic Chairs 220"/>
    <x v="0"/>
    <n v="4"/>
    <n v="2427.15"/>
    <n v="0.05"/>
    <n v="9223.17"/>
    <n v="5103.7"/>
    <n v="4119.47"/>
    <s v="Paid"/>
    <x v="0"/>
    <s v="Unique"/>
    <m/>
    <s v="Clean"/>
    <s v="Invalid"/>
    <n v="0.05"/>
    <n v="9223.17"/>
    <n v="4119.47"/>
    <n v="0.44664361602355807"/>
    <x v="2"/>
    <n v="2025"/>
    <s v="Clean"/>
  </r>
  <r>
    <x v="635"/>
    <s v="20 May 2024"/>
    <s v="2024-05-25"/>
    <s v="25-May-2024"/>
    <s v="20-May-2024"/>
    <n v="5"/>
    <s v="CUST-7931"/>
    <s v="Mira Das"/>
    <x v="2"/>
    <x v="2"/>
    <s v="Andhra Pradesh"/>
    <s v="Vijayawada"/>
    <x v="1"/>
    <x v="4"/>
    <s v="Max Chairs 305"/>
    <x v="1"/>
    <n v="7"/>
    <n v="3122.85"/>
    <n v="0.25"/>
    <n v="16394.96"/>
    <n v="10404.17"/>
    <n v="5990.79"/>
    <s v="Paid"/>
    <x v="0"/>
    <s v="Unique"/>
    <m/>
    <s v="Clean"/>
    <s v="valid"/>
    <n v="0.25"/>
    <n v="16394.962500000001"/>
    <n v="5990.7925000000014"/>
    <n v="0.36540446493854445"/>
    <x v="3"/>
    <n v="2024"/>
    <s v="Clean"/>
  </r>
  <r>
    <x v="636"/>
    <s v="02 Oct 2024"/>
    <s v="09 Oct 2024"/>
    <s v="09-Oct-2024"/>
    <s v="02-Oct-2024"/>
    <n v="7"/>
    <s v="CUST-7221"/>
    <s v="Ananya Rao"/>
    <x v="0"/>
    <x v="2"/>
    <s v="Tamil Nadu"/>
    <s v="Chennai"/>
    <x v="0"/>
    <x v="0"/>
    <s v="Smart Paper 872"/>
    <x v="3"/>
    <n v="8"/>
    <n v="1910.31"/>
    <n v="0.15"/>
    <n v="12990.11"/>
    <n v="10200.799999999999"/>
    <n v="2789.31"/>
    <s v="Paid"/>
    <x v="0"/>
    <s v="Unique"/>
    <m/>
    <s v="Clean"/>
    <s v="valid"/>
    <n v="0.15"/>
    <n v="12990.108"/>
    <n v="2789.3080000000009"/>
    <n v="0.2147255434673831"/>
    <x v="4"/>
    <n v="2024"/>
    <s v="Clean"/>
  </r>
  <r>
    <x v="637"/>
    <s v="26-05-2024"/>
    <s v="2024-05-26"/>
    <s v="26-May-2024"/>
    <s v="26-May-2024"/>
    <n v="0"/>
    <s v="CUST-2594"/>
    <s v="Rahul Verma"/>
    <x v="1"/>
    <x v="3"/>
    <s v="Goa"/>
    <s v="Panaji"/>
    <x v="2"/>
    <x v="6"/>
    <s v="Max Copiers 994"/>
    <x v="2"/>
    <n v="2"/>
    <n v="3192.47"/>
    <n v="0.2"/>
    <n v="5107.95"/>
    <n v="3133.08"/>
    <n v="1974.87"/>
    <s v="Paid"/>
    <x v="0"/>
    <s v="Unique"/>
    <m/>
    <s v="Clean"/>
    <s v="valid"/>
    <n v="0.2"/>
    <n v="5107.9520000000002"/>
    <n v="1974.8720000000003"/>
    <n v="0.38662696908663202"/>
    <x v="3"/>
    <n v="2024"/>
    <s v="Clean"/>
  </r>
  <r>
    <x v="638"/>
    <s v="26 Jan 2024"/>
    <s v="31-01-2024"/>
    <s v="31-Jan-2024"/>
    <s v="26-Jan-2024"/>
    <n v="5"/>
    <s v="CUST-2111"/>
    <s v="Karan Malhotra"/>
    <x v="2"/>
    <x v="2"/>
    <s v="Kerala"/>
    <s v="Kochi"/>
    <x v="0"/>
    <x v="8"/>
    <s v="Pro Storage 744"/>
    <x v="0"/>
    <n v="3"/>
    <n v="3224.32"/>
    <n v="0.2"/>
    <n v="7738.37"/>
    <n v="4626.8500000000004"/>
    <n v="3111.52"/>
    <s v="Failed"/>
    <x v="2"/>
    <s v="Unique"/>
    <m/>
    <s v="Clean"/>
    <s v="valid"/>
    <n v="0.2"/>
    <n v="7738.3680000000013"/>
    <n v="3111.5180000000009"/>
    <n v="0.40208969126306743"/>
    <x v="8"/>
    <n v="2024"/>
    <s v="Warning"/>
  </r>
  <r>
    <x v="639"/>
    <s v="12/27/2024"/>
    <s v="31-12-2024"/>
    <s v="31-Dec-2024"/>
    <s v="27-Dec-2024"/>
    <n v="4"/>
    <s v="CUST-6829"/>
    <s v="Isha Nair"/>
    <x v="1"/>
    <x v="1"/>
    <s v="Odisha"/>
    <s v="Bhubaneswar"/>
    <x v="1"/>
    <x v="4"/>
    <s v="Elite Chairs 744"/>
    <x v="0"/>
    <n v="1"/>
    <n v="1594.7"/>
    <n v="0.05"/>
    <n v="1514.96"/>
    <n v="1046.17"/>
    <n v="468.79"/>
    <s v="Paid"/>
    <x v="0"/>
    <s v="Unique"/>
    <m/>
    <s v="Clean"/>
    <s v="valid"/>
    <n v="0.05"/>
    <n v="1514.9649999999999"/>
    <n v="468.79499999999985"/>
    <n v="0.3094427924077453"/>
    <x v="7"/>
    <n v="2024"/>
    <s v="Clean"/>
  </r>
  <r>
    <x v="640"/>
    <s v="14-01-2025"/>
    <s v="17 Jan 2025"/>
    <s v="17-Jan-2025"/>
    <s v="14-Jan-2025"/>
    <n v="3"/>
    <s v="CUST-5061"/>
    <s v="Vikram Iyer"/>
    <x v="0"/>
    <x v="3"/>
    <s v="Goa"/>
    <s v="Panaji"/>
    <x v="0"/>
    <x v="8"/>
    <s v="Basic Storage 973"/>
    <x v="2"/>
    <n v="1"/>
    <n v="1584.12"/>
    <n v="0.2"/>
    <n v="1267.3"/>
    <n v="923.53"/>
    <n v="343.77"/>
    <s v="Paid"/>
    <x v="0"/>
    <s v="Unique"/>
    <m/>
    <s v="Clean"/>
    <s v="valid"/>
    <n v="0.2"/>
    <n v="1267.296"/>
    <n v="343.76600000000008"/>
    <n v="0.27125943741635739"/>
    <x v="8"/>
    <n v="2025"/>
    <s v="Clean"/>
  </r>
  <r>
    <x v="641"/>
    <s v="2025-04-09"/>
    <s v="2025-04-14"/>
    <s v="14-Apr-2025"/>
    <s v="09-Apr-2025"/>
    <n v="5"/>
    <s v="CUST-7915"/>
    <s v="Karan Malhotra"/>
    <x v="0"/>
    <x v="0"/>
    <s v="Delhi"/>
    <s v="New Delhi"/>
    <x v="1"/>
    <x v="3"/>
    <s v="Smart Furnishings 783"/>
    <x v="1"/>
    <n v="2"/>
    <n v="3202.87"/>
    <n v="0"/>
    <n v="6405.74"/>
    <n v="3561.87"/>
    <n v="2843.87"/>
    <s v="Paid"/>
    <x v="0"/>
    <s v="Unique"/>
    <m/>
    <s v="Clean"/>
    <s v="valid"/>
    <n v="0"/>
    <n v="6405.74"/>
    <n v="2843.87"/>
    <n v="0.44395651400150488"/>
    <x v="11"/>
    <n v="2025"/>
    <s v="Clean"/>
  </r>
  <r>
    <x v="642"/>
    <s v="08/29/2024"/>
    <s v="08/31/2024"/>
    <s v="31-Aug-2024"/>
    <s v="29-Aug-2024"/>
    <n v="2"/>
    <s v="CUST-1940"/>
    <s v="Isha Nair"/>
    <x v="3"/>
    <x v="1"/>
    <s v="Assam"/>
    <s v="Guwahati"/>
    <x v="0"/>
    <x v="9"/>
    <s v="Prime Binders 287"/>
    <x v="0"/>
    <n v="9"/>
    <n v="1275.21"/>
    <n v="0.25"/>
    <n v="8607.67"/>
    <n v="5337.64"/>
    <n v="3270.03"/>
    <s v="Failed"/>
    <x v="2"/>
    <s v="Unique"/>
    <m/>
    <s v="Clean"/>
    <s v="valid"/>
    <n v="0.25"/>
    <n v="8607.6674999999996"/>
    <n v="3270.0274999999992"/>
    <n v="0.37989705108846261"/>
    <x v="1"/>
    <n v="2024"/>
    <s v="Warning"/>
  </r>
  <r>
    <x v="643"/>
    <s v="05-02-2024"/>
    <s v="2024-02-13"/>
    <s v="13-Feb-2024"/>
    <s v="05-Feb-2024"/>
    <n v="8"/>
    <s v="CUST-1986"/>
    <s v="Aarav Sharma"/>
    <x v="3"/>
    <x v="0"/>
    <s v="Uttar Pradesh"/>
    <s v="Noida"/>
    <x v="0"/>
    <x v="7"/>
    <s v="Elite Labels 654"/>
    <x v="3"/>
    <n v="8"/>
    <n v="3871.18"/>
    <n v="0.15"/>
    <n v="26324.02"/>
    <n v="16277.96"/>
    <n v="10046.06"/>
    <s v="Failed"/>
    <x v="2"/>
    <s v="Unique"/>
    <m/>
    <s v="Clean"/>
    <s v="valid"/>
    <n v="0.15"/>
    <n v="26324.023999999998"/>
    <n v="10046.063999999998"/>
    <n v="0.3816310150758106"/>
    <x v="5"/>
    <n v="2024"/>
    <s v="Warning"/>
  </r>
  <r>
    <x v="644"/>
    <s v="2025-04-10"/>
    <s v="04/17/2025"/>
    <s v="17-Apr-2025"/>
    <s v="10-Apr-2025"/>
    <n v="7"/>
    <s v="CUST-5549"/>
    <s v="Vikram Iyer"/>
    <x v="0"/>
    <x v="1"/>
    <s v="West Bengal"/>
    <s v="Kolkata"/>
    <x v="1"/>
    <x v="4"/>
    <s v="Pro Chairs 812"/>
    <x v="3"/>
    <n v="4"/>
    <n v="3750.02"/>
    <n v="0.05"/>
    <n v="14250.08"/>
    <n v="10914.92"/>
    <n v="3335.16"/>
    <s v="Paid"/>
    <x v="0"/>
    <s v="Unique"/>
    <m/>
    <s v="Clean"/>
    <s v="valid"/>
    <n v="0.05"/>
    <n v="14250.075999999999"/>
    <n v="3335.155999999999"/>
    <n v="0.23404478684885605"/>
    <x v="11"/>
    <n v="2025"/>
    <s v="Clean"/>
  </r>
  <r>
    <x v="645"/>
    <s v="2024-01-04"/>
    <s v="09-01-2024"/>
    <s v="09-Jan-2024"/>
    <s v="04-Jan-2024"/>
    <n v="5"/>
    <s v="CUST-2314"/>
    <s v="Kabir Singh"/>
    <x v="0"/>
    <x v="1"/>
    <s v="Bihar"/>
    <s v="Patna"/>
    <x v="1"/>
    <x v="4"/>
    <s v="Basic Chairs 480"/>
    <x v="0"/>
    <n v="6"/>
    <n v="2423.61"/>
    <n v="0.1"/>
    <n v="13087.49"/>
    <n v="7608.89"/>
    <n v="5133.22"/>
    <s v="Paid"/>
    <x v="0"/>
    <s v="Unique"/>
    <m/>
    <s v="Clean"/>
    <s v="valid"/>
    <n v="0.1"/>
    <n v="13087.494000000001"/>
    <n v="5478.6040000000003"/>
    <n v="0.41861367806548755"/>
    <x v="8"/>
    <n v="2024"/>
    <s v="Clean"/>
  </r>
  <r>
    <x v="646"/>
    <s v="09/18/2024"/>
    <s v="24-09-2024"/>
    <s v="24-Sep-2024"/>
    <s v="18-Sep-2024"/>
    <n v="6"/>
    <s v="CUST-6360"/>
    <s v="Vikram Iyer"/>
    <x v="1"/>
    <x v="1"/>
    <s v="Jharkhand"/>
    <s v="Ranchi"/>
    <x v="2"/>
    <x v="12"/>
    <s v="Elite Machines 955"/>
    <x v="2"/>
    <n v="3"/>
    <n v="729.14"/>
    <n v="0.25"/>
    <n v="1640.57"/>
    <n v="1136.98"/>
    <n v="503.59"/>
    <s v="Paid"/>
    <x v="0"/>
    <s v="Unique"/>
    <m/>
    <s v="Clean"/>
    <s v="valid"/>
    <n v="0.25"/>
    <n v="1640.5650000000001"/>
    <n v="503.58500000000004"/>
    <n v="0.30695827352162214"/>
    <x v="6"/>
    <n v="2024"/>
    <s v="Clean"/>
  </r>
  <r>
    <x v="647"/>
    <s v="01/01/2025"/>
    <s v="09-01-2025"/>
    <s v="09-Jan-2025"/>
    <s v="01-Jan-2025"/>
    <n v="8"/>
    <s v="CUST-9942"/>
    <s v="Rohan  Mehta"/>
    <x v="1"/>
    <x v="0"/>
    <s v="Punjab"/>
    <s v="Ludhiana"/>
    <x v="0"/>
    <x v="2"/>
    <s v="Prime Art 461"/>
    <x v="2"/>
    <n v="8"/>
    <n v="2123.81"/>
    <n v="0.15"/>
    <n v="14441.91"/>
    <n v="10872.89"/>
    <n v="3569.02"/>
    <s v="Paid"/>
    <x v="0"/>
    <s v="Unique"/>
    <m/>
    <s v="Clean"/>
    <s v="valid"/>
    <n v="0.15"/>
    <n v="14441.907999999999"/>
    <n v="3569.018"/>
    <n v="0.24712925743606731"/>
    <x v="8"/>
    <n v="2025"/>
    <s v="Clean"/>
  </r>
  <r>
    <x v="648"/>
    <s v="21-04-2024"/>
    <s v="24 Apr 2024"/>
    <s v="24-Apr-2024"/>
    <s v="21-Apr-2024"/>
    <n v="3"/>
    <s v="CUST-1808"/>
    <s v="Neha Gupta"/>
    <x v="1"/>
    <x v="2"/>
    <s v="Andhra Pradesh"/>
    <s v="Vijayawada"/>
    <x v="0"/>
    <x v="2"/>
    <s v="Prime Art 301"/>
    <x v="1"/>
    <n v="9"/>
    <n v="703.59"/>
    <n v="0.2"/>
    <n v="5065.8500000000004"/>
    <n v="3517.23"/>
    <n v="1548.62"/>
    <s v="Failed"/>
    <x v="2"/>
    <s v="Unique"/>
    <m/>
    <s v="Clean"/>
    <s v="valid"/>
    <n v="0.2"/>
    <n v="5065.8480000000009"/>
    <n v="1548.6180000000008"/>
    <n v="0.30569768378364304"/>
    <x v="11"/>
    <n v="2024"/>
    <s v="Warning"/>
  </r>
  <r>
    <x v="649"/>
    <s v="11 Aug 2025"/>
    <s v="19-08-2025"/>
    <s v="19-Aug-2025"/>
    <s v="11-Aug-2025"/>
    <n v="8"/>
    <s v="CUST-7277"/>
    <s v="Kabir Singh"/>
    <x v="1"/>
    <x v="2"/>
    <s v="Kerala"/>
    <s v="Kochi"/>
    <x v="2"/>
    <x v="5"/>
    <s v="Classic Accessories 354"/>
    <x v="3"/>
    <n v="4"/>
    <n v="2258.96"/>
    <n v="0.25"/>
    <n v="6776.88"/>
    <n v="3836.24"/>
    <n v="2940.64"/>
    <s v="Paid"/>
    <x v="0"/>
    <s v="Unique"/>
    <m/>
    <s v="Clean"/>
    <s v="valid"/>
    <n v="0.25"/>
    <n v="6776.88"/>
    <n v="2940.6400000000003"/>
    <n v="0.43392239496641527"/>
    <x v="1"/>
    <n v="2025"/>
    <s v="Clean"/>
  </r>
  <r>
    <x v="650"/>
    <s v="04/13/2024"/>
    <s v="21 Apr 2024"/>
    <s v="21-Apr-2024"/>
    <s v="13-Apr-2024"/>
    <n v="8"/>
    <s v="CUST-7744"/>
    <s v="Aarav Sharma"/>
    <x v="3"/>
    <x v="1"/>
    <s v="Bihar"/>
    <s v="Patna"/>
    <x v="2"/>
    <x v="5"/>
    <s v="Basic Accessories 210"/>
    <x v="1"/>
    <n v="7"/>
    <n v="2648.76"/>
    <n v="0.15"/>
    <n v="15760.12"/>
    <n v="9931.5300000000007"/>
    <n v="5828.59"/>
    <s v="Failed"/>
    <x v="2"/>
    <s v="Unique"/>
    <m/>
    <s v="Clean"/>
    <s v="valid"/>
    <n v="0.15"/>
    <n v="15760.121999999999"/>
    <n v="5828.5919999999987"/>
    <n v="0.36983165485647884"/>
    <x v="11"/>
    <n v="2024"/>
    <s v="Warning"/>
  </r>
  <r>
    <x v="651"/>
    <s v="06 Aug 2025"/>
    <s v="09-08-2025"/>
    <s v="09-Aug-2025"/>
    <s v="06-Aug-2025"/>
    <n v="3"/>
    <s v="CUST-2660"/>
    <s v="Mira Das"/>
    <x v="1"/>
    <x v="2"/>
    <s v="Andhra Pradesh"/>
    <s v="Vijayawada"/>
    <x v="0"/>
    <x v="0"/>
    <s v="Smart Paper 364"/>
    <x v="0"/>
    <n v="3"/>
    <n v="598.54999999999995"/>
    <n v="0"/>
    <n v="1795.65"/>
    <n v="996.72"/>
    <n v="798.93"/>
    <s v="Paid"/>
    <x v="0"/>
    <s v="Unique"/>
    <m/>
    <s v="Clean"/>
    <s v="valid"/>
    <n v="0"/>
    <n v="1795.6499999999999"/>
    <n v="798.92999999999984"/>
    <n v="0.44492523598696843"/>
    <x v="1"/>
    <n v="2025"/>
    <s v="Clean"/>
  </r>
  <r>
    <x v="652"/>
    <s v="03/17/2025"/>
    <s v="2025-03-21"/>
    <s v="21-Mar-2025"/>
    <s v="17-Mar-2025"/>
    <n v="4"/>
    <s v="CUST-8177"/>
    <s v="Sneha Kapoor"/>
    <x v="0"/>
    <x v="0"/>
    <s v="Uttar Pradesh"/>
    <s v="Noida"/>
    <x v="0"/>
    <x v="9"/>
    <s v="Smart Binders 999"/>
    <x v="3"/>
    <n v="5"/>
    <n v="4320.59"/>
    <n v="0.15"/>
    <n v="18362.509999999998"/>
    <n v="11133.97"/>
    <n v="7228.54"/>
    <s v="Paid"/>
    <x v="0"/>
    <s v="Unique"/>
    <m/>
    <s v="Clean"/>
    <s v="valid"/>
    <n v="0.15"/>
    <n v="18362.5075"/>
    <n v="7228.5375000000004"/>
    <n v="0.39365742941153326"/>
    <x v="9"/>
    <n v="2025"/>
    <s v="Clean"/>
  </r>
  <r>
    <x v="653"/>
    <s v="04-04-2025"/>
    <s v="04/07/2025"/>
    <s v="04-Jul-2025"/>
    <s v="04-Apr-2025"/>
    <n v="91"/>
    <s v="CUST-3970"/>
    <s v="Priya Menon"/>
    <x v="1"/>
    <x v="2"/>
    <s v="Tamil Nadu"/>
    <s v="Chennai"/>
    <x v="2"/>
    <x v="6"/>
    <s v="Max Copiers 356"/>
    <x v="0"/>
    <n v="7"/>
    <n v="4457.93"/>
    <n v="0.15"/>
    <n v="26524.68"/>
    <n v="20574.3"/>
    <n v="5950.38"/>
    <s v="Paid"/>
    <x v="0"/>
    <s v="Unique"/>
    <m/>
    <s v="Clean"/>
    <s v="valid"/>
    <n v="0.15"/>
    <n v="26524.683500000003"/>
    <n v="5950.3835000000036"/>
    <n v="0.22433381721595294"/>
    <x v="11"/>
    <n v="2025"/>
    <s v="Clean"/>
  </r>
  <r>
    <x v="654"/>
    <s v="10/12/2025"/>
    <s v="16-10-2025"/>
    <s v="16-Oct-2025"/>
    <s v="10-Dec-2025"/>
    <n v="-55"/>
    <s v="CUST-8249"/>
    <s v="Diya Patel"/>
    <x v="2"/>
    <x v="1"/>
    <s v="Bihar"/>
    <s v="Patna"/>
    <x v="2"/>
    <x v="12"/>
    <s v="Classic Machines 639"/>
    <x v="1"/>
    <n v="1"/>
    <n v="2570.06"/>
    <n v="0.2"/>
    <n v="2056.0500000000002"/>
    <n v="1662.39"/>
    <n v="393.66"/>
    <s v="Paid"/>
    <x v="0"/>
    <s v="Unique"/>
    <m/>
    <s v="Clean"/>
    <s v="Invalid"/>
    <n v="0.2"/>
    <n v="2056.0480000000002"/>
    <n v="393.65800000000013"/>
    <n v="0.19146342886936496"/>
    <x v="7"/>
    <n v="2025"/>
    <s v="Clean"/>
  </r>
  <r>
    <x v="655"/>
    <s v="08/26/2025"/>
    <s v="08/26/2025"/>
    <s v="26-Aug-2025"/>
    <s v="26-Aug-2025"/>
    <n v="0"/>
    <s v="CUST-8039"/>
    <s v="Neha Gupta"/>
    <x v="3"/>
    <x v="1"/>
    <s v="West Bengal"/>
    <s v="Kolkata"/>
    <x v="1"/>
    <x v="3"/>
    <s v="Smart Furnishings 748"/>
    <x v="3"/>
    <n v="4"/>
    <n v="2151.8200000000002"/>
    <n v="0"/>
    <n v="8607.2800000000007"/>
    <n v="5124.01"/>
    <n v="3483.27"/>
    <s v="Paid"/>
    <x v="0"/>
    <s v="Unique"/>
    <m/>
    <s v="Clean"/>
    <s v="valid"/>
    <n v="0"/>
    <n v="8607.2800000000007"/>
    <n v="3483.2700000000004"/>
    <n v="0.40468882155570635"/>
    <x v="1"/>
    <n v="2025"/>
    <s v="Clean"/>
  </r>
  <r>
    <x v="656"/>
    <s v="07-05-2024"/>
    <s v="05/14/2024"/>
    <s v="14-May-2024"/>
    <s v="07-May-2024"/>
    <n v="7"/>
    <s v="CUST-4446"/>
    <s v="Neha Gupta"/>
    <x v="1"/>
    <x v="0"/>
    <s v="Haryana"/>
    <s v="Gurugram"/>
    <x v="2"/>
    <x v="12"/>
    <s v="Pro Machines 589"/>
    <x v="1"/>
    <n v="4"/>
    <n v="2751.1"/>
    <n v="-0.05"/>
    <n v="9903.9599999999991"/>
    <n v="7696.28"/>
    <n v="2207.6799999999998"/>
    <s v="Paid"/>
    <x v="0"/>
    <s v="Unique"/>
    <m/>
    <s v="Invalid"/>
    <s v="valid"/>
    <n v="-0.05"/>
    <n v="11554.62"/>
    <n v="3858.3400000000011"/>
    <n v="0.33392184251840396"/>
    <x v="3"/>
    <n v="2024"/>
    <s v="Invalid"/>
  </r>
  <r>
    <x v="657"/>
    <s v="08/07/2025"/>
    <s v="2025-08-10"/>
    <s v="10-Aug-2025"/>
    <s v="08-Jul-2025"/>
    <n v="33"/>
    <s v="CUST-7787"/>
    <s v="Aditi Sen"/>
    <x v="3"/>
    <x v="1"/>
    <s v="Bihar"/>
    <s v="Patna"/>
    <x v="0"/>
    <x v="8"/>
    <s v="Eco Storage 316"/>
    <x v="0"/>
    <n v="1"/>
    <n v="2541.25"/>
    <n v="0.2"/>
    <n v="2033"/>
    <n v="1291.4100000000001"/>
    <n v="741.59"/>
    <s v="Paid"/>
    <x v="0"/>
    <s v="Unique"/>
    <m/>
    <s v="Clean"/>
    <s v="valid"/>
    <n v="0.2"/>
    <n v="2033"/>
    <n v="741.58999999999992"/>
    <n v="0.36477619281849477"/>
    <x v="0"/>
    <n v="2025"/>
    <s v="Clean"/>
  </r>
  <r>
    <x v="658"/>
    <s v="2025-06-09"/>
    <s v="06/12/2025"/>
    <s v="06-Dec-2025"/>
    <s v="09-Jun-2025"/>
    <n v="180"/>
    <s v="CUST-9074"/>
    <s v="Sneha Kapoor"/>
    <x v="0"/>
    <x v="4"/>
    <s v="Bihar"/>
    <s v="Patna"/>
    <x v="0"/>
    <x v="2"/>
    <s v="Eco Art 763"/>
    <x v="2"/>
    <n v="7"/>
    <n v="2852.42"/>
    <n v="0"/>
    <n v="19966.939999999999"/>
    <n v="12690.83"/>
    <n v="7276.11"/>
    <s v="Refunded"/>
    <x v="1"/>
    <s v="Unique"/>
    <m/>
    <s v="Clean"/>
    <s v="valid"/>
    <n v="0"/>
    <n v="19966.940000000002"/>
    <n v="7276.1100000000024"/>
    <n v="0.36440786620283339"/>
    <x v="10"/>
    <n v="2025"/>
    <s v="Warning"/>
  </r>
  <r>
    <x v="659"/>
    <s v="21-01-2025"/>
    <s v="2025-01-22"/>
    <s v="22-Jan-2025"/>
    <s v="21-Jan-2025"/>
    <n v="1"/>
    <s v="CUST-8330"/>
    <s v="Diya Patel"/>
    <x v="2"/>
    <x v="2"/>
    <s v="Karnataka"/>
    <s v="Bengaluru"/>
    <x v="2"/>
    <x v="11"/>
    <s v="Pro Phones 356"/>
    <x v="0"/>
    <n v="2"/>
    <n v="444.31"/>
    <n v="0.2"/>
    <n v="710.9"/>
    <n v="513.88"/>
    <n v="197.02"/>
    <s v="Refunded"/>
    <x v="1"/>
    <s v="Unique"/>
    <m/>
    <s v="Clean"/>
    <s v="valid"/>
    <n v="0.2"/>
    <n v="710.89600000000007"/>
    <n v="197.01600000000008"/>
    <n v="0.27713758411919615"/>
    <x v="8"/>
    <n v="2025"/>
    <s v="Warning"/>
  </r>
  <r>
    <x v="660"/>
    <s v="07/15/2025"/>
    <s v="15-07-2025"/>
    <s v="15-Jul-2025"/>
    <s v="15-Jul-2025"/>
    <n v="0"/>
    <s v="CUST-5638"/>
    <s v="Arjun Bose"/>
    <x v="1"/>
    <x v="1"/>
    <s v="Jharkhand"/>
    <s v="Ranchi"/>
    <x v="2"/>
    <x v="11"/>
    <s v="Basic Phones 865"/>
    <x v="1"/>
    <n v="4"/>
    <n v="4442.91"/>
    <n v="0.1"/>
    <n v="15994.48"/>
    <n v="9224.2800000000007"/>
    <n v="6770.2"/>
    <s v="Paid"/>
    <x v="0"/>
    <s v="Unique"/>
    <m/>
    <s v="Clean"/>
    <s v="valid"/>
    <n v="0.1"/>
    <n v="15994.476000000001"/>
    <n v="6770.1959999999999"/>
    <n v="0.42328338858991066"/>
    <x v="0"/>
    <n v="2025"/>
    <s v="Clean"/>
  </r>
  <r>
    <x v="661"/>
    <s v="17-05-2024"/>
    <s v="2024-05-22"/>
    <s v="22-May-2024"/>
    <s v="17-May-2024"/>
    <n v="5"/>
    <s v="CUST-4537"/>
    <s v="Sneha Kapoor"/>
    <x v="0"/>
    <x v="2"/>
    <s v="Andhra Pradesh"/>
    <s v="Vijayawada"/>
    <x v="2"/>
    <x v="12"/>
    <s v="Max Machines 595"/>
    <x v="0"/>
    <n v="7"/>
    <n v="232.5"/>
    <n v="0"/>
    <n v="1627.5"/>
    <n v="939.9"/>
    <n v="687.6"/>
    <s v="Paid"/>
    <x v="0"/>
    <s v="Unique"/>
    <m/>
    <s v="Clean"/>
    <s v="valid"/>
    <n v="0"/>
    <n v="1627.5"/>
    <n v="687.6"/>
    <n v="0.4224884792626728"/>
    <x v="3"/>
    <n v="2024"/>
    <s v="Clean"/>
  </r>
  <r>
    <x v="662"/>
    <s v="2024-01-14"/>
    <s v="18-01-2024"/>
    <s v="18-Jan-2024"/>
    <s v="14-Jan-2024"/>
    <n v="4"/>
    <s v="CUST-3181"/>
    <s v="Mira Das"/>
    <x v="3"/>
    <x v="3"/>
    <s v="Rajasthan"/>
    <s v="Udaipur"/>
    <x v="2"/>
    <x v="12"/>
    <s v="Elite Machines 367"/>
    <x v="1"/>
    <n v="6"/>
    <n v="1784.8"/>
    <n v="0.1"/>
    <n v="9637.92"/>
    <n v="7329.29"/>
    <n v="2308.63"/>
    <s v="Paid"/>
    <x v="0"/>
    <s v="Unique"/>
    <m/>
    <s v="Clean"/>
    <s v="valid"/>
    <n v="0.1"/>
    <n v="9637.92"/>
    <n v="2308.63"/>
    <n v="0.2395361239769577"/>
    <x v="8"/>
    <n v="2024"/>
    <s v="Clean"/>
  </r>
  <r>
    <x v="663"/>
    <s v="05/02/2024"/>
    <s v="2024-05-08"/>
    <s v="08-May-2024"/>
    <s v="05-Feb-2024"/>
    <n v="93"/>
    <s v="CUST-1015"/>
    <s v="Rahul Verma"/>
    <x v="3"/>
    <x v="1"/>
    <s v="Jharkhand"/>
    <s v="Ranchi"/>
    <x v="2"/>
    <x v="6"/>
    <s v="Basic Copiers 787"/>
    <x v="0"/>
    <n v="2"/>
    <n v="3185.01"/>
    <n v="-0.24"/>
    <n v="4777.5200000000004"/>
    <n v="3152.98"/>
    <n v="1624.54"/>
    <s v="Paid"/>
    <x v="0"/>
    <s v="Unique"/>
    <m/>
    <s v="Invalid"/>
    <s v="valid"/>
    <n v="-0.24"/>
    <n v="7898.8248000000003"/>
    <n v="4745.8448000000008"/>
    <n v="0.60082922715287979"/>
    <x v="5"/>
    <n v="2024"/>
    <s v="Invalid"/>
  </r>
  <r>
    <x v="664"/>
    <s v="07 Dec 2024"/>
    <s v="10 Dec 2024"/>
    <s v="10-Dec-2024"/>
    <s v="07-Dec-2024"/>
    <n v="3"/>
    <s v="CUST-2709"/>
    <s v="Mira Das"/>
    <x v="3"/>
    <x v="2"/>
    <s v="Telangana"/>
    <s v="Hyderabad"/>
    <x v="2"/>
    <x v="5"/>
    <s v="Max Accessories 903"/>
    <x v="3"/>
    <n v="1"/>
    <n v="1908.83"/>
    <n v="0.2"/>
    <n v="1527.06"/>
    <n v="1055.8900000000001"/>
    <n v="471.17"/>
    <s v="Paid"/>
    <x v="0"/>
    <s v="Unique"/>
    <m/>
    <s v="Clean"/>
    <s v="valid"/>
    <n v="0.2"/>
    <n v="1527.0640000000001"/>
    <n v="471.17399999999998"/>
    <n v="0.30854895407134209"/>
    <x v="7"/>
    <n v="2024"/>
    <s v="Clean"/>
  </r>
  <r>
    <x v="665"/>
    <s v="2025-01-13"/>
    <s v="01/13/2025"/>
    <s v="13-Jan-2025"/>
    <s v="13-Jan-2025"/>
    <n v="0"/>
    <s v="CUST-1197"/>
    <s v="  Rahul Verma "/>
    <x v="3"/>
    <x v="3"/>
    <s v="Gujarat"/>
    <s v="Ahmedabad"/>
    <x v="0"/>
    <x v="2"/>
    <s v="Max Art 660"/>
    <x v="3"/>
    <n v="3"/>
    <n v="2110.52"/>
    <n v="0.1"/>
    <n v="5698.4"/>
    <n v="3640.89"/>
    <n v="2057.5100000000002"/>
    <s v="Failed"/>
    <x v="1"/>
    <s v="Unique"/>
    <m/>
    <s v="Clean"/>
    <s v="valid"/>
    <n v="0.1"/>
    <n v="5698.4039999999995"/>
    <n v="2057.5139999999997"/>
    <n v="0.36106846759197836"/>
    <x v="8"/>
    <n v="2025"/>
    <s v="Warning"/>
  </r>
  <r>
    <x v="666"/>
    <s v="21 Jun 2024"/>
    <s v="06/26/2024"/>
    <s v="26-Jun-2024"/>
    <s v="21-Jun-2024"/>
    <n v="5"/>
    <s v="CUST-7758"/>
    <s v="Rohan Mehta"/>
    <x v="1"/>
    <x v="0"/>
    <s v="Punjab"/>
    <s v="Ludhiana"/>
    <x v="2"/>
    <x v="6"/>
    <s v="Classic Copiers 908"/>
    <x v="1"/>
    <n v="1"/>
    <n v="279.83"/>
    <n v="0.05"/>
    <n v="265.83999999999997"/>
    <n v="223.49"/>
    <n v="42.35"/>
    <s v="Paid"/>
    <x v="0"/>
    <s v="Unique"/>
    <m/>
    <s v="Clean"/>
    <s v="valid"/>
    <n v="0.05"/>
    <n v="265.83849999999995"/>
    <n v="42.348499999999945"/>
    <n v="0.15930160605028976"/>
    <x v="10"/>
    <n v="2024"/>
    <s v="Clean"/>
  </r>
  <r>
    <x v="667"/>
    <s v="20-05-2025"/>
    <s v="27-05-2025"/>
    <s v="27-May-2025"/>
    <s v="20-May-2025"/>
    <n v="7"/>
    <s v="CUST-3912"/>
    <s v="Diya Patel"/>
    <x v="1"/>
    <x v="1"/>
    <s v="Bihar"/>
    <s v="Patna"/>
    <x v="2"/>
    <x v="12"/>
    <s v="Pro Machines 706"/>
    <x v="3"/>
    <n v="1"/>
    <n v="3959.14"/>
    <n v="0"/>
    <n v="3959.14"/>
    <n v="3239.53"/>
    <n v="719.61"/>
    <s v="Pending"/>
    <x v="2"/>
    <s v="Unique"/>
    <m/>
    <s v="Clean"/>
    <s v="valid"/>
    <n v="0"/>
    <n v="3959.14"/>
    <n v="719.60999999999967"/>
    <n v="0.18175916992074029"/>
    <x v="3"/>
    <n v="2025"/>
    <s v="Clean"/>
  </r>
  <r>
    <x v="668"/>
    <s v="11/21/2024"/>
    <s v="23 Nov 2024"/>
    <s v="23-Nov-2024"/>
    <s v="21-Nov-2024"/>
    <n v="2"/>
    <s v="CUST-4190"/>
    <s v="Mira Das"/>
    <x v="2"/>
    <x v="3"/>
    <s v="Gujarat"/>
    <s v="Ahmedabad"/>
    <x v="0"/>
    <x v="0"/>
    <s v="Pro Paper 187"/>
    <x v="0"/>
    <n v="5"/>
    <n v="600.46"/>
    <n v="0.2"/>
    <n v="2401.84"/>
    <n v="1873.11"/>
    <n v="528.73"/>
    <s v="Paid"/>
    <x v="0"/>
    <s v="Unique"/>
    <m/>
    <s v="Clean"/>
    <s v="valid"/>
    <n v="0.2"/>
    <n v="2401.84"/>
    <n v="528.73000000000025"/>
    <n v="0.22013539619624964"/>
    <x v="2"/>
    <n v="2024"/>
    <s v="Clean"/>
  </r>
  <r>
    <x v="669"/>
    <s v="2024-03-24"/>
    <s v="01 Apr 2024"/>
    <s v="01-Apr-2024"/>
    <s v="24-Mar-2024"/>
    <n v="8"/>
    <s v="CUST-7568"/>
    <s v="Ananya Rao"/>
    <x v="3"/>
    <x v="3"/>
    <s v="Maharashtra"/>
    <s v="Mumbai"/>
    <x v="1"/>
    <x v="1"/>
    <s v="Classic Tables 606"/>
    <x v="0"/>
    <n v="4"/>
    <n v="1700.72"/>
    <n v="0.25"/>
    <n v="5102.16"/>
    <n v="3226.45"/>
    <n v="1875.71"/>
    <s v="Paid"/>
    <x v="0"/>
    <s v="Unique"/>
    <m/>
    <s v="Clean"/>
    <s v="valid"/>
    <n v="0.25"/>
    <n v="5102.16"/>
    <n v="1875.71"/>
    <n v="0.36763057214983458"/>
    <x v="9"/>
    <n v="2024"/>
    <s v="Clean"/>
  </r>
  <r>
    <x v="670"/>
    <s v="02/02/2025"/>
    <s v="06 Feb 2025"/>
    <s v="06-Feb-2025"/>
    <s v="02-Feb-2025"/>
    <n v="4"/>
    <s v="CUST-5604"/>
    <s v="Sneha Kapoor"/>
    <x v="2"/>
    <x v="0"/>
    <s v="Uttar Pradesh"/>
    <s v="Noida"/>
    <x v="1"/>
    <x v="1"/>
    <s v="Smart Tables 835"/>
    <x v="3"/>
    <n v="8"/>
    <n v="857.86"/>
    <n v="0.1"/>
    <n v="6176.59"/>
    <n v="3560.96"/>
    <n v="2615.63"/>
    <s v="Paid"/>
    <x v="0"/>
    <s v="Unique"/>
    <m/>
    <s v="Clean"/>
    <s v="valid"/>
    <n v="0.1"/>
    <n v="6176.5920000000006"/>
    <n v="2615.6320000000005"/>
    <n v="0.42347495188285067"/>
    <x v="5"/>
    <n v="2025"/>
    <s v="Clean"/>
  </r>
  <r>
    <x v="671"/>
    <s v="2024-03-22"/>
    <s v="27-03-2024"/>
    <s v="27-Mar-2024"/>
    <s v="22-Mar-2024"/>
    <n v="5"/>
    <s v="CUST-3293"/>
    <s v="Aditi Sen"/>
    <x v="3"/>
    <x v="3"/>
    <s v="Goa"/>
    <s v="Panaji"/>
    <x v="2"/>
    <x v="6"/>
    <s v="Classic Copiers 583"/>
    <x v="0"/>
    <n v="9"/>
    <n v="3649.51"/>
    <n v="0.05"/>
    <n v="31203.31"/>
    <n v="17738.13"/>
    <n v="13465.18"/>
    <s v="Paid"/>
    <x v="0"/>
    <s v="Unique"/>
    <m/>
    <s v="Clean"/>
    <s v="valid"/>
    <n v="0.05"/>
    <n v="31203.310500000003"/>
    <n v="13465.180500000002"/>
    <n v="0.43153051020019179"/>
    <x v="9"/>
    <n v="2024"/>
    <s v="Clean"/>
  </r>
  <r>
    <x v="672"/>
    <s v="2024-09-04"/>
    <s v="2024-09-05"/>
    <s v="05-Sep-2024"/>
    <s v="04-Sep-2024"/>
    <n v="1"/>
    <s v="CUST-8180"/>
    <s v="Aditi Sen"/>
    <x v="2"/>
    <x v="3"/>
    <s v="Madhya Pradesh"/>
    <s v="Indore"/>
    <x v="1"/>
    <x v="4"/>
    <s v="Classic Chairs 460"/>
    <x v="3"/>
    <n v="5"/>
    <n v="2528.5300000000002"/>
    <n v="0.05"/>
    <n v="12010.52"/>
    <n v="7864.61"/>
    <n v="4145.91"/>
    <s v="Paid"/>
    <x v="2"/>
    <s v="Unique"/>
    <m/>
    <s v="Clean"/>
    <s v="valid"/>
    <n v="0.05"/>
    <n v="12010.5175"/>
    <n v="4145.9075000000003"/>
    <n v="0.34518974723612039"/>
    <x v="6"/>
    <n v="2024"/>
    <s v="Clean"/>
  </r>
  <r>
    <x v="673"/>
    <s v="2025-02-13"/>
    <s v="16 Feb 2025"/>
    <s v="16-Feb-2025"/>
    <s v="13-Feb-2025"/>
    <n v="3"/>
    <s v="CUST-2807"/>
    <s v="Arjun Bose"/>
    <x v="1"/>
    <x v="3"/>
    <s v="Rajasthan"/>
    <s v="Udaipur"/>
    <x v="1"/>
    <x v="10"/>
    <s v="Classic Bookcases 488"/>
    <x v="0"/>
    <n v="4"/>
    <n v="4072.9"/>
    <n v="0.15"/>
    <n v="13847.86"/>
    <n v="8471.7800000000007"/>
    <n v="5376.08"/>
    <s v="Paid"/>
    <x v="0"/>
    <s v="Unique"/>
    <m/>
    <s v="Clean"/>
    <s v="valid"/>
    <n v="0.15"/>
    <n v="13847.86"/>
    <n v="5376.08"/>
    <n v="0.38822460654570451"/>
    <x v="5"/>
    <n v="2025"/>
    <s v="Clean"/>
  </r>
  <r>
    <x v="674"/>
    <s v="2024-05-18"/>
    <s v="2024-05-21"/>
    <s v="21-May-2024"/>
    <s v="18-May-2024"/>
    <n v="3"/>
    <s v="CUST-4081"/>
    <s v="Vikram Iyer"/>
    <x v="2"/>
    <x v="1"/>
    <s v="Jharkhand"/>
    <s v="Ranchi"/>
    <x v="2"/>
    <x v="5"/>
    <s v="Basic Accessories 944"/>
    <x v="0"/>
    <n v="1"/>
    <n v="1033.71"/>
    <n v="0"/>
    <n v="1033.71"/>
    <n v="630.82000000000005"/>
    <n v="402.89"/>
    <s v="Pending"/>
    <x v="2"/>
    <s v="Unique"/>
    <m/>
    <s v="Clean"/>
    <s v="valid"/>
    <n v="0"/>
    <n v="1033.71"/>
    <n v="402.89"/>
    <n v="0.38975147768716562"/>
    <x v="3"/>
    <n v="2024"/>
    <s v="Clean"/>
  </r>
  <r>
    <x v="675"/>
    <s v="07-06-2025"/>
    <s v="06/10/2025"/>
    <s v="06-Oct-2025"/>
    <s v="07-Jun-2025"/>
    <n v="121"/>
    <s v="CUST-5061"/>
    <s v="Aarav Sharma"/>
    <x v="0"/>
    <x v="0"/>
    <s v="Rajasthan"/>
    <s v="Jaipur"/>
    <x v="1"/>
    <x v="3"/>
    <s v="Eco Furnishings 217"/>
    <x v="1"/>
    <n v="3"/>
    <n v="963.26"/>
    <n v="0"/>
    <n v="2889.78"/>
    <n v="1811.23"/>
    <n v="1078.55"/>
    <s v="Paid"/>
    <x v="0"/>
    <s v="Unique"/>
    <m/>
    <s v="Clean"/>
    <s v="valid"/>
    <n v="0"/>
    <n v="2889.7799999999997"/>
    <n v="1078.5499999999997"/>
    <n v="0.37322910394562903"/>
    <x v="10"/>
    <n v="2025"/>
    <s v="Clean"/>
  </r>
  <r>
    <x v="676"/>
    <s v="09/11/2025"/>
    <s v="09/18/2025"/>
    <s v="18-Sep-2025"/>
    <s v="09-Nov-2025"/>
    <n v="-52"/>
    <s v="CUST-9212"/>
    <s v="Rahul Verma"/>
    <x v="1"/>
    <x v="0"/>
    <s v="Delhi"/>
    <s v="New Delhi"/>
    <x v="2"/>
    <x v="11"/>
    <s v="Smart Phones 967"/>
    <x v="1"/>
    <n v="7"/>
    <n v="3411.21"/>
    <n v="0.15"/>
    <n v="20296.7"/>
    <n v="14920.87"/>
    <n v="5375.83"/>
    <s v="Paid"/>
    <x v="0"/>
    <s v="Unique"/>
    <m/>
    <s v="Clean"/>
    <s v="Invalid"/>
    <n v="0.15"/>
    <n v="20296.699499999999"/>
    <n v="5375.829499999998"/>
    <n v="0.26486225014071862"/>
    <x v="2"/>
    <n v="2025"/>
    <s v="Clean"/>
  </r>
  <r>
    <x v="677"/>
    <s v="2024-06-22"/>
    <s v="27-06-2024"/>
    <s v="27-Jun-2024"/>
    <s v="22-Jun-2024"/>
    <n v="5"/>
    <s v="CUST-4655"/>
    <s v="Isha Nair"/>
    <x v="3"/>
    <x v="2"/>
    <s v="Karnataka"/>
    <s v="Bengaluru"/>
    <x v="1"/>
    <x v="4"/>
    <s v="Smart Chairs 610"/>
    <x v="1"/>
    <n v="7"/>
    <n v="2623.48"/>
    <n v="0"/>
    <n v="18364.36"/>
    <n v="15445.81"/>
    <n v="2918.55"/>
    <s v="Paid"/>
    <x v="0"/>
    <s v="Unique"/>
    <m/>
    <s v="Clean"/>
    <s v="valid"/>
    <n v="0"/>
    <n v="18364.36"/>
    <n v="2918.5500000000011"/>
    <n v="0.15892467801763857"/>
    <x v="10"/>
    <n v="2024"/>
    <s v="Clean"/>
  </r>
  <r>
    <x v="678"/>
    <s v="24-11-2024"/>
    <s v="12/01/2024"/>
    <s v="12-Jan-2024"/>
    <s v="24-Nov-2024"/>
    <n v="-317"/>
    <s v="CUST-1674"/>
    <s v="Kabir Singh"/>
    <x v="2"/>
    <x v="2"/>
    <s v="Karnataka"/>
    <s v="Bengaluru"/>
    <x v="1"/>
    <x v="1"/>
    <s v="Prime Tables 123"/>
    <x v="0"/>
    <n v="9"/>
    <n v="2763.61"/>
    <n v="0.15"/>
    <n v="21141.62"/>
    <n v="11676.33"/>
    <n v="9465.2900000000009"/>
    <s v="Paid"/>
    <x v="0"/>
    <s v="Unique"/>
    <m/>
    <s v="Clean"/>
    <s v="Invalid"/>
    <n v="0.15"/>
    <n v="21141.6165"/>
    <n v="9465.2865000000002"/>
    <n v="0.44770874071999178"/>
    <x v="2"/>
    <n v="2024"/>
    <s v="Clean"/>
  </r>
  <r>
    <x v="679"/>
    <s v="16-08-2025"/>
    <s v="23-08-2025"/>
    <s v="23-Aug-2025"/>
    <s v="16-Aug-2025"/>
    <n v="7"/>
    <s v="CUST-2897"/>
    <s v="Rohan Mehta"/>
    <x v="2"/>
    <x v="0"/>
    <s v="Punjab"/>
    <s v="Ludhiana"/>
    <x v="2"/>
    <x v="6"/>
    <s v="Smart Copiers 579"/>
    <x v="1"/>
    <n v="4"/>
    <n v="1410.57"/>
    <s v="70%"/>
    <n v="5360.17"/>
    <n v="3881.51"/>
    <n v="1478.66"/>
    <s v="Refunded"/>
    <x v="1"/>
    <s v="Unique"/>
    <m/>
    <s v="Invalid"/>
    <s v="valid"/>
    <n v="6.9999999999999993E-3"/>
    <n v="5602.7840399999995"/>
    <n v="1721.2740399999993"/>
    <n v="0.30721763104044242"/>
    <x v="1"/>
    <n v="2025"/>
    <s v="Warning"/>
  </r>
  <r>
    <x v="680"/>
    <s v="29 May 2024"/>
    <s v="05 Jun 2024"/>
    <s v="05-Jun-2024"/>
    <s v="29-May-2024"/>
    <n v="7"/>
    <s v="CUST-1136"/>
    <s v="Kabir Singh"/>
    <x v="2"/>
    <x v="2"/>
    <s v="Tamil Nadu"/>
    <s v="Chennai"/>
    <x v="2"/>
    <x v="5"/>
    <s v="Eco Accessories 658"/>
    <x v="2"/>
    <n v="4"/>
    <n v="3700.24"/>
    <n v="0"/>
    <n v="14800.96"/>
    <n v="12048.39"/>
    <n v="2752.57"/>
    <s v="Paid"/>
    <x v="0"/>
    <s v="Unique"/>
    <m/>
    <s v="Clean"/>
    <s v="valid"/>
    <n v="0"/>
    <n v="14800.96"/>
    <n v="2752.5699999999997"/>
    <n v="0.18597239638509933"/>
    <x v="3"/>
    <n v="2024"/>
    <s v="Clean"/>
  </r>
  <r>
    <x v="681"/>
    <s v="07/04/2024"/>
    <s v="2024-07-10"/>
    <s v="10-Jul-2024"/>
    <s v="07-Apr-2024"/>
    <n v="94"/>
    <s v="CUST-1376"/>
    <s v="Vikram Iyer"/>
    <x v="2"/>
    <x v="0"/>
    <s v="Delhi"/>
    <s v="New Delhi"/>
    <x v="1"/>
    <x v="1"/>
    <s v="Smart Tables 777"/>
    <x v="0"/>
    <n v="5"/>
    <n v="1200.27"/>
    <n v="0"/>
    <n v="6001.35"/>
    <n v="4182.99"/>
    <n v="1818.36"/>
    <s v="Paid"/>
    <x v="1"/>
    <s v="Unique"/>
    <m/>
    <s v="Clean"/>
    <s v="valid"/>
    <n v="0"/>
    <n v="6001.35"/>
    <n v="1818.3600000000006"/>
    <n v="0.30299182683896131"/>
    <x v="11"/>
    <n v="2024"/>
    <s v="Warning"/>
  </r>
  <r>
    <x v="682"/>
    <s v="05 Feb 2025"/>
    <s v="05-02-2025"/>
    <s v="05-Feb-2025"/>
    <s v="05-Feb-2025"/>
    <n v="0"/>
    <s v="CUST-1553"/>
    <s v="Ananya Rao"/>
    <x v="2"/>
    <x v="0"/>
    <s v="Haryana"/>
    <s v="Gurugram"/>
    <x v="0"/>
    <x v="8"/>
    <s v="Eco Storage 861"/>
    <x v="1"/>
    <n v="3"/>
    <n v="2590.7800000000002"/>
    <n v="0"/>
    <n v="7383.72"/>
    <n v="4113.66"/>
    <n v="3270.06"/>
    <s v="Paid"/>
    <x v="0"/>
    <s v="Unique"/>
    <m/>
    <s v="Clean"/>
    <s v="valid"/>
    <n v="0"/>
    <n v="7772.34"/>
    <n v="3658.6800000000003"/>
    <n v="0.47073082237781677"/>
    <x v="5"/>
    <n v="2025"/>
    <s v="Clean"/>
  </r>
  <r>
    <x v="683"/>
    <s v="2025-07-20"/>
    <s v="24-07-2025"/>
    <s v="24-Jul-2025"/>
    <s v="20-Jul-2025"/>
    <n v="4"/>
    <s v="CUST-5704"/>
    <s v="Arjun Bose"/>
    <x v="1"/>
    <x v="2"/>
    <s v="Telangana"/>
    <s v="Hyderabad"/>
    <x v="1"/>
    <x v="3"/>
    <s v="Eco Furnishings 875"/>
    <x v="0"/>
    <n v="6"/>
    <n v="1646.45"/>
    <n v="0.2"/>
    <n v="7902.96"/>
    <n v="5512.03"/>
    <n v="2390.9299999999998"/>
    <s v="Refunded"/>
    <x v="1"/>
    <s v="Unique"/>
    <m/>
    <s v="Clean"/>
    <s v="valid"/>
    <n v="0.2"/>
    <n v="7902.9600000000009"/>
    <n v="2390.9300000000012"/>
    <n v="0.30253601182341816"/>
    <x v="0"/>
    <n v="2025"/>
    <s v="Warning"/>
  </r>
  <r>
    <x v="684"/>
    <s v="2025-07-21"/>
    <s v="21-07-2025"/>
    <s v="21-Jul-2025"/>
    <s v="21-Jul-2025"/>
    <n v="0"/>
    <s v="CUST-6738"/>
    <s v="Isha Nair"/>
    <x v="3"/>
    <x v="2"/>
    <s v="Tamil Nadu"/>
    <s v="Chennai"/>
    <x v="1"/>
    <x v="10"/>
    <s v="Prime Bookcases 784"/>
    <x v="2"/>
    <n v="7"/>
    <n v="4396.6499999999996"/>
    <n v="0.2"/>
    <n v="24621.24"/>
    <n v="17155.48"/>
    <n v="7465.76"/>
    <s v="Refunded"/>
    <x v="1"/>
    <s v="Unique"/>
    <m/>
    <s v="Clean"/>
    <s v="valid"/>
    <n v="0.2"/>
    <n v="24621.239999999998"/>
    <n v="7465.7599999999984"/>
    <n v="0.3032243705028666"/>
    <x v="0"/>
    <n v="2025"/>
    <s v="Warning"/>
  </r>
  <r>
    <x v="685"/>
    <s v="01 Oct 2025"/>
    <s v="2025-10-03"/>
    <s v="03-Oct-2025"/>
    <s v="01-Oct-2025"/>
    <n v="2"/>
    <s v="CUST-2586"/>
    <s v="Neha Gupta"/>
    <x v="2"/>
    <x v="3"/>
    <s v="Goa"/>
    <s v="Panaji"/>
    <x v="0"/>
    <x v="2"/>
    <s v="Classic Art 380"/>
    <x v="3"/>
    <n v="9"/>
    <n v="818.15"/>
    <n v="0.55000000000000004"/>
    <n v="6627.01"/>
    <n v="5606.79"/>
    <n v="1020.22"/>
    <s v="Failed"/>
    <x v="1"/>
    <s v="Unique"/>
    <m/>
    <s v="Invalid"/>
    <s v="valid"/>
    <n v="0.55000000000000004"/>
    <n v="3313.5074999999993"/>
    <n v="-2293.2825000000007"/>
    <n v="-0.69210119488185895"/>
    <x v="4"/>
    <n v="2025"/>
    <s v="Invalid"/>
  </r>
  <r>
    <x v="686"/>
    <s v="25-03-2024"/>
    <s v="04/02/2024"/>
    <s v="04-Feb-2024"/>
    <s v="25-Mar-2024"/>
    <n v="-50"/>
    <s v="CUST-3127"/>
    <s v="Sneha Kapoor"/>
    <x v="3"/>
    <x v="2"/>
    <s v="Tamil Nadu"/>
    <s v="Chennai"/>
    <x v="2"/>
    <x v="6"/>
    <s v="Pro Copiers 502"/>
    <x v="3"/>
    <n v="2"/>
    <n v="2349.13"/>
    <n v="0"/>
    <n v="4698.26"/>
    <n v="2654.92"/>
    <n v="2043.34"/>
    <s v="Paid"/>
    <x v="0"/>
    <s v="Unique"/>
    <m/>
    <s v="Clean"/>
    <s v="Invalid"/>
    <n v="0"/>
    <n v="4698.26"/>
    <n v="2043.3400000000001"/>
    <n v="0.43491420227914163"/>
    <x v="9"/>
    <n v="2024"/>
    <s v="Clean"/>
  </r>
  <r>
    <x v="687"/>
    <s v="08 Oct 2025"/>
    <s v="13-10-2025"/>
    <s v="13-Oct-2025"/>
    <s v="08-Oct-2025"/>
    <n v="5"/>
    <s v="CUST-9347"/>
    <s v="Mira Das"/>
    <x v="3"/>
    <x v="0"/>
    <s v="Punjab"/>
    <s v="Ludhiana"/>
    <x v="1"/>
    <x v="1"/>
    <s v="Prime Tables 604"/>
    <x v="2"/>
    <n v="4"/>
    <n v="172.05"/>
    <n v="0"/>
    <n v="688.2"/>
    <n v="497.68"/>
    <n v="190.52"/>
    <s v="Failed"/>
    <x v="1"/>
    <s v="Unique"/>
    <m/>
    <s v="Clean"/>
    <s v="valid"/>
    <n v="0"/>
    <n v="688.2"/>
    <n v="190.52000000000004"/>
    <n v="0.27683812845103173"/>
    <x v="4"/>
    <n v="2025"/>
    <s v="Warning"/>
  </r>
  <r>
    <x v="688"/>
    <s v="26 Feb 2025"/>
    <s v="27 Feb 2025"/>
    <s v="27-Feb-2025"/>
    <s v="26-Feb-2025"/>
    <n v="1"/>
    <s v="CUST-8575"/>
    <s v="Neha Gupta"/>
    <x v="3"/>
    <x v="0"/>
    <s v="Haryana"/>
    <s v="Gurugram"/>
    <x v="0"/>
    <x v="2"/>
    <s v="Basic Art 798"/>
    <x v="0"/>
    <n v="6"/>
    <n v="3037.66"/>
    <n v="0.15"/>
    <n v="15492.07"/>
    <n v="12581.23"/>
    <n v="2910.84"/>
    <s v="Paid"/>
    <x v="0"/>
    <s v="Unique"/>
    <m/>
    <s v="Clean"/>
    <s v="valid"/>
    <n v="0.15"/>
    <n v="15492.065999999999"/>
    <n v="2910.8359999999993"/>
    <n v="0.18789204745190213"/>
    <x v="5"/>
    <n v="2025"/>
    <s v="Clean"/>
  </r>
  <r>
    <x v="689"/>
    <s v="05-10-2024"/>
    <s v="06 Oct 2024"/>
    <s v="06-Oct-2024"/>
    <s v="05-Oct-2024"/>
    <n v="1"/>
    <s v="CUST-4382"/>
    <s v="Rohan Mehta"/>
    <x v="1"/>
    <x v="0"/>
    <s v="Punjab"/>
    <s v="Ludhiana"/>
    <x v="1"/>
    <x v="1"/>
    <s v="Elite Tables 717"/>
    <x v="3"/>
    <n v="9"/>
    <n v="489.58"/>
    <n v="0.15"/>
    <n v="3745.29"/>
    <n v="2302.65"/>
    <n v="1442.64"/>
    <s v="Failed"/>
    <x v="1"/>
    <s v="Unique"/>
    <m/>
    <s v="Clean"/>
    <s v="valid"/>
    <n v="0.15"/>
    <n v="3745.2870000000003"/>
    <n v="1442.6370000000002"/>
    <n v="0.38518730340291679"/>
    <x v="4"/>
    <n v="2024"/>
    <s v="Warning"/>
  </r>
  <r>
    <x v="690"/>
    <s v="09/11/2024"/>
    <s v="2024-09-15"/>
    <s v="15-Sep-2024"/>
    <s v="09-Nov-2024"/>
    <n v="-55"/>
    <s v="CUST-6815"/>
    <s v="Sneha Kapoor"/>
    <x v="2"/>
    <x v="2"/>
    <s v="Tamil Nadu"/>
    <s v="Chennai"/>
    <x v="0"/>
    <x v="2"/>
    <s v="Max Art 725"/>
    <x v="3"/>
    <n v="4"/>
    <n v="865.63"/>
    <n v="0"/>
    <n v="3462.52"/>
    <n v="2797.29"/>
    <n v="665.23"/>
    <s v="Failed"/>
    <x v="2"/>
    <s v="Unique"/>
    <m/>
    <s v="Clean"/>
    <s v="Invalid"/>
    <n v="0"/>
    <n v="3462.52"/>
    <n v="665.23"/>
    <n v="0.19212307798944123"/>
    <x v="2"/>
    <n v="2024"/>
    <s v="Warning"/>
  </r>
  <r>
    <x v="691"/>
    <s v="15-12-2024"/>
    <s v="16-12-2024"/>
    <s v="16-Dec-2024"/>
    <s v="15-Dec-2024"/>
    <n v="1"/>
    <s v="CUST-7309"/>
    <s v="Rohan Mehta"/>
    <x v="0"/>
    <x v="1"/>
    <s v="Odisha"/>
    <s v="Bhubaneswar"/>
    <x v="2"/>
    <x v="6"/>
    <s v="Smart Copiers 456"/>
    <x v="0"/>
    <n v="6"/>
    <n v="1538.1"/>
    <n v="0.05"/>
    <n v="8767.17"/>
    <n v="5098.2"/>
    <n v="3668.97"/>
    <s v="Paid"/>
    <x v="0"/>
    <s v="Unique"/>
    <m/>
    <s v="Clean"/>
    <s v="valid"/>
    <n v="0.05"/>
    <n v="8767.1699999999983"/>
    <n v="3668.9699999999984"/>
    <n v="0.41848966085977563"/>
    <x v="7"/>
    <n v="2024"/>
    <s v="Clean"/>
  </r>
  <r>
    <x v="692"/>
    <s v="05-10-2025"/>
    <s v="10-10-2025"/>
    <s v="10-Oct-2025"/>
    <s v="05-Oct-2025"/>
    <n v="5"/>
    <s v="CUST-9531"/>
    <s v="Isha Nair"/>
    <x v="2"/>
    <x v="2"/>
    <s v="Karnataka"/>
    <s v="Bengaluru"/>
    <x v="1"/>
    <x v="3"/>
    <s v="Prime Furnishings 883"/>
    <x v="0"/>
    <n v="4"/>
    <n v="2365.6799999999998"/>
    <n v="0.1"/>
    <n v="8516.4500000000007"/>
    <n v="5903.81"/>
    <n v="2612.64"/>
    <s v="Paid"/>
    <x v="0"/>
    <s v="Unique"/>
    <m/>
    <s v="Clean"/>
    <s v="valid"/>
    <n v="0.1"/>
    <n v="8516.4480000000003"/>
    <n v="2612.6379999999999"/>
    <n v="0.30677554774009069"/>
    <x v="4"/>
    <n v="2025"/>
    <s v="Clean"/>
  </r>
  <r>
    <x v="693"/>
    <s v="03-04-2025"/>
    <s v="2025-04-11"/>
    <s v="11-Apr-2025"/>
    <s v="03-Apr-2025"/>
    <n v="8"/>
    <s v="CUST-6032"/>
    <s v="Arjun Bose"/>
    <x v="0"/>
    <x v="2"/>
    <s v="Tamil Nadu"/>
    <s v="Chennai"/>
    <x v="1"/>
    <x v="10"/>
    <s v="Smart Bookcases 828"/>
    <x v="0"/>
    <n v="3"/>
    <n v="4149.7700000000004"/>
    <n v="0.05"/>
    <n v="11826.84"/>
    <n v="8035.96"/>
    <n v="3790.88"/>
    <s v="Paid"/>
    <x v="0"/>
    <s v="Unique"/>
    <m/>
    <s v="Clean"/>
    <s v="valid"/>
    <n v="0.05"/>
    <n v="11826.844500000001"/>
    <n v="3790.884500000001"/>
    <n v="0.32053220112938835"/>
    <x v="11"/>
    <n v="2025"/>
    <s v="Clean"/>
  </r>
  <r>
    <x v="694"/>
    <s v="01-08-2025"/>
    <s v="09-08-2025"/>
    <s v="09-Aug-2025"/>
    <s v="01-Aug-2025"/>
    <n v="8"/>
    <s v="CUST-8025"/>
    <s v="Isha Nair"/>
    <x v="0"/>
    <x v="2"/>
    <s v="Andhra Pradesh"/>
    <s v="Vijayawada"/>
    <x v="0"/>
    <x v="8"/>
    <s v="Classic Storage 291"/>
    <x v="2"/>
    <n v="5"/>
    <n v="2736.24"/>
    <n v="0.15"/>
    <n v="11629.02"/>
    <n v="9627.2099999999991"/>
    <n v="2001.81"/>
    <s v="Paid"/>
    <x v="0"/>
    <s v="Unique"/>
    <m/>
    <s v="Clean"/>
    <s v="valid"/>
    <n v="0.15"/>
    <n v="11629.019999999999"/>
    <n v="2001.8099999999995"/>
    <n v="0.17213918283741877"/>
    <x v="1"/>
    <n v="2025"/>
    <s v="Clean"/>
  </r>
  <r>
    <x v="695"/>
    <s v="2024-07-01"/>
    <s v="01-07-2024"/>
    <s v="01-Jul-2024"/>
    <s v="01-Jul-2024"/>
    <n v="0"/>
    <s v="CUST-6257"/>
    <s v="Aarav Sharma"/>
    <x v="0"/>
    <x v="3"/>
    <s v="Madhya Pradesh"/>
    <s v="Indore"/>
    <x v="2"/>
    <x v="12"/>
    <s v="Prime Machines 102"/>
    <x v="3"/>
    <n v="4"/>
    <n v="257.39"/>
    <n v="0"/>
    <n v="1029.56"/>
    <n v="626.33000000000004"/>
    <n v="403.23"/>
    <s v="Paid"/>
    <x v="0"/>
    <s v="Unique"/>
    <m/>
    <s v="Clean"/>
    <s v="valid"/>
    <n v="0"/>
    <n v="1029.56"/>
    <n v="403.2299999999999"/>
    <n v="0.39165274486188267"/>
    <x v="0"/>
    <n v="2024"/>
    <s v="Clean"/>
  </r>
  <r>
    <x v="696"/>
    <s v="22 Sep 2025"/>
    <s v="25 Sep 2025"/>
    <s v="25-Sep-2025"/>
    <s v="22-Sep-2025"/>
    <n v="3"/>
    <s v="CUST-7812"/>
    <s v="Isha Nair"/>
    <x v="1"/>
    <x v="2"/>
    <s v="Kerala"/>
    <s v="Kochi"/>
    <x v="2"/>
    <x v="11"/>
    <s v="Classic Phones 842"/>
    <x v="4"/>
    <n v="4"/>
    <n v="1178.8399999999999"/>
    <n v="0.25"/>
    <n v="3536.52"/>
    <n v="2102.41"/>
    <n v="1363.28"/>
    <s v="Paid"/>
    <x v="0"/>
    <s v="Unique"/>
    <m/>
    <s v="Clean"/>
    <s v="valid"/>
    <n v="0.25"/>
    <n v="3536.5199999999995"/>
    <n v="1434.1099999999997"/>
    <n v="0.40551446054313278"/>
    <x v="6"/>
    <n v="2025"/>
    <s v="Clean"/>
  </r>
  <r>
    <x v="697"/>
    <s v="03/01/2025"/>
    <s v="07-03-2025"/>
    <s v="07-Mar-2025"/>
    <s v="03-Jan-2025"/>
    <n v="63"/>
    <s v="CUST-6205"/>
    <s v="Arjun Bose"/>
    <x v="2"/>
    <x v="2"/>
    <s v="Andhra Pradesh"/>
    <s v="Vijayawada"/>
    <x v="0"/>
    <x v="7"/>
    <s v="Max Labels 970"/>
    <x v="2"/>
    <n v="7"/>
    <n v="567.15"/>
    <n v="0"/>
    <n v="2977.54"/>
    <n v="1849.3"/>
    <n v="1128.24"/>
    <s v="Refunded"/>
    <x v="2"/>
    <s v="Unique"/>
    <m/>
    <s v="Clean"/>
    <s v="valid"/>
    <n v="0"/>
    <n v="3970.0499999999997"/>
    <n v="2120.75"/>
    <n v="0.53418722686112274"/>
    <x v="8"/>
    <n v="2025"/>
    <s v="Clean"/>
  </r>
  <r>
    <x v="698"/>
    <s v="14-09-2024"/>
    <s v="2024-09-14"/>
    <s v="14-Sep-2024"/>
    <s v="14-Sep-2024"/>
    <n v="0"/>
    <s v="CUST-5357"/>
    <s v="Mira Das"/>
    <x v="2"/>
    <x v="0"/>
    <s v="Rajasthan"/>
    <s v="Jaipur"/>
    <x v="2"/>
    <x v="12"/>
    <s v="Classic Machines 648"/>
    <x v="3"/>
    <n v="8"/>
    <n v="4081.66"/>
    <n v="0.15"/>
    <n v="28208.1"/>
    <n v="23751.91"/>
    <n v="4003.38"/>
    <s v="Paid"/>
    <x v="2"/>
    <s v="Unique"/>
    <m/>
    <s v="Clean"/>
    <s v="valid"/>
    <n v="0.15"/>
    <n v="27755.287999999997"/>
    <n v="4003.377999999997"/>
    <n v="0.14423838801456493"/>
    <x v="6"/>
    <n v="2024"/>
    <s v="Clean"/>
  </r>
  <r>
    <x v="699"/>
    <s v="2024-06-11"/>
    <s v="11 Jun 2024"/>
    <s v="11-Jun-2024"/>
    <s v="11-Jun-2024"/>
    <n v="0"/>
    <s v="CUST-9802"/>
    <s v="Arjun Bose"/>
    <x v="1"/>
    <x v="2"/>
    <s v="Karnataka"/>
    <s v="Bengaluru"/>
    <x v="1"/>
    <x v="10"/>
    <s v="Max Bookcases 565"/>
    <x v="3"/>
    <n v="9"/>
    <n v="1400.11"/>
    <n v="0.25"/>
    <n v="9450.74"/>
    <n v="7798.56"/>
    <n v="1652.18"/>
    <s v="Paid"/>
    <x v="0"/>
    <s v="Unique"/>
    <m/>
    <s v="Clean"/>
    <s v="valid"/>
    <n v="0.25"/>
    <n v="9450.7425000000003"/>
    <n v="1652.1824999999999"/>
    <n v="0.17482039109625511"/>
    <x v="10"/>
    <n v="2024"/>
    <s v="Clean"/>
  </r>
  <r>
    <x v="700"/>
    <s v="18-09-2024"/>
    <s v="09/21/2024"/>
    <s v="21-Sep-2024"/>
    <s v="18-Sep-2024"/>
    <n v="3"/>
    <s v="CUST-5646"/>
    <s v="Neha Gupta"/>
    <x v="2"/>
    <x v="1"/>
    <s v="West Bengal"/>
    <s v="Kolkata"/>
    <x v="2"/>
    <x v="12"/>
    <s v="Basic Machines 220"/>
    <x v="3"/>
    <n v="3"/>
    <n v="3055.9"/>
    <n v="0.15"/>
    <n v="7792.55"/>
    <n v="4691.7299999999996"/>
    <n v="3100.82"/>
    <s v="Paid"/>
    <x v="0"/>
    <s v="Unique"/>
    <m/>
    <s v="Clean"/>
    <s v="valid"/>
    <n v="0.15"/>
    <n v="7792.5450000000001"/>
    <n v="3100.8150000000005"/>
    <n v="0.39792070498149201"/>
    <x v="6"/>
    <n v="2024"/>
    <s v="Clean"/>
  </r>
  <r>
    <x v="701"/>
    <s v="30-04-2024"/>
    <s v="04 May 2024"/>
    <s v="04-May-2024"/>
    <s v="30-Apr-2024"/>
    <n v="4"/>
    <s v="CUST-7171"/>
    <s v="Rohan Mehta"/>
    <x v="1"/>
    <x v="3"/>
    <s v="Gujarat"/>
    <s v="Ahmedabad"/>
    <x v="0"/>
    <x v="2"/>
    <s v="Pro Art 151"/>
    <x v="1"/>
    <n v="7"/>
    <n v="1224.94"/>
    <n v="0"/>
    <n v="8574.58"/>
    <n v="6685.81"/>
    <n v="1888.77"/>
    <s v="Paid"/>
    <x v="2"/>
    <s v="Unique"/>
    <m/>
    <s v="Clean"/>
    <s v="valid"/>
    <n v="0"/>
    <n v="8574.58"/>
    <n v="1888.7699999999995"/>
    <n v="0.22027551203674112"/>
    <x v="11"/>
    <n v="2024"/>
    <s v="Clean"/>
  </r>
  <r>
    <x v="702"/>
    <s v="2025-02-02"/>
    <s v="02/06/2025"/>
    <s v="02-Jun-2025"/>
    <s v="02-Feb-2025"/>
    <n v="120"/>
    <s v="CUST-5231"/>
    <s v="Karan Malhotra"/>
    <x v="1"/>
    <x v="3"/>
    <s v="Rajasthan"/>
    <s v="Udaipur"/>
    <x v="1"/>
    <x v="1"/>
    <s v="Pro Tables 980"/>
    <x v="0"/>
    <n v="3"/>
    <n v="997.34"/>
    <n v="0.1"/>
    <n v="2692.82"/>
    <n v="1820.08"/>
    <n v="872.74"/>
    <s v="Paid"/>
    <x v="0"/>
    <s v="Unique"/>
    <m/>
    <s v="Clean"/>
    <s v="valid"/>
    <n v="0.1"/>
    <n v="2692.8180000000002"/>
    <n v="872.73800000000028"/>
    <n v="0.32409839803506968"/>
    <x v="5"/>
    <n v="2025"/>
    <s v="Clean"/>
  </r>
  <r>
    <x v="703"/>
    <s v="19 Oct 2024"/>
    <s v="2024-10-20"/>
    <s v="20-Oct-2024"/>
    <s v="19-Oct-2024"/>
    <n v="1"/>
    <s v="CUST-8734"/>
    <s v="Aditi Sen"/>
    <x v="2"/>
    <x v="0"/>
    <s v="Rajasthan"/>
    <s v="Jaipur"/>
    <x v="1"/>
    <x v="1"/>
    <s v="Classic Tables 997"/>
    <x v="2"/>
    <n v="1"/>
    <n v="1150.03"/>
    <n v="0.1"/>
    <n v="1035.03"/>
    <n v="854.35"/>
    <n v="180.68"/>
    <s v="Paid"/>
    <x v="0"/>
    <s v="Unique"/>
    <m/>
    <s v="Clean"/>
    <s v="valid"/>
    <n v="0.1"/>
    <n v="1035.027"/>
    <n v="180.67700000000002"/>
    <n v="0.1745625959516032"/>
    <x v="4"/>
    <n v="2024"/>
    <s v="Clean"/>
  </r>
  <r>
    <x v="704"/>
    <s v="2024-03-13"/>
    <s v="03/20/2024"/>
    <s v="20-Mar-2024"/>
    <s v="13-Mar-2024"/>
    <n v="7"/>
    <s v="CUST-4916"/>
    <s v="Priya Menon"/>
    <x v="3"/>
    <x v="2"/>
    <s v="Tamil Nadu"/>
    <s v="Chennai"/>
    <x v="1"/>
    <x v="10"/>
    <s v="Max Bookcases 738"/>
    <x v="4"/>
    <n v="1"/>
    <n v="2825.63"/>
    <n v="0.15"/>
    <n v="2401.79"/>
    <n v="1820.34"/>
    <n v="581.45000000000005"/>
    <s v="Paid"/>
    <x v="0"/>
    <s v="Unique"/>
    <m/>
    <s v="Clean"/>
    <s v="valid"/>
    <n v="0.15"/>
    <n v="2401.7855"/>
    <n v="581.44550000000004"/>
    <n v="0.24208885431276025"/>
    <x v="9"/>
    <n v="2024"/>
    <s v="Clean"/>
  </r>
  <r>
    <x v="705"/>
    <s v="08 Sep 2024"/>
    <s v="09/14/2024"/>
    <s v="14-Sep-2024"/>
    <s v="08-Sep-2024"/>
    <n v="6"/>
    <s v="CUST-3289"/>
    <s v="Rohan Mehta"/>
    <x v="0"/>
    <x v="0"/>
    <s v="Rajasthan"/>
    <s v="Jaipur"/>
    <x v="0"/>
    <x v="9"/>
    <s v="Max Binders 411"/>
    <x v="3"/>
    <n v="5"/>
    <n v="3371.75"/>
    <n v="0.05"/>
    <n v="16015.81"/>
    <n v="11352.38"/>
    <n v="4663.43"/>
    <s v="Paid"/>
    <x v="0"/>
    <s v="Unique"/>
    <m/>
    <s v="Clean"/>
    <s v="valid"/>
    <n v="0.05"/>
    <n v="16015.8125"/>
    <n v="4663.4325000000008"/>
    <n v="0.29117676671102394"/>
    <x v="6"/>
    <n v="2024"/>
    <s v="Clean"/>
  </r>
  <r>
    <x v="706"/>
    <s v="24-06-2024"/>
    <s v="28-06-2024"/>
    <s v="28-Jun-2024"/>
    <s v="24-Jun-2024"/>
    <n v="4"/>
    <s v="CUST-4928"/>
    <s v="Isha Nair"/>
    <x v="1"/>
    <x v="1"/>
    <s v="Odisha"/>
    <s v="Bhubaneswar"/>
    <x v="0"/>
    <x v="0"/>
    <s v="Max Paper 343"/>
    <x v="1"/>
    <n v="1"/>
    <n v="2112.75"/>
    <n v="0.1"/>
    <n v="1901.48"/>
    <n v="1354.28"/>
    <n v="547.20000000000005"/>
    <s v="Paid"/>
    <x v="0"/>
    <s v="Unique"/>
    <m/>
    <s v="Clean"/>
    <s v="valid"/>
    <n v="0.1"/>
    <n v="1901.4750000000001"/>
    <n v="547.19500000000016"/>
    <n v="0.28777396494826391"/>
    <x v="10"/>
    <n v="2024"/>
    <s v="Clean"/>
  </r>
  <r>
    <x v="707"/>
    <s v="24-06-2025"/>
    <s v="06/26/2025"/>
    <s v="26-Jun-2025"/>
    <s v="24-Jun-2025"/>
    <n v="2"/>
    <s v="CUST-4902"/>
    <s v="Vikram Iyer"/>
    <x v="0"/>
    <x v="0"/>
    <s v="Rajasthan"/>
    <s v="Jaipur"/>
    <x v="2"/>
    <x v="5"/>
    <s v="Pro Accessories 485"/>
    <x v="1"/>
    <n v="5"/>
    <n v="3722.66"/>
    <n v="0.55000000000000004"/>
    <n v="16751.97"/>
    <n v="11678.32"/>
    <n v="5073.6499999999996"/>
    <s v="Paid"/>
    <x v="0"/>
    <s v="Unique"/>
    <m/>
    <s v="Invalid"/>
    <s v="valid"/>
    <n v="0.55000000000000004"/>
    <n v="8375.9849999999988"/>
    <n v="-3302.3350000000009"/>
    <n v="-0.39426228676388525"/>
    <x v="10"/>
    <n v="2025"/>
    <s v="Invalid"/>
  </r>
  <r>
    <x v="708"/>
    <s v="03/20/2025"/>
    <s v="2025-03-26"/>
    <s v="26-Mar-2025"/>
    <s v="20-Mar-2025"/>
    <n v="6"/>
    <s v="CUST-6504"/>
    <s v="Sneha Kapoor"/>
    <x v="0"/>
    <x v="1"/>
    <s v="Assam"/>
    <s v="Guwahati"/>
    <x v="1"/>
    <x v="10"/>
    <s v="Elite Bookcases 113"/>
    <x v="2"/>
    <n v="4"/>
    <n v="4357.66"/>
    <n v="0.05"/>
    <n v="16559.11"/>
    <n v="13233.79"/>
    <n v="3325.32"/>
    <s v="Paid"/>
    <x v="0"/>
    <s v="Unique"/>
    <m/>
    <s v="Clean"/>
    <s v="valid"/>
    <n v="0.05"/>
    <n v="16559.108"/>
    <n v="3325.3179999999993"/>
    <n v="0.20081504390212318"/>
    <x v="9"/>
    <n v="2025"/>
    <s v="Clean"/>
  </r>
  <r>
    <x v="709"/>
    <s v="19 Jan 2025"/>
    <s v="23 Jan 2025"/>
    <s v="23-Jan-2025"/>
    <s v="19-Jan-2025"/>
    <n v="4"/>
    <s v="CUST-8036"/>
    <s v="Kabir Singh"/>
    <x v="3"/>
    <x v="0"/>
    <s v="Punjab"/>
    <s v="Ludhiana"/>
    <x v="2"/>
    <x v="11"/>
    <s v="Eco Phones 787"/>
    <x v="1"/>
    <n v="7"/>
    <n v="1363.04"/>
    <n v="0.15"/>
    <n v="8110.09"/>
    <n v="6417.32"/>
    <n v="1692.77"/>
    <s v="Paid"/>
    <x v="1"/>
    <s v="Unique"/>
    <m/>
    <s v="Clean"/>
    <s v="valid"/>
    <n v="0.15"/>
    <n v="8110.0879999999988"/>
    <n v="1692.7679999999991"/>
    <n v="0.2087237524426368"/>
    <x v="8"/>
    <n v="2025"/>
    <s v="Warning"/>
  </r>
  <r>
    <x v="710"/>
    <s v="07/12/2024"/>
    <s v="07/19/2024"/>
    <s v="19-Jul-2024"/>
    <s v="07-Dec-2024"/>
    <n v="-141"/>
    <s v="CUST-7199"/>
    <s v="Vikram Iyer"/>
    <x v="2"/>
    <x v="0"/>
    <s v="Punjab"/>
    <s v="Ludhiana"/>
    <x v="0"/>
    <x v="2"/>
    <s v="Smart Art 279"/>
    <x v="0"/>
    <n v="5"/>
    <n v="1559.16"/>
    <n v="0.05"/>
    <n v="7406.01"/>
    <n v="5941.74"/>
    <n v="1464.27"/>
    <s v="Paid"/>
    <x v="0"/>
    <s v="Unique"/>
    <m/>
    <s v="Clean"/>
    <s v="Invalid"/>
    <n v="0.05"/>
    <n v="7406.01"/>
    <n v="1464.2700000000004"/>
    <n v="0.19771374869869207"/>
    <x v="7"/>
    <n v="2024"/>
    <s v="Clean"/>
  </r>
  <r>
    <x v="711"/>
    <s v="02-02-2025"/>
    <s v="2025-02-02"/>
    <s v="02-Feb-2025"/>
    <s v="02-Feb-2025"/>
    <n v="0"/>
    <s v="CUST-6176"/>
    <s v="Kabir Singh"/>
    <x v="2"/>
    <x v="1"/>
    <s v="West Bengal"/>
    <s v="Kolkata"/>
    <x v="2"/>
    <x v="12"/>
    <s v="Basic Machines 172"/>
    <x v="2"/>
    <n v="1"/>
    <n v="4326.75"/>
    <n v="0.05"/>
    <n v="4110.41"/>
    <n v="2394.14"/>
    <n v="1716.27"/>
    <s v="Pending"/>
    <x v="2"/>
    <s v="Unique"/>
    <m/>
    <s v="Clean"/>
    <s v="valid"/>
    <n v="0.05"/>
    <n v="4110.4124999999995"/>
    <n v="1716.2724999999996"/>
    <n v="0.41754264322619683"/>
    <x v="5"/>
    <n v="2025"/>
    <s v="Clean"/>
  </r>
  <r>
    <x v="712"/>
    <s v="10 Feb 2024"/>
    <s v="18 Feb 2024"/>
    <s v="18-Feb-2024"/>
    <s v="10-Feb-2024"/>
    <n v="8"/>
    <s v="CUST-5127"/>
    <s v="Isha Nair"/>
    <x v="3"/>
    <x v="3"/>
    <s v="Madhya Pradesh"/>
    <s v="Indore"/>
    <x v="1"/>
    <x v="4"/>
    <s v="Smart Chairs 259"/>
    <x v="2"/>
    <n v="7"/>
    <n v="1382.86"/>
    <n v="0"/>
    <n v="9680.02"/>
    <n v="6876.66"/>
    <n v="2803.36"/>
    <s v="Paid"/>
    <x v="0"/>
    <s v="Unique"/>
    <m/>
    <s v="Clean"/>
    <s v="valid"/>
    <n v="0"/>
    <n v="9680.0199999999986"/>
    <n v="2803.3599999999988"/>
    <n v="0.28960270743242256"/>
    <x v="5"/>
    <n v="2024"/>
    <s v="Clean"/>
  </r>
  <r>
    <x v="713"/>
    <s v="06/06/2025"/>
    <s v="06/10/2025"/>
    <s v="06-Oct-2025"/>
    <s v="06-Jun-2025"/>
    <n v="122"/>
    <s v="CUST-2548"/>
    <s v="Mira Das"/>
    <x v="0"/>
    <x v="3"/>
    <s v="Rajasthan"/>
    <s v="Udaipur"/>
    <x v="2"/>
    <x v="12"/>
    <s v="Pro Machines 987"/>
    <x v="0"/>
    <n v="1"/>
    <n v="289.97000000000003"/>
    <n v="0.25"/>
    <n v="217.48"/>
    <n v="132.13"/>
    <n v="85.35"/>
    <s v="Paid"/>
    <x v="0"/>
    <s v="Unique"/>
    <m/>
    <s v="Clean"/>
    <s v="valid"/>
    <n v="0.25"/>
    <n v="217.47750000000002"/>
    <n v="85.347500000000025"/>
    <n v="0.39244289639158081"/>
    <x v="10"/>
    <n v="2025"/>
    <s v="Clean"/>
  </r>
  <r>
    <x v="714"/>
    <s v="22 Mar 2025"/>
    <s v="2025-03-23"/>
    <s v="23-Mar-2025"/>
    <s v="22-Mar-2025"/>
    <n v="1"/>
    <s v="CUST-9902"/>
    <s v="Karan Malhotra"/>
    <x v="3"/>
    <x v="0"/>
    <s v="Delhi"/>
    <s v="New Delhi"/>
    <x v="2"/>
    <x v="6"/>
    <s v="Pro Copiers 206"/>
    <x v="3"/>
    <n v="9"/>
    <n v="2075.02"/>
    <n v="0"/>
    <n v="18675.18"/>
    <n v="13974.7"/>
    <n v="4700.4799999999996"/>
    <s v="Paid"/>
    <x v="0"/>
    <s v="Unique"/>
    <m/>
    <s v="Clean"/>
    <s v="valid"/>
    <n v="0"/>
    <n v="18675.18"/>
    <n v="4700.4799999999996"/>
    <n v="0.25169663692665878"/>
    <x v="9"/>
    <n v="2025"/>
    <s v="Clean"/>
  </r>
  <r>
    <x v="715"/>
    <s v="2025-08-22"/>
    <s v="27 Aug 2025"/>
    <s v="27-Aug-2025"/>
    <s v="22-Aug-2025"/>
    <n v="5"/>
    <s v="CUST-7446"/>
    <s v="Priya Menon"/>
    <x v="0"/>
    <x v="0"/>
    <s v="Haryana"/>
    <s v="Gurugram"/>
    <x v="1"/>
    <x v="4"/>
    <s v="Max Chairs 372"/>
    <x v="0"/>
    <n v="7"/>
    <n v="2843.09"/>
    <n v="0"/>
    <n v="19901.63"/>
    <n v="15492.03"/>
    <n v="4409.6000000000004"/>
    <s v="Refunded"/>
    <x v="1"/>
    <s v="Unique"/>
    <m/>
    <s v="Clean"/>
    <s v="valid"/>
    <n v="0"/>
    <n v="19901.63"/>
    <n v="4409.6000000000004"/>
    <n v="0.22156979101711771"/>
    <x v="1"/>
    <n v="2025"/>
    <s v="Warning"/>
  </r>
  <r>
    <x v="716"/>
    <s v="26 Aug 2025"/>
    <s v="31-08-2025"/>
    <s v="31-Aug-2025"/>
    <s v="26-Aug-2025"/>
    <n v="5"/>
    <s v="CUST-7540"/>
    <s v="Diya Patel"/>
    <x v="1"/>
    <x v="0"/>
    <s v="Haryana"/>
    <s v="Gurugram"/>
    <x v="2"/>
    <x v="11"/>
    <s v="Basic Phones 496"/>
    <x v="2"/>
    <n v="1"/>
    <n v="3388.02"/>
    <n v="0.15"/>
    <n v="2879.82"/>
    <n v="1824.88"/>
    <n v="1054.94"/>
    <s v="Paid"/>
    <x v="0"/>
    <s v="Unique"/>
    <m/>
    <s v="Clean"/>
    <s v="valid"/>
    <n v="0.15"/>
    <n v="2879.817"/>
    <n v="1054.9369999999999"/>
    <n v="0.3663208460815392"/>
    <x v="1"/>
    <n v="2025"/>
    <s v="Clean"/>
  </r>
  <r>
    <x v="717"/>
    <s v="12-10-2025"/>
    <s v="15 Oct 2025"/>
    <s v="15-Oct-2025"/>
    <s v="12-Oct-2025"/>
    <n v="3"/>
    <s v="CUST-8351"/>
    <s v="Kabir Singh"/>
    <x v="1"/>
    <x v="0"/>
    <s v="Haryana"/>
    <s v="Gurugram"/>
    <x v="2"/>
    <x v="12"/>
    <s v="Prime Machines 612"/>
    <x v="3"/>
    <n v="9"/>
    <n v="2598.92"/>
    <n v="0.2"/>
    <n v="18712.22"/>
    <n v="11852.22"/>
    <n v="6860"/>
    <s v="Pending"/>
    <x v="1"/>
    <s v="Unique"/>
    <m/>
    <s v="Clean"/>
    <s v="valid"/>
    <n v="0.2"/>
    <n v="18712.223999999998"/>
    <n v="6860.003999999999"/>
    <n v="0.3666054874075898"/>
    <x v="4"/>
    <n v="2025"/>
    <s v="Warning"/>
  </r>
  <r>
    <x v="718"/>
    <s v="06 Sep 2024"/>
    <s v="2024-09-09"/>
    <s v="09-Sep-2024"/>
    <s v="06-Sep-2024"/>
    <n v="3"/>
    <s v="CUST-3918"/>
    <s v="Mira Das"/>
    <x v="0"/>
    <x v="3"/>
    <s v="Maharashtra"/>
    <s v="Mumbai"/>
    <x v="0"/>
    <x v="2"/>
    <s v="Smart Art 866"/>
    <x v="1"/>
    <n v="3"/>
    <n v="1972.27"/>
    <n v="0.2"/>
    <n v="4733.45"/>
    <n v="3672.32"/>
    <n v="1061.1300000000001"/>
    <s v="Paid"/>
    <x v="0"/>
    <s v="Unique"/>
    <m/>
    <s v="Clean"/>
    <s v="valid"/>
    <n v="0.2"/>
    <n v="4733.4479999999994"/>
    <n v="1061.1279999999992"/>
    <n v="0.22417654107534282"/>
    <x v="6"/>
    <n v="2024"/>
    <s v="Clean"/>
  </r>
  <r>
    <x v="719"/>
    <s v="08 Sep 2025"/>
    <s v="2025-09-09"/>
    <s v="09-Sep-2025"/>
    <s v="08-Sep-2025"/>
    <n v="1"/>
    <s v="CUST-3190"/>
    <s v="Kabir Singh"/>
    <x v="2"/>
    <x v="3"/>
    <s v="Gujarat"/>
    <s v="Ahmedabad"/>
    <x v="0"/>
    <x v="2"/>
    <s v="Pro Art 447"/>
    <x v="1"/>
    <n v="2"/>
    <n v="2372.41"/>
    <n v="0.2"/>
    <n v="3795.86"/>
    <n v="2264.92"/>
    <n v="1530.94"/>
    <s v="Paid"/>
    <x v="0"/>
    <s v="Unique"/>
    <m/>
    <s v="Clean"/>
    <s v="valid"/>
    <n v="0.2"/>
    <n v="3795.8559999999998"/>
    <n v="1530.9359999999997"/>
    <n v="0.40331772332775528"/>
    <x v="6"/>
    <n v="2025"/>
    <s v="Clean"/>
  </r>
  <r>
    <x v="720"/>
    <s v="2024-07-16"/>
    <s v="07/16/2024"/>
    <s v="16-Jul-2024"/>
    <s v="16-Jul-2024"/>
    <n v="0"/>
    <s v="CUST-1991"/>
    <s v="Aditi Sen"/>
    <x v="3"/>
    <x v="3"/>
    <s v="Madhya Pradesh"/>
    <s v="Indore"/>
    <x v="2"/>
    <x v="6"/>
    <s v="Smart Copiers 196"/>
    <x v="1"/>
    <n v="4"/>
    <n v="4479.92"/>
    <n v="0.15"/>
    <n v="15231.73"/>
    <n v="12451.46"/>
    <n v="2780.27"/>
    <s v="Paid"/>
    <x v="0"/>
    <s v="Unique"/>
    <m/>
    <s v="Clean"/>
    <s v="valid"/>
    <n v="0.15"/>
    <n v="15231.727999999999"/>
    <n v="2780.268"/>
    <n v="0.1825313582280356"/>
    <x v="0"/>
    <n v="2024"/>
    <s v="Clean"/>
  </r>
  <r>
    <x v="721"/>
    <s v="19-06-2025"/>
    <s v="23-06-2025"/>
    <s v="23-Jun-2025"/>
    <s v="19-Jun-2025"/>
    <n v="4"/>
    <s v="CUST-7606"/>
    <s v="Sneha Kapoor"/>
    <x v="0"/>
    <x v="2"/>
    <s v="Karnataka"/>
    <s v="Bengaluru"/>
    <x v="2"/>
    <x v="6"/>
    <s v="Pro Copiers 532"/>
    <x v="2"/>
    <n v="5"/>
    <n v="2729.95"/>
    <n v="0"/>
    <n v="13649.75"/>
    <n v="10288.030000000001"/>
    <n v="3361.72"/>
    <s v="Paid"/>
    <x v="0"/>
    <s v="Unique"/>
    <m/>
    <s v="Clean"/>
    <s v="valid"/>
    <n v="0"/>
    <n v="13649.75"/>
    <n v="3361.7199999999993"/>
    <n v="0.24628436418249414"/>
    <x v="10"/>
    <n v="2025"/>
    <s v="Clean"/>
  </r>
  <r>
    <x v="722"/>
    <s v="2024-10-07"/>
    <s v="10 Oct 2024"/>
    <s v="10-Oct-2024"/>
    <s v="07-Oct-2024"/>
    <n v="3"/>
    <s v="CUST-8844"/>
    <s v="Vikram Iyer"/>
    <x v="0"/>
    <x v="1"/>
    <s v="West Bengal"/>
    <s v="Kolkata"/>
    <x v="1"/>
    <x v="4"/>
    <s v="Eco Chairs 442"/>
    <x v="0"/>
    <n v="9"/>
    <n v="481.51"/>
    <n v="0"/>
    <n v="4333.59"/>
    <n v="2533.59"/>
    <n v="1800"/>
    <s v="Refunded"/>
    <x v="1"/>
    <s v="Unique"/>
    <m/>
    <s v="Clean"/>
    <s v="valid"/>
    <n v="0"/>
    <n v="4333.59"/>
    <n v="1800"/>
    <n v="0.41536001329152039"/>
    <x v="4"/>
    <n v="2024"/>
    <s v="Warning"/>
  </r>
  <r>
    <x v="723"/>
    <s v="10/06/2025"/>
    <s v="2025-10-13"/>
    <s v="13-Oct-2025"/>
    <s v="10-Jun-2025"/>
    <n v="125"/>
    <s v="CUST-4335"/>
    <s v="Kabir Singh"/>
    <x v="3"/>
    <x v="1"/>
    <s v="Jharkhand"/>
    <s v="Ranchi"/>
    <x v="2"/>
    <x v="5"/>
    <s v="Eco Accessories 364"/>
    <x v="3"/>
    <n v="6"/>
    <n v="2391.9299999999998"/>
    <n v="0.05"/>
    <n v="13634"/>
    <n v="9589.81"/>
    <n v="4044.19"/>
    <s v="Failed"/>
    <x v="2"/>
    <s v="Unique"/>
    <m/>
    <s v="Clean"/>
    <s v="valid"/>
    <n v="0.05"/>
    <n v="13634.000999999998"/>
    <n v="4044.1909999999989"/>
    <n v="0.29662539998346776"/>
    <x v="10"/>
    <n v="2025"/>
    <s v="Warning"/>
  </r>
  <r>
    <x v="724"/>
    <s v="02/10/2024"/>
    <s v="16-02-2024"/>
    <s v="16-Feb-2024"/>
    <s v="02-Oct-2024"/>
    <n v="-229"/>
    <s v="CUST-5891"/>
    <s v="Karan Malhotra"/>
    <x v="0"/>
    <x v="3"/>
    <s v="Goa"/>
    <s v="Panaji"/>
    <x v="1"/>
    <x v="3"/>
    <s v="Elite Furnishings 921"/>
    <x v="0"/>
    <n v="3"/>
    <n v="253.43"/>
    <n v="0"/>
    <n v="760.29"/>
    <n v="497.77"/>
    <n v="262.52"/>
    <s v="Paid"/>
    <x v="0"/>
    <s v="Unique"/>
    <m/>
    <s v="Clean"/>
    <s v="Invalid"/>
    <n v="0"/>
    <n v="760.29"/>
    <n v="262.52"/>
    <n v="0.34528929750489945"/>
    <x v="4"/>
    <n v="2024"/>
    <s v="Clean"/>
  </r>
  <r>
    <x v="725"/>
    <s v="10/05/2025"/>
    <s v="2025-10-12"/>
    <s v="12-Oct-2025"/>
    <s v="10-May-2025"/>
    <n v="155"/>
    <s v="CUST-6371"/>
    <s v="Priya Menon"/>
    <x v="2"/>
    <x v="2"/>
    <s v="Karnataka"/>
    <s v="Bengaluru"/>
    <x v="1"/>
    <x v="1"/>
    <s v="Max Tables 309"/>
    <x v="0"/>
    <n v="7"/>
    <n v="2134.73"/>
    <n v="0"/>
    <n v="14943.11"/>
    <n v="8521.5"/>
    <n v="6421.61"/>
    <s v="Paid"/>
    <x v="0"/>
    <s v="Unique"/>
    <m/>
    <s v="Clean"/>
    <s v="valid"/>
    <n v="0"/>
    <n v="14943.11"/>
    <n v="6421.6100000000006"/>
    <n v="0.42973718322357263"/>
    <x v="3"/>
    <n v="2025"/>
    <s v="Clean"/>
  </r>
  <r>
    <x v="726"/>
    <s v="2024-01-17"/>
    <s v="01/23/2024"/>
    <s v="23-Jan-2024"/>
    <s v="17-Jan-2024"/>
    <n v="6"/>
    <s v="CUST-6655"/>
    <s v="Kabir Singh"/>
    <x v="3"/>
    <x v="3"/>
    <s v="Gujarat"/>
    <s v="Ahmedabad"/>
    <x v="2"/>
    <x v="11"/>
    <s v="Pro Phones 857"/>
    <x v="3"/>
    <n v="5"/>
    <n v="2018"/>
    <n v="0.2"/>
    <n v="8072"/>
    <n v="5379.22"/>
    <n v="2692.78"/>
    <s v="Pending"/>
    <x v="2"/>
    <s v="Unique"/>
    <m/>
    <s v="Clean"/>
    <s v="valid"/>
    <n v="0.2"/>
    <n v="8072"/>
    <n v="2692.7799999999997"/>
    <n v="0.33359514370664023"/>
    <x v="8"/>
    <n v="2024"/>
    <s v="Clean"/>
  </r>
  <r>
    <x v="727"/>
    <s v="13 Oct 2024"/>
    <s v="13 Oct 2024"/>
    <s v="13-Oct-2024"/>
    <s v="13-Oct-2024"/>
    <n v="0"/>
    <s v="CUST-6492"/>
    <s v="Aarav Sharma"/>
    <x v="1"/>
    <x v="1"/>
    <s v="Assam"/>
    <s v="Guwahati"/>
    <x v="2"/>
    <x v="5"/>
    <s v="Max Accessories 567"/>
    <x v="0"/>
    <n v="8"/>
    <n v="3730.66"/>
    <n v="0.05"/>
    <n v="28353.02"/>
    <n v="19257.849999999999"/>
    <n v="9095.17"/>
    <s v="Paid"/>
    <x v="0"/>
    <s v="Unique"/>
    <m/>
    <s v="Clean"/>
    <s v="valid"/>
    <n v="0.05"/>
    <n v="28353.015999999996"/>
    <n v="9095.1659999999974"/>
    <n v="0.3207830165228277"/>
    <x v="4"/>
    <n v="2024"/>
    <s v="Clean"/>
  </r>
  <r>
    <x v="728"/>
    <s v="2024-01-04"/>
    <s v="07-01-2024"/>
    <s v="07-Jan-2024"/>
    <s v="04-Jan-2024"/>
    <n v="3"/>
    <s v="CUST-1154"/>
    <s v="Sneha Kapoor"/>
    <x v="1"/>
    <x v="2"/>
    <s v="Karnataka"/>
    <s v="Bengaluru"/>
    <x v="2"/>
    <x v="12"/>
    <s v="Max Machines 200"/>
    <x v="2"/>
    <n v="1"/>
    <n v="2363.02"/>
    <n v="0.15"/>
    <n v="2008.57"/>
    <n v="1194.83"/>
    <n v="813.74"/>
    <s v="Paid"/>
    <x v="0"/>
    <s v="Unique"/>
    <m/>
    <s v="Clean"/>
    <s v="valid"/>
    <n v="0.15"/>
    <n v="2008.567"/>
    <n v="813.73700000000008"/>
    <n v="0.40513311231340554"/>
    <x v="8"/>
    <n v="2024"/>
    <s v="Clean"/>
  </r>
  <r>
    <x v="729"/>
    <s v="17-05-2025"/>
    <s v="25 May 2025"/>
    <s v="25-May-2025"/>
    <s v="17-May-2025"/>
    <n v="8"/>
    <s v="CUST-8713"/>
    <s v="Ananya Rao"/>
    <x v="2"/>
    <x v="2"/>
    <s v="Tamil Nadu"/>
    <s v="Chennai"/>
    <x v="2"/>
    <x v="12"/>
    <s v="Pro Machines 563"/>
    <x v="1"/>
    <n v="6"/>
    <n v="1810.63"/>
    <n v="0.15"/>
    <n v="9234.2099999999991"/>
    <n v="5516.52"/>
    <n v="3717.69"/>
    <s v="Paid"/>
    <x v="0"/>
    <s v="Unique"/>
    <m/>
    <s v="Clean"/>
    <s v="valid"/>
    <n v="0.15"/>
    <n v="9234.2129999999997"/>
    <n v="3717.6929999999993"/>
    <n v="0.40259987505161504"/>
    <x v="3"/>
    <n v="2025"/>
    <s v="Clean"/>
  </r>
  <r>
    <x v="730"/>
    <s v="06/19/2025"/>
    <s v="24-06-2025"/>
    <s v="24-Jun-2025"/>
    <s v="19-Jun-2025"/>
    <n v="5"/>
    <s v="CUST-6765"/>
    <s v="Arjun Bose"/>
    <x v="0"/>
    <x v="1"/>
    <s v="West Bengal"/>
    <s v="Kolkata"/>
    <x v="0"/>
    <x v="2"/>
    <s v="Elite Art 696"/>
    <x v="0"/>
    <n v="4"/>
    <n v="782.01"/>
    <n v="0.15"/>
    <n v="2658.83"/>
    <n v="2226.9699999999998"/>
    <n v="431.86"/>
    <s v="Refunded"/>
    <x v="2"/>
    <s v="Unique"/>
    <m/>
    <s v="Clean"/>
    <s v="valid"/>
    <n v="0.15"/>
    <n v="2658.8339999999998"/>
    <n v="431.86400000000003"/>
    <n v="0.16242608602116568"/>
    <x v="10"/>
    <n v="2025"/>
    <s v="Clean"/>
  </r>
  <r>
    <x v="731"/>
    <s v="2024-03-17"/>
    <s v="19 Mar 2024"/>
    <s v="19-Mar-2024"/>
    <s v="17-Mar-2024"/>
    <n v="2"/>
    <s v="CUST-6849"/>
    <s v="Ananya Rao"/>
    <x v="2"/>
    <x v="1"/>
    <s v="Odisha"/>
    <s v="Bhubaneswar"/>
    <x v="0"/>
    <x v="9"/>
    <s v="Eco Binders 178"/>
    <x v="2"/>
    <n v="4"/>
    <n v="4376.68"/>
    <n v="0.1"/>
    <n v="15756.05"/>
    <n v="10245.44"/>
    <n v="5510.61"/>
    <s v="Paid"/>
    <x v="0"/>
    <s v="Unique"/>
    <m/>
    <s v="Clean"/>
    <s v="valid"/>
    <n v="0.1"/>
    <n v="15756.048000000001"/>
    <n v="5510.6080000000002"/>
    <n v="0.3497455707167178"/>
    <x v="9"/>
    <n v="2024"/>
    <s v="Clean"/>
  </r>
  <r>
    <x v="732"/>
    <s v="2024-11-28"/>
    <s v="06 Dec 2024"/>
    <s v="06-Dec-2024"/>
    <s v="28-Nov-2024"/>
    <n v="8"/>
    <s v="CUST-4973"/>
    <s v="Arjun Bose"/>
    <x v="1"/>
    <x v="0"/>
    <s v="Punjab"/>
    <s v="Ludhiana"/>
    <x v="2"/>
    <x v="11"/>
    <s v="Max Phones 678"/>
    <x v="3"/>
    <n v="6"/>
    <n v="2464.63"/>
    <n v="0"/>
    <n v="14787.78"/>
    <n v="8596.65"/>
    <n v="6191.13"/>
    <s v="Paid"/>
    <x v="0"/>
    <s v="Unique"/>
    <m/>
    <s v="Clean"/>
    <s v="valid"/>
    <n v="0"/>
    <n v="14787.78"/>
    <n v="6191.130000000001"/>
    <n v="0.41866527632950995"/>
    <x v="2"/>
    <n v="2024"/>
    <s v="Clean"/>
  </r>
  <r>
    <x v="733"/>
    <s v="21-06-2024"/>
    <s v="28 Jun 2024"/>
    <s v="28-Jun-2024"/>
    <s v="21-Jun-2024"/>
    <n v="7"/>
    <s v="CUST-2394"/>
    <s v="Aarav Sharma"/>
    <x v="3"/>
    <x v="0"/>
    <s v="Rajasthan"/>
    <s v="Jaipur"/>
    <x v="1"/>
    <x v="3"/>
    <s v="Classic Furnishings 582"/>
    <x v="2"/>
    <n v="9"/>
    <n v="2797.96"/>
    <n v="0"/>
    <n v="25181.64"/>
    <n v="15337.9"/>
    <n v="9843.74"/>
    <s v="Paid"/>
    <x v="0"/>
    <s v="Unique"/>
    <m/>
    <s v="Clean"/>
    <s v="valid"/>
    <n v="0"/>
    <n v="25181.64"/>
    <n v="9843.74"/>
    <n v="0.39090940860086953"/>
    <x v="10"/>
    <n v="2024"/>
    <s v="Clean"/>
  </r>
  <r>
    <x v="734"/>
    <s v="24-08-2024"/>
    <s v="24-08-2024"/>
    <s v="24-Aug-2024"/>
    <s v="24-Aug-2024"/>
    <n v="0"/>
    <s v="CUST-5406"/>
    <s v="Ananya Rao"/>
    <x v="1"/>
    <x v="0"/>
    <s v="Rajasthan"/>
    <s v="Jaipur"/>
    <x v="2"/>
    <x v="5"/>
    <s v="Classic Accessories 981"/>
    <x v="2"/>
    <n v="4"/>
    <n v="2761.86"/>
    <n v="0.2"/>
    <n v="8837.9500000000007"/>
    <n v="6157.27"/>
    <n v="2680.68"/>
    <s v="Paid"/>
    <x v="0"/>
    <s v="Unique"/>
    <m/>
    <s v="Clean"/>
    <s v="valid"/>
    <n v="0.2"/>
    <n v="8837.9520000000011"/>
    <n v="2680.6820000000007"/>
    <n v="0.30331484036120587"/>
    <x v="1"/>
    <n v="2024"/>
    <s v="Clean"/>
  </r>
  <r>
    <x v="735"/>
    <s v="2024-08-11"/>
    <s v="19-08-2024"/>
    <s v="19-Aug-2024"/>
    <s v="11-Aug-2024"/>
    <n v="8"/>
    <s v="CUST-1963"/>
    <s v="Mira Das"/>
    <x v="0"/>
    <x v="3"/>
    <s v="Maharashtra"/>
    <s v="Mumbai"/>
    <x v="1"/>
    <x v="1"/>
    <s v="Classic Tables 534"/>
    <x v="3"/>
    <n v="6"/>
    <n v="1515.79"/>
    <n v="0.2"/>
    <n v="7275.79"/>
    <n v="6152.87"/>
    <n v="1122.92"/>
    <s v="Paid"/>
    <x v="0"/>
    <s v="Unique"/>
    <m/>
    <s v="Clean"/>
    <s v="valid"/>
    <n v="0.2"/>
    <n v="7275.7920000000004"/>
    <n v="1122.9220000000005"/>
    <n v="0.15433673749881804"/>
    <x v="1"/>
    <n v="2024"/>
    <s v="Clean"/>
  </r>
  <r>
    <x v="736"/>
    <s v="06 Dec 2024"/>
    <s v="09-12-2024"/>
    <s v="09-Dec-2024"/>
    <s v="06-Dec-2024"/>
    <n v="3"/>
    <s v="CUST-9017"/>
    <s v="Aditi Sen"/>
    <x v="0"/>
    <x v="3"/>
    <s v="Maharashtra"/>
    <s v="Mumbai"/>
    <x v="1"/>
    <x v="4"/>
    <s v="Pro Chairs 383"/>
    <x v="0"/>
    <n v="9"/>
    <n v="290.75"/>
    <n v="0.1"/>
    <n v="2355.08"/>
    <n v="1350.03"/>
    <n v="1005.05"/>
    <s v="Paid"/>
    <x v="0"/>
    <s v="Unique"/>
    <m/>
    <s v="Clean"/>
    <s v="valid"/>
    <n v="0.1"/>
    <n v="2355.0750000000003"/>
    <n v="1005.0450000000003"/>
    <n v="0.42675710964618968"/>
    <x v="7"/>
    <n v="2024"/>
    <s v="Clean"/>
  </r>
  <r>
    <x v="737"/>
    <s v="2024-02-10"/>
    <s v="10 Feb 2024"/>
    <s v="10-Feb-2024"/>
    <s v="10-Feb-2024"/>
    <n v="0"/>
    <s v="CUST-7967"/>
    <s v="Isha Nair"/>
    <x v="3"/>
    <x v="3"/>
    <s v="Maharashtra"/>
    <s v="Mumbai"/>
    <x v="1"/>
    <x v="4"/>
    <s v="Max Chairs 845"/>
    <x v="1"/>
    <n v="6"/>
    <n v="601.52"/>
    <n v="0"/>
    <n v="3609.12"/>
    <n v="2645.5"/>
    <n v="963.62"/>
    <s v="Paid"/>
    <x v="0"/>
    <s v="Unique"/>
    <m/>
    <s v="Clean"/>
    <s v="valid"/>
    <n v="0"/>
    <n v="3609.12"/>
    <n v="963.61999999999989"/>
    <n v="0.2669958327791816"/>
    <x v="5"/>
    <n v="2024"/>
    <s v="Clean"/>
  </r>
  <r>
    <x v="738"/>
    <s v="20 Feb 2025"/>
    <s v="02/22/2025"/>
    <s v="22-Feb-2025"/>
    <s v="20-Feb-2025"/>
    <n v="2"/>
    <s v="CUST-5334"/>
    <s v="Priya Menon"/>
    <x v="2"/>
    <x v="2"/>
    <s v="Kerala"/>
    <s v="Kochi"/>
    <x v="0"/>
    <x v="0"/>
    <s v="Prime Paper 307"/>
    <x v="2"/>
    <n v="1"/>
    <n v="2188.19"/>
    <n v="0"/>
    <n v="2188.19"/>
    <n v="1298.8399999999999"/>
    <n v="889.35"/>
    <s v="Paid"/>
    <x v="0"/>
    <s v="Unique"/>
    <m/>
    <s v="Clean"/>
    <s v="valid"/>
    <n v="0"/>
    <n v="2188.19"/>
    <n v="889.35000000000014"/>
    <n v="0.40643179979800664"/>
    <x v="5"/>
    <n v="2025"/>
    <s v="Clean"/>
  </r>
  <r>
    <x v="739"/>
    <s v="03 Dec 2024"/>
    <s v="12/10/2024"/>
    <s v="12-Oct-2024"/>
    <s v="03-Dec-2024"/>
    <n v="-52"/>
    <s v="CUST-5846"/>
    <s v="Neha Gupta"/>
    <x v="2"/>
    <x v="0"/>
    <s v="Rajasthan"/>
    <s v="Jaipur"/>
    <x v="2"/>
    <x v="11"/>
    <s v="Basic Phones 859"/>
    <x v="3"/>
    <n v="5"/>
    <n v="2393.86"/>
    <n v="0.05"/>
    <n v="11370.84"/>
    <n v="7469.58"/>
    <n v="3901.26"/>
    <s v="Paid"/>
    <x v="0"/>
    <s v="Unique"/>
    <m/>
    <s v="Clean"/>
    <s v="Invalid"/>
    <n v="0.05"/>
    <n v="11370.835000000001"/>
    <n v="3901.255000000001"/>
    <n v="0.34309309738466881"/>
    <x v="7"/>
    <n v="2024"/>
    <s v="Clean"/>
  </r>
  <r>
    <x v="740"/>
    <s v="02 Apr 2024"/>
    <s v="04/02/2024"/>
    <s v="04-Feb-2024"/>
    <s v="02-Apr-2024"/>
    <n v="-58"/>
    <s v="CUST-7932"/>
    <s v="Sneha Kapoor"/>
    <x v="1"/>
    <x v="3"/>
    <s v="Maharashtra"/>
    <s v="Mumbai"/>
    <x v="1"/>
    <x v="4"/>
    <s v="Eco Chairs 883"/>
    <x v="2"/>
    <n v="4"/>
    <n v="2583"/>
    <n v="0.1"/>
    <n v="9298.7999999999993"/>
    <n v="6548.5"/>
    <n v="2750.3"/>
    <s v="Paid"/>
    <x v="0"/>
    <s v="Unique"/>
    <m/>
    <s v="Clean"/>
    <s v="Invalid"/>
    <n v="0.1"/>
    <n v="9298.8000000000011"/>
    <n v="2750.3000000000011"/>
    <n v="0.29576934658235482"/>
    <x v="11"/>
    <n v="2024"/>
    <s v="Clean"/>
  </r>
  <r>
    <x v="741"/>
    <s v="04/23/2025"/>
    <s v="2025-04-25"/>
    <s v="25-Apr-2025"/>
    <s v="23-Apr-2025"/>
    <n v="2"/>
    <s v="CUST-3285"/>
    <s v="Isha Nair"/>
    <x v="3"/>
    <x v="2"/>
    <s v="Tamil Nadu"/>
    <s v="Chennai"/>
    <x v="1"/>
    <x v="4"/>
    <s v="Max Chairs 706"/>
    <x v="0"/>
    <n v="3"/>
    <n v="2951.12"/>
    <n v="0"/>
    <n v="7082.69"/>
    <n v="5596.34"/>
    <n v="1486.35"/>
    <s v="Paid"/>
    <x v="1"/>
    <s v="Unique"/>
    <m/>
    <s v="Clean"/>
    <s v="valid"/>
    <n v="0"/>
    <n v="8853.36"/>
    <n v="3257.0200000000004"/>
    <n v="0.36788518709280998"/>
    <x v="11"/>
    <n v="2025"/>
    <s v="Warning"/>
  </r>
  <r>
    <x v="742"/>
    <s v="10/15/2024"/>
    <s v="22 Oct 2024"/>
    <s v="22-Oct-2024"/>
    <s v="15-Oct-2024"/>
    <n v="7"/>
    <s v="CUST-6368"/>
    <s v="Karan Malhotra"/>
    <x v="2"/>
    <x v="1"/>
    <s v="Odisha"/>
    <s v="Bhubaneswar"/>
    <x v="0"/>
    <x v="0"/>
    <s v="Prime Paper 768"/>
    <x v="3"/>
    <n v="4"/>
    <n v="2260.9499999999998"/>
    <n v="0"/>
    <n v="9043.7999999999993"/>
    <n v="5913.38"/>
    <n v="3130.42"/>
    <s v="Paid"/>
    <x v="0"/>
    <s v="Unique"/>
    <m/>
    <s v="Clean"/>
    <s v="valid"/>
    <n v="0"/>
    <n v="9043.7999999999993"/>
    <n v="3130.4199999999992"/>
    <n v="0.34613989694597397"/>
    <x v="4"/>
    <n v="2024"/>
    <s v="Clean"/>
  </r>
  <r>
    <x v="743"/>
    <s v="02/12/2025"/>
    <s v="14 Feb 2025"/>
    <s v="14-Feb-2025"/>
    <s v="02-Dec-2025"/>
    <n v="-291"/>
    <s v="CUST-6231"/>
    <s v="Sneha Kapoor"/>
    <x v="0"/>
    <x v="0"/>
    <s v="Uttar Pradesh"/>
    <s v="Noida"/>
    <x v="0"/>
    <x v="2"/>
    <s v="Basic Art 764"/>
    <x v="3"/>
    <n v="6"/>
    <n v="491.4"/>
    <n v="0.25"/>
    <n v="2211.3000000000002"/>
    <n v="1735.64"/>
    <n v="475.66"/>
    <s v="Paid"/>
    <x v="0"/>
    <s v="Unique"/>
    <m/>
    <s v="Clean"/>
    <s v="Invalid"/>
    <n v="0.25"/>
    <n v="2211.2999999999997"/>
    <n v="475.65999999999963"/>
    <n v="0.21510423732645942"/>
    <x v="7"/>
    <n v="2025"/>
    <s v="Clean"/>
  </r>
  <r>
    <x v="744"/>
    <s v="2025-08-17"/>
    <s v="2025-08-20"/>
    <s v="20-Aug-2025"/>
    <s v="17-Aug-2025"/>
    <n v="3"/>
    <s v="CUST-2021"/>
    <s v="Mira Das"/>
    <x v="3"/>
    <x v="0"/>
    <s v="Punjab"/>
    <s v="Ludhiana"/>
    <x v="0"/>
    <x v="9"/>
    <s v="Prime Binders 181"/>
    <x v="2"/>
    <n v="5"/>
    <n v="2701.89"/>
    <n v="0.1"/>
    <n v="12158.5"/>
    <n v="10260.07"/>
    <n v="1898.43"/>
    <s v="Paid"/>
    <x v="1"/>
    <s v="Unique"/>
    <m/>
    <s v="Clean"/>
    <s v="valid"/>
    <n v="0.1"/>
    <n v="12158.504999999999"/>
    <n v="1898.4349999999995"/>
    <n v="0.15614049589155901"/>
    <x v="1"/>
    <n v="2025"/>
    <s v="Warning"/>
  </r>
  <r>
    <x v="745"/>
    <s v="24 Oct 2024"/>
    <s v="28-10-2024"/>
    <s v="28-Oct-2024"/>
    <s v="24-Oct-2024"/>
    <n v="4"/>
    <s v="CUST-1493"/>
    <s v="Mira Das"/>
    <x v="1"/>
    <x v="1"/>
    <s v="Assam"/>
    <s v="Guwahati"/>
    <x v="2"/>
    <x v="6"/>
    <s v="Max Copiers 866"/>
    <x v="3"/>
    <n v="3"/>
    <n v="723.59"/>
    <n v="0.2"/>
    <n v="1736.62"/>
    <n v="1059.52"/>
    <n v="677.1"/>
    <s v="Paid"/>
    <x v="0"/>
    <s v="Unique"/>
    <m/>
    <s v="Clean"/>
    <s v="valid"/>
    <n v="0.2"/>
    <n v="1736.616"/>
    <n v="677.096"/>
    <n v="0.38989390861307277"/>
    <x v="4"/>
    <n v="2024"/>
    <s v="Clean"/>
  </r>
  <r>
    <x v="746"/>
    <s v="2025-01-04"/>
    <s v="10-01-2025"/>
    <s v="10-Jan-2025"/>
    <s v="04-Jan-2025"/>
    <n v="6"/>
    <s v="CUST-2314"/>
    <s v="Aarav Sharma"/>
    <x v="3"/>
    <x v="1"/>
    <s v="West Bengal"/>
    <s v="Kolkata"/>
    <x v="0"/>
    <x v="0"/>
    <s v="Pro Paper 662"/>
    <x v="3"/>
    <n v="4"/>
    <n v="2583.19"/>
    <n v="0.2"/>
    <n v="8266.2099999999991"/>
    <n v="6236.32"/>
    <n v="2029.89"/>
    <s v="Paid"/>
    <x v="0"/>
    <s v="Unique"/>
    <m/>
    <s v="Clean"/>
    <s v="valid"/>
    <n v="0.2"/>
    <n v="8266.2080000000005"/>
    <n v="2029.8880000000008"/>
    <n v="0.24556459261610653"/>
    <x v="8"/>
    <n v="2025"/>
    <s v="Clean"/>
  </r>
  <r>
    <x v="747"/>
    <s v="2024-05-01"/>
    <s v="07 May 2024"/>
    <s v="07-May-2024"/>
    <s v="01-May-2024"/>
    <n v="6"/>
    <s v="CUST-8416"/>
    <s v="Isha Nair"/>
    <x v="3"/>
    <x v="1"/>
    <s v="Odisha"/>
    <s v="Bhubaneswar"/>
    <x v="0"/>
    <x v="0"/>
    <s v="Classic Paper 388"/>
    <x v="1"/>
    <n v="8"/>
    <n v="1473.83"/>
    <n v="0.15"/>
    <n v="10022.040000000001"/>
    <n v="5576.98"/>
    <n v="4445.0600000000004"/>
    <s v="Paid"/>
    <x v="0"/>
    <s v="Unique"/>
    <m/>
    <s v="Clean"/>
    <s v="valid"/>
    <n v="0.15"/>
    <n v="10022.044"/>
    <n v="4445.0640000000003"/>
    <n v="0.44352868536597928"/>
    <x v="3"/>
    <n v="2024"/>
    <s v="Clean"/>
  </r>
  <r>
    <x v="748"/>
    <s v="30-05-2024"/>
    <s v="05/30/2024"/>
    <s v="30-May-2024"/>
    <s v="30-May-2024"/>
    <n v="0"/>
    <s v="CUST-3103"/>
    <s v="Diya Patel"/>
    <x v="3"/>
    <x v="0"/>
    <s v="Haryana"/>
    <s v="Gurugram"/>
    <x v="2"/>
    <x v="11"/>
    <s v="Pro Phones 765"/>
    <x v="0"/>
    <n v="1"/>
    <n v="3848.04"/>
    <n v="0.25"/>
    <n v="2886.03"/>
    <n v="2064.83"/>
    <n v="821.2"/>
    <s v="Paid"/>
    <x v="0"/>
    <s v="Unique"/>
    <m/>
    <s v="Clean"/>
    <s v="valid"/>
    <n v="0.25"/>
    <n v="2886.0299999999997"/>
    <n v="821.19999999999982"/>
    <n v="0.28454312671732446"/>
    <x v="3"/>
    <n v="2024"/>
    <s v="Clean"/>
  </r>
  <r>
    <x v="749"/>
    <s v="21 Mar 2024"/>
    <s v="2024-03-25"/>
    <s v="25-Mar-2024"/>
    <s v="21-Mar-2024"/>
    <n v="4"/>
    <s v="CUST-4457"/>
    <s v="Aditi Sen"/>
    <x v="3"/>
    <x v="1"/>
    <s v="Assam"/>
    <s v="Guwahati"/>
    <x v="2"/>
    <x v="12"/>
    <s v="Classic Machines 543"/>
    <x v="3"/>
    <n v="1"/>
    <n v="1716.7"/>
    <n v="0.15"/>
    <n v="1459.19"/>
    <n v="1055.79"/>
    <n v="403.4"/>
    <s v="Paid"/>
    <x v="0"/>
    <s v="Unique"/>
    <m/>
    <s v="Clean"/>
    <s v="valid"/>
    <n v="0.15"/>
    <n v="1459.1949999999999"/>
    <n v="403.40499999999997"/>
    <n v="0.27645722470266137"/>
    <x v="9"/>
    <n v="2024"/>
    <s v="Clean"/>
  </r>
  <r>
    <x v="750"/>
    <s v="06/02/2025"/>
    <s v="2025-06-02"/>
    <s v="02-Jun-2025"/>
    <s v="06-Feb-2025"/>
    <n v="116"/>
    <s v="CUST-7036"/>
    <s v="Aarav Sharma"/>
    <x v="3"/>
    <x v="2"/>
    <s v="Telangana"/>
    <s v="Hyderabad"/>
    <x v="2"/>
    <x v="5"/>
    <s v="Max Accessories 291"/>
    <x v="2"/>
    <n v="8"/>
    <n v="3925.93"/>
    <n v="0.15"/>
    <n v="26696.32"/>
    <n v="22724.52"/>
    <n v="3971.8"/>
    <s v="Paid"/>
    <x v="0"/>
    <s v="Unique"/>
    <m/>
    <s v="Clean"/>
    <s v="valid"/>
    <n v="0.15"/>
    <n v="26696.323999999997"/>
    <n v="3971.8039999999964"/>
    <n v="0.14877718745097629"/>
    <x v="5"/>
    <n v="2025"/>
    <s v="Clean"/>
  </r>
  <r>
    <x v="751"/>
    <s v="18-07-2025"/>
    <s v="19-07-2025"/>
    <s v="19-Jul-2025"/>
    <s v="18-Jul-2025"/>
    <n v="1"/>
    <s v="CUST-8512"/>
    <s v="Priya Menon"/>
    <x v="3"/>
    <x v="4"/>
    <s v="Uttar Pradesh"/>
    <s v="Noida"/>
    <x v="2"/>
    <x v="12"/>
    <s v="Eco Machines 414"/>
    <x v="4"/>
    <n v="3"/>
    <n v="2963.25"/>
    <n v="0.05"/>
    <n v="8445.26"/>
    <n v="6937.6"/>
    <n v="1507.66"/>
    <s v="Paid"/>
    <x v="0"/>
    <s v="Unique"/>
    <m/>
    <s v="Clean"/>
    <s v="valid"/>
    <n v="0.05"/>
    <n v="8445.2624999999989"/>
    <n v="1507.6624999999985"/>
    <n v="0.17852168597482893"/>
    <x v="0"/>
    <n v="2025"/>
    <s v="Clean"/>
  </r>
  <r>
    <x v="752"/>
    <s v="24-03-2024"/>
    <s v="27-03-2024"/>
    <s v="27-Mar-2024"/>
    <s v="24-Mar-2024"/>
    <n v="3"/>
    <s v="CUST-6345"/>
    <s v="Aditi Sen"/>
    <x v="2"/>
    <x v="3"/>
    <s v="Gujarat"/>
    <s v="Ahmedabad"/>
    <x v="0"/>
    <x v="8"/>
    <s v="Basic Storage 273"/>
    <x v="2"/>
    <n v="5"/>
    <n v="2465.2199999999998"/>
    <n v="0.05"/>
    <n v="11709.79"/>
    <n v="8372.2900000000009"/>
    <n v="3337.5"/>
    <s v="Paid"/>
    <x v="0"/>
    <s v="Unique"/>
    <m/>
    <s v="Clean"/>
    <s v="valid"/>
    <n v="0.05"/>
    <n v="11709.794999999998"/>
    <n v="3337.5049999999974"/>
    <n v="0.28501822619439521"/>
    <x v="9"/>
    <n v="2024"/>
    <s v="Clean"/>
  </r>
  <r>
    <x v="753"/>
    <s v="11 Aug 2024"/>
    <s v="10-08-2024"/>
    <s v="10-Aug-2024"/>
    <s v="11-Aug-2024"/>
    <n v="-1"/>
    <s v="CUST-4505"/>
    <s v="Aditi Sen"/>
    <x v="2"/>
    <x v="0"/>
    <s v="Delhi"/>
    <s v="New Delhi"/>
    <x v="1"/>
    <x v="3"/>
    <s v="Elite Furnishings 588"/>
    <x v="0"/>
    <n v="3"/>
    <n v="1017.22"/>
    <n v="0.15"/>
    <n v="2593.91"/>
    <n v="1848.48"/>
    <n v="745.43"/>
    <s v="Failed"/>
    <x v="2"/>
    <s v="Unique"/>
    <m/>
    <s v="Clean"/>
    <s v="Invalid"/>
    <n v="0.15"/>
    <n v="2593.9109999999996"/>
    <n v="745.43099999999959"/>
    <n v="0.28737724617382776"/>
    <x v="1"/>
    <n v="2024"/>
    <s v="Warning"/>
  </r>
  <r>
    <x v="754"/>
    <s v="06/04/2025"/>
    <s v="06/04/2025"/>
    <s v="06-Apr-2025"/>
    <s v="06-Apr-2025"/>
    <n v="0"/>
    <s v="CUST-7960"/>
    <s v="Neha Gupta"/>
    <x v="2"/>
    <x v="2"/>
    <s v="Kerala"/>
    <s v="Kochi"/>
    <x v="0"/>
    <x v="8"/>
    <s v="Elite Storage 857"/>
    <x v="3"/>
    <n v="4"/>
    <n v="891.34"/>
    <n v="0.25"/>
    <n v="2674.02"/>
    <n v="2207.5700000000002"/>
    <n v="466.45"/>
    <s v="Paid"/>
    <x v="0"/>
    <s v="Unique"/>
    <m/>
    <s v="Clean"/>
    <s v="valid"/>
    <n v="0.25"/>
    <n v="2674.02"/>
    <n v="466.44999999999982"/>
    <n v="0.17443773793763689"/>
    <x v="11"/>
    <n v="2025"/>
    <s v="Clean"/>
  </r>
  <r>
    <x v="755"/>
    <s v="20-07-2025"/>
    <s v="24-07-2025"/>
    <s v="24-Jul-2025"/>
    <s v="20-Jul-2025"/>
    <n v="4"/>
    <s v="CUST-3365"/>
    <s v="Priya Menon"/>
    <x v="3"/>
    <x v="3"/>
    <s v="Madhya Pradesh"/>
    <s v="Indore"/>
    <x v="0"/>
    <x v="8"/>
    <s v="Prime Storage 183"/>
    <x v="0"/>
    <n v="5"/>
    <n v="2481.7399999999998"/>
    <n v="0.2"/>
    <n v="9926.9599999999991"/>
    <n v="7994.98"/>
    <n v="1931.98"/>
    <s v="Paid"/>
    <x v="0"/>
    <s v="Unique"/>
    <m/>
    <s v="Clean"/>
    <s v="valid"/>
    <n v="0.2"/>
    <n v="9926.9599999999991"/>
    <n v="1931.9799999999996"/>
    <n v="0.19461950083409219"/>
    <x v="0"/>
    <n v="2025"/>
    <s v="Clean"/>
  </r>
  <r>
    <x v="756"/>
    <s v="10/27/2024"/>
    <s v="11/01/2024"/>
    <s v="11-Jan-2024"/>
    <s v="27-Oct-2024"/>
    <n v="-290"/>
    <s v="CUST-1557"/>
    <s v="Rohan Mehta"/>
    <x v="0"/>
    <x v="0"/>
    <s v="Rajasthan"/>
    <s v="Jaipur"/>
    <x v="2"/>
    <x v="5"/>
    <s v="Smart Accessories 362"/>
    <x v="1"/>
    <n v="7"/>
    <n v="2177.1"/>
    <n v="0.2"/>
    <n v="12191.76"/>
    <n v="10457.49"/>
    <n v="1734.27"/>
    <s v="Paid"/>
    <x v="2"/>
    <s v="Unique"/>
    <m/>
    <s v="Clean"/>
    <s v="Invalid"/>
    <n v="0.2"/>
    <n v="12191.76"/>
    <n v="1734.2700000000004"/>
    <n v="0.14224935530226976"/>
    <x v="4"/>
    <n v="2024"/>
    <s v="Clean"/>
  </r>
  <r>
    <x v="757"/>
    <s v="01 Aug 2025"/>
    <s v="2025-08-03"/>
    <s v="03-Aug-2025"/>
    <s v="01-Aug-2025"/>
    <n v="2"/>
    <s v="CUST-3058"/>
    <s v="Aditi Sen"/>
    <x v="1"/>
    <x v="2"/>
    <s v="Kerala"/>
    <s v="Kochi"/>
    <x v="1"/>
    <x v="10"/>
    <s v="Classic Bookcases 310"/>
    <x v="3"/>
    <n v="3"/>
    <n v="1904.78"/>
    <n v="0.25"/>
    <n v="4285.76"/>
    <n v="2386.33"/>
    <n v="1899.43"/>
    <s v="Failed"/>
    <x v="1"/>
    <s v="Unique"/>
    <m/>
    <s v="Clean"/>
    <s v="valid"/>
    <n v="0.25"/>
    <n v="4285.7550000000001"/>
    <n v="1899.4250000000002"/>
    <n v="0.44319495631458172"/>
    <x v="1"/>
    <n v="2025"/>
    <s v="Warning"/>
  </r>
  <r>
    <x v="758"/>
    <s v="02 May 2024"/>
    <s v="10 May 2024"/>
    <s v="10-May-2024"/>
    <s v="02-May-2024"/>
    <n v="8"/>
    <s v="CUST-6076"/>
    <s v="Aarav Sharma"/>
    <x v="1"/>
    <x v="2"/>
    <s v="Karnataka"/>
    <s v="Bengaluru"/>
    <x v="1"/>
    <x v="4"/>
    <s v="Prime Chairs 721"/>
    <x v="3"/>
    <n v="1"/>
    <n v="4166.91"/>
    <n v="0"/>
    <n v="4166.91"/>
    <n v="3412.63"/>
    <n v="754.28"/>
    <s v="Paid"/>
    <x v="0"/>
    <s v="Unique"/>
    <m/>
    <s v="Clean"/>
    <s v="valid"/>
    <n v="0"/>
    <n v="4166.91"/>
    <n v="754.27999999999975"/>
    <n v="0.18101662862888801"/>
    <x v="3"/>
    <n v="2024"/>
    <s v="Clean"/>
  </r>
  <r>
    <x v="759"/>
    <s v="2024-07-19"/>
    <s v="26-07-2024"/>
    <s v="26-Jul-2024"/>
    <s v="19-Jul-2024"/>
    <n v="7"/>
    <s v="CUST-2098"/>
    <s v="Arjun Bose"/>
    <x v="3"/>
    <x v="2"/>
    <s v="Karnataka"/>
    <s v="Bengaluru"/>
    <x v="1"/>
    <x v="1"/>
    <s v="Prime Tables 797"/>
    <x v="0"/>
    <n v="5"/>
    <n v="3986.01"/>
    <n v="0.25"/>
    <n v="14947.54"/>
    <n v="9438.4599999999991"/>
    <n v="5509.08"/>
    <s v="Paid"/>
    <x v="0"/>
    <s v="Unique"/>
    <m/>
    <s v="Clean"/>
    <s v="valid"/>
    <n v="0.25"/>
    <n v="14947.537500000002"/>
    <n v="5509.0775000000031"/>
    <n v="0.36856087499362367"/>
    <x v="0"/>
    <n v="2024"/>
    <s v="Clean"/>
  </r>
  <r>
    <x v="760"/>
    <s v="28-08-2024"/>
    <s v="02 Sep 2024"/>
    <s v="02-Sep-2024"/>
    <s v="28-Aug-2024"/>
    <n v="5"/>
    <s v="CUST-7193"/>
    <s v="Aditi Sen"/>
    <x v="3"/>
    <x v="1"/>
    <s v="Assam"/>
    <s v="Guwahati"/>
    <x v="0"/>
    <x v="2"/>
    <s v="Max Art 926"/>
    <x v="0"/>
    <n v="4"/>
    <n v="3365.53"/>
    <n v="0"/>
    <n v="13462.12"/>
    <n v="7600.63"/>
    <n v="5861.49"/>
    <s v="Pending"/>
    <x v="2"/>
    <s v="Unique"/>
    <m/>
    <s v="Clean"/>
    <s v="valid"/>
    <n v="0"/>
    <n v="13462.12"/>
    <n v="5861.4900000000007"/>
    <n v="0.43540616188237813"/>
    <x v="1"/>
    <n v="2024"/>
    <s v="Clean"/>
  </r>
  <r>
    <x v="761"/>
    <s v="27 Aug 2025"/>
    <s v="08/31/2025"/>
    <s v="31-Aug-2025"/>
    <s v="27-Aug-2025"/>
    <n v="4"/>
    <s v="CUST-8948"/>
    <s v="Isha Nair"/>
    <x v="0"/>
    <x v="2"/>
    <s v="Karnataka"/>
    <s v="Bengaluru"/>
    <x v="2"/>
    <x v="12"/>
    <s v="Max Machines 364"/>
    <x v="2"/>
    <n v="3"/>
    <n v="2489.12"/>
    <n v="0"/>
    <n v="7467.36"/>
    <n v="5010.6099999999997"/>
    <n v="2456.75"/>
    <s v="Paid"/>
    <x v="0"/>
    <s v="Unique"/>
    <m/>
    <s v="Clean"/>
    <s v="valid"/>
    <n v="0"/>
    <n v="7467.36"/>
    <n v="2456.75"/>
    <n v="0.32899846799940008"/>
    <x v="1"/>
    <n v="2025"/>
    <s v="Clean"/>
  </r>
  <r>
    <x v="762"/>
    <s v="01/01/2024"/>
    <s v="05 Jan 2024"/>
    <s v="05-Jan-2024"/>
    <s v="01-Jan-2024"/>
    <n v="4"/>
    <s v="CUST-6921"/>
    <s v="Diya Patel"/>
    <x v="2"/>
    <x v="3"/>
    <s v="Madhya Pradesh"/>
    <s v="Indore"/>
    <x v="2"/>
    <x v="12"/>
    <s v="Classic Machines 122"/>
    <x v="0"/>
    <n v="2"/>
    <n v="3694.12"/>
    <n v="0.2"/>
    <n v="5910.59"/>
    <n v="4775.4399999999996"/>
    <n v="1135.1500000000001"/>
    <s v="Refunded"/>
    <x v="2"/>
    <s v="Unique"/>
    <m/>
    <s v="Clean"/>
    <s v="valid"/>
    <n v="0.2"/>
    <n v="5910.5920000000006"/>
    <n v="1135.152000000001"/>
    <n v="0.19205385856442145"/>
    <x v="8"/>
    <n v="2024"/>
    <s v="Clean"/>
  </r>
  <r>
    <x v="763"/>
    <s v="23 Aug 2025"/>
    <s v="2025-08-25"/>
    <s v="25-Aug-2025"/>
    <s v="23-Aug-2025"/>
    <n v="2"/>
    <s v="CUST-4086"/>
    <s v="Diya Patel"/>
    <x v="0"/>
    <x v="0"/>
    <s v="Rajasthan"/>
    <s v="Jaipur"/>
    <x v="1"/>
    <x v="3"/>
    <s v="Elite Furnishings 169"/>
    <x v="1"/>
    <n v="6"/>
    <n v="2742.48"/>
    <n v="0"/>
    <n v="16454.88"/>
    <n v="12081.54"/>
    <n v="4373.34"/>
    <s v="Paid"/>
    <x v="0"/>
    <s v="Unique"/>
    <m/>
    <s v="Clean"/>
    <s v="valid"/>
    <n v="0"/>
    <n v="16454.88"/>
    <n v="4373.34"/>
    <n v="0.26577769026574488"/>
    <x v="1"/>
    <n v="2025"/>
    <s v="Clean"/>
  </r>
  <r>
    <x v="764"/>
    <s v="2025-04-13"/>
    <s v="13-04-2025"/>
    <s v="13-Apr-2025"/>
    <s v="13-Apr-2025"/>
    <n v="0"/>
    <s v="CUST-5174"/>
    <s v="Priya Menon"/>
    <x v="2"/>
    <x v="2"/>
    <s v="Kerala"/>
    <s v="Kochi"/>
    <x v="1"/>
    <x v="10"/>
    <s v="Pro Bookcases 615"/>
    <x v="2"/>
    <n v="6"/>
    <n v="4414"/>
    <n v="0.05"/>
    <n v="25159.8"/>
    <n v="21606.83"/>
    <n v="3552.97"/>
    <s v="Paid"/>
    <x v="0"/>
    <s v="Unique"/>
    <m/>
    <s v="Clean"/>
    <s v="valid"/>
    <n v="0.05"/>
    <n v="25159.8"/>
    <n v="3552.9699999999975"/>
    <n v="0.14121614639226057"/>
    <x v="11"/>
    <n v="2025"/>
    <s v="Clean"/>
  </r>
  <r>
    <x v="765"/>
    <s v="29-06-2025"/>
    <s v="2025-07-03"/>
    <s v="03-Jul-2025"/>
    <s v="29-Jun-2025"/>
    <n v="4"/>
    <s v="CUST-8747"/>
    <s v="Vikram Iyer"/>
    <x v="2"/>
    <x v="1"/>
    <s v="Jharkhand"/>
    <s v="Ranchi"/>
    <x v="0"/>
    <x v="7"/>
    <s v="Max Labels 136"/>
    <x v="2"/>
    <n v="3"/>
    <n v="608.14"/>
    <n v="0"/>
    <n v="1824.42"/>
    <n v="1214.8699999999999"/>
    <n v="609.54999999999995"/>
    <s v="Paid"/>
    <x v="0"/>
    <s v="Unique"/>
    <m/>
    <s v="Clean"/>
    <s v="valid"/>
    <n v="0"/>
    <n v="1824.42"/>
    <n v="609.55000000000018"/>
    <n v="0.33410618169061956"/>
    <x v="10"/>
    <n v="2025"/>
    <s v="Clean"/>
  </r>
  <r>
    <x v="766"/>
    <s v="17 Sep 2024"/>
    <s v="24 Sep 2024"/>
    <s v="24-Sep-2024"/>
    <s v="17-Sep-2024"/>
    <n v="7"/>
    <s v="CUST-3156"/>
    <s v="Mira Das"/>
    <x v="2"/>
    <x v="3"/>
    <s v="Gujarat"/>
    <s v="Ahmedabad"/>
    <x v="0"/>
    <x v="2"/>
    <s v="Prime Art 380"/>
    <x v="0"/>
    <n v="9"/>
    <n v="2307.96"/>
    <n v="0.2"/>
    <n v="16617.310000000001"/>
    <n v="9195.73"/>
    <n v="7421.58"/>
    <s v="Paid"/>
    <x v="1"/>
    <s v="Unique"/>
    <m/>
    <s v="Clean"/>
    <s v="valid"/>
    <n v="0.2"/>
    <n v="16617.312000000002"/>
    <n v="7421.5820000000022"/>
    <n v="0.44661747940942564"/>
    <x v="6"/>
    <n v="2024"/>
    <s v="Warning"/>
  </r>
  <r>
    <x v="767"/>
    <s v="03 May 2024"/>
    <s v="05/06/2024"/>
    <s v="05-Jun-2024"/>
    <s v="03-May-2024"/>
    <n v="33"/>
    <s v="CUST-2043"/>
    <s v="Ananya Rao"/>
    <x v="3"/>
    <x v="0"/>
    <s v="Uttar Pradesh"/>
    <s v="Noida"/>
    <x v="0"/>
    <x v="9"/>
    <s v="Classic Binders 234"/>
    <x v="3"/>
    <n v="1"/>
    <n v="1244.58"/>
    <n v="0.25"/>
    <n v="933.43"/>
    <n v="583.09"/>
    <n v="350.34"/>
    <s v="Paid"/>
    <x v="0"/>
    <s v="Unique"/>
    <m/>
    <s v="Clean"/>
    <s v="valid"/>
    <n v="0.25"/>
    <n v="933.43499999999995"/>
    <n v="350.34499999999991"/>
    <n v="0.3753287588316272"/>
    <x v="3"/>
    <n v="2024"/>
    <s v="Clean"/>
  </r>
  <r>
    <x v="768"/>
    <s v="2025-04-02"/>
    <s v="2025-04-04"/>
    <s v="04-Apr-2025"/>
    <s v="02-Apr-2025"/>
    <n v="2"/>
    <s v="CUST-8808"/>
    <s v="Sneha Kapoor"/>
    <x v="3"/>
    <x v="1"/>
    <s v="Jharkhand"/>
    <s v="Ranchi"/>
    <x v="0"/>
    <x v="0"/>
    <s v="Classic Paper 280"/>
    <x v="1"/>
    <n v="5"/>
    <n v="3234.24"/>
    <n v="0.1"/>
    <n v="14554.08"/>
    <n v="11166.84"/>
    <n v="3387.24"/>
    <s v="Paid"/>
    <x v="0"/>
    <s v="Unique"/>
    <m/>
    <s v="Clean"/>
    <s v="valid"/>
    <n v="0.1"/>
    <n v="14554.08"/>
    <n v="3387.24"/>
    <n v="0.23273473830018798"/>
    <x v="11"/>
    <n v="2025"/>
    <s v="Clean"/>
  </r>
  <r>
    <x v="769"/>
    <s v="05/11/2024"/>
    <s v="13 May 2024"/>
    <s v="13-May-2024"/>
    <s v="05-Nov-2024"/>
    <n v="-176"/>
    <s v="CUST-1293"/>
    <s v="Priya Menon"/>
    <x v="3"/>
    <x v="3"/>
    <s v="Goa"/>
    <s v="Panaji"/>
    <x v="1"/>
    <x v="10"/>
    <s v="Classic Bookcases 922"/>
    <x v="1"/>
    <n v="3"/>
    <n v="3612.75"/>
    <n v="0.25"/>
    <n v="8128.69"/>
    <n v="5071.66"/>
    <n v="3057.03"/>
    <s v="Paid"/>
    <x v="0"/>
    <s v="Unique"/>
    <m/>
    <s v="Clean"/>
    <s v="Invalid"/>
    <n v="0.25"/>
    <n v="8128.6875"/>
    <n v="3057.0275000000001"/>
    <n v="0.3760788565189645"/>
    <x v="2"/>
    <n v="2024"/>
    <s v="Clean"/>
  </r>
  <r>
    <x v="770"/>
    <s v="02/15/2024"/>
    <s v="17-02-2024"/>
    <s v="17-Feb-2024"/>
    <s v="15-Feb-2024"/>
    <n v="2"/>
    <s v="CUST-8384"/>
    <s v="Neha Gupta"/>
    <x v="0"/>
    <x v="0"/>
    <s v="Uttar Pradesh"/>
    <s v="Noida"/>
    <x v="2"/>
    <x v="6"/>
    <s v="Eco Copiers 396"/>
    <x v="2"/>
    <n v="4"/>
    <n v="863"/>
    <n v="0"/>
    <n v="3106.8"/>
    <n v="2376.62"/>
    <n v="730.18"/>
    <s v="Paid"/>
    <x v="0"/>
    <s v="Unique"/>
    <m/>
    <s v="Clean"/>
    <s v="valid"/>
    <n v="0"/>
    <n v="3452"/>
    <n v="1075.3800000000001"/>
    <n v="0.3115237543453071"/>
    <x v="5"/>
    <n v="2024"/>
    <s v="Clean"/>
  </r>
  <r>
    <x v="771"/>
    <s v="2024-07-12"/>
    <s v="2024-07-14"/>
    <s v="14-Jul-2024"/>
    <s v="12-Jul-2024"/>
    <n v="2"/>
    <s v="CUST-7861"/>
    <s v="Ananya Rao"/>
    <x v="0"/>
    <x v="0"/>
    <s v="Haryana"/>
    <s v="Gurugram"/>
    <x v="2"/>
    <x v="12"/>
    <s v="Basic Machines 401"/>
    <x v="0"/>
    <n v="4"/>
    <n v="2131.41"/>
    <n v="0"/>
    <n v="6394.23"/>
    <n v="3520.69"/>
    <n v="2873.54"/>
    <s v="Paid"/>
    <x v="0"/>
    <s v="Unique"/>
    <m/>
    <s v="Clean"/>
    <s v="valid"/>
    <n v="0"/>
    <n v="8525.64"/>
    <n v="5004.9499999999989"/>
    <n v="0.58704683753946907"/>
    <x v="0"/>
    <n v="2024"/>
    <s v="Clean"/>
  </r>
  <r>
    <x v="772"/>
    <s v="07/15/2025"/>
    <s v="19 Jul 2025"/>
    <s v="19-Jul-2025"/>
    <s v="15-Jul-2025"/>
    <n v="4"/>
    <s v="CUST-8422"/>
    <s v="Diya Patel"/>
    <x v="0"/>
    <x v="2"/>
    <s v="Tamil Nadu"/>
    <s v="Chennai"/>
    <x v="1"/>
    <x v="4"/>
    <s v="Basic Chairs 279"/>
    <x v="1"/>
    <n v="1"/>
    <n v="3903.22"/>
    <n v="0.05"/>
    <n v="3708.06"/>
    <n v="2760.29"/>
    <n v="947.77"/>
    <s v="Pending"/>
    <x v="1"/>
    <s v="Unique"/>
    <m/>
    <s v="Clean"/>
    <s v="valid"/>
    <n v="0.05"/>
    <n v="3708.0589999999997"/>
    <n v="947.76899999999978"/>
    <n v="0.25559706574248142"/>
    <x v="0"/>
    <n v="2025"/>
    <s v="Warning"/>
  </r>
  <r>
    <x v="773"/>
    <s v="2025-02-21"/>
    <s v="21 Feb 2025"/>
    <s v="21-Feb-2025"/>
    <s v="21-Feb-2025"/>
    <n v="0"/>
    <s v="CUST-4766"/>
    <s v="Karan Malhotra"/>
    <x v="3"/>
    <x v="3"/>
    <s v="Gujarat"/>
    <s v="Ahmedabad"/>
    <x v="2"/>
    <x v="11"/>
    <s v="Basic Phones 753"/>
    <x v="4"/>
    <n v="4"/>
    <n v="2945.07"/>
    <n v="0.2"/>
    <n v="9424.2199999999993"/>
    <n v="6178.92"/>
    <n v="3245.3"/>
    <s v="Paid"/>
    <x v="0"/>
    <s v="Unique"/>
    <m/>
    <s v="Clean"/>
    <s v="valid"/>
    <n v="0.2"/>
    <n v="9424.2240000000002"/>
    <n v="3245.3040000000001"/>
    <n v="0.3443576892909167"/>
    <x v="5"/>
    <n v="2025"/>
    <s v="Clean"/>
  </r>
  <r>
    <x v="774"/>
    <s v="07-08-2025"/>
    <s v="2025-08-07"/>
    <s v="07-Aug-2025"/>
    <s v="07-Aug-2025"/>
    <n v="0"/>
    <s v="CUST-1182"/>
    <s v="Kabir Singh"/>
    <x v="0"/>
    <x v="3"/>
    <s v="Rajasthan"/>
    <s v="Udaipur"/>
    <x v="2"/>
    <x v="12"/>
    <s v="Smart Machines 789"/>
    <x v="4"/>
    <n v="9"/>
    <n v="1076.75"/>
    <n v="0.2"/>
    <n v="7752.6"/>
    <n v="4689.3"/>
    <n v="3063.3"/>
    <s v="Paid"/>
    <x v="0"/>
    <s v="Unique"/>
    <m/>
    <s v="Clean"/>
    <s v="valid"/>
    <n v="0.2"/>
    <n v="7752.6"/>
    <n v="3063.3"/>
    <n v="0.39513195573098059"/>
    <x v="1"/>
    <n v="2025"/>
    <s v="Clean"/>
  </r>
  <r>
    <x v="775"/>
    <s v="14 Apr 2024"/>
    <s v="22-04-2024"/>
    <s v="22-Apr-2024"/>
    <s v="14-Apr-2024"/>
    <n v="8"/>
    <s v="CUST-4461"/>
    <s v="Arjun Bose"/>
    <x v="0"/>
    <x v="0"/>
    <s v="Haryana"/>
    <s v="Gurugram"/>
    <x v="2"/>
    <x v="5"/>
    <s v="Elite Accessories 312"/>
    <x v="3"/>
    <n v="8"/>
    <n v="3956.12"/>
    <n v="0.25"/>
    <n v="23736.720000000001"/>
    <n v="13890.9"/>
    <n v="9845.82"/>
    <s v="Paid"/>
    <x v="0"/>
    <s v="Unique"/>
    <m/>
    <s v="Clean"/>
    <s v="valid"/>
    <n v="0.25"/>
    <n v="23736.720000000001"/>
    <n v="9845.8200000000015"/>
    <n v="0.41479277676106896"/>
    <x v="11"/>
    <n v="2024"/>
    <s v="Clean"/>
  </r>
  <r>
    <x v="776"/>
    <s v="08-06-2025"/>
    <s v="06/13/2025"/>
    <s v="13-Jun-2025"/>
    <s v="08-Jun-2025"/>
    <n v="5"/>
    <s v="CUST-9690"/>
    <s v="Aditi Sen"/>
    <x v="1"/>
    <x v="0"/>
    <s v="Rajasthan"/>
    <s v="Jaipur"/>
    <x v="2"/>
    <x v="6"/>
    <s v="Eco Copiers 528"/>
    <x v="0"/>
    <n v="7"/>
    <n v="3857.13"/>
    <n v="0"/>
    <n v="26999.91"/>
    <n v="17815.98"/>
    <n v="9183.93"/>
    <s v="Paid"/>
    <x v="0"/>
    <s v="Unique"/>
    <m/>
    <s v="Clean"/>
    <s v="valid"/>
    <n v="0"/>
    <n v="26999.91"/>
    <n v="9183.93"/>
    <n v="0.34014668937785347"/>
    <x v="10"/>
    <n v="2025"/>
    <s v="Clean"/>
  </r>
  <r>
    <x v="777"/>
    <s v="04-02-2024"/>
    <s v="2024-02-06"/>
    <s v="06-Feb-2024"/>
    <s v="04-Feb-2024"/>
    <n v="2"/>
    <s v="CUST-6879"/>
    <s v="Kabir Singh"/>
    <x v="1"/>
    <x v="3"/>
    <s v="Madhya Pradesh"/>
    <s v="Indore"/>
    <x v="2"/>
    <x v="5"/>
    <s v="Elite Accessories 226"/>
    <x v="0"/>
    <n v="4"/>
    <n v="1489.74"/>
    <n v="0.15"/>
    <n v="5065.12"/>
    <n v="3530.12"/>
    <n v="1535"/>
    <s v="Failed"/>
    <x v="1"/>
    <s v="Unique"/>
    <m/>
    <s v="Clean"/>
    <s v="valid"/>
    <n v="0.15"/>
    <n v="5065.116"/>
    <n v="1534.9960000000001"/>
    <n v="0.30305248685321323"/>
    <x v="5"/>
    <n v="2024"/>
    <s v="Warning"/>
  </r>
  <r>
    <x v="778"/>
    <s v="07/24/2024"/>
    <s v="24-07-2024"/>
    <s v="24-Jul-2024"/>
    <s v="24-Jul-2024"/>
    <n v="0"/>
    <s v="CUST-4714"/>
    <s v="Karan Malhotra"/>
    <x v="1"/>
    <x v="0"/>
    <s v="Haryana"/>
    <s v="Gurugram"/>
    <x v="2"/>
    <x v="6"/>
    <s v="Pro Copiers 298"/>
    <x v="0"/>
    <n v="4"/>
    <n v="1676.88"/>
    <n v="0"/>
    <n v="6707.52"/>
    <n v="5672.57"/>
    <n v="1034.95"/>
    <s v="Paid"/>
    <x v="0"/>
    <s v="Unique"/>
    <m/>
    <s v="Clean"/>
    <s v="valid"/>
    <n v="0"/>
    <n v="6707.52"/>
    <n v="1034.9500000000007"/>
    <n v="0.15429696817899918"/>
    <x v="0"/>
    <n v="2024"/>
    <s v="Clean"/>
  </r>
  <r>
    <x v="779"/>
    <s v="01/15/2024"/>
    <s v="20-01-2024"/>
    <s v="20-Jan-2024"/>
    <s v="15-Jan-2024"/>
    <n v="5"/>
    <s v="CUST-7547"/>
    <s v="Priya Menon"/>
    <x v="1"/>
    <x v="2"/>
    <s v="Andhra Pradesh"/>
    <s v="Vijayawada"/>
    <x v="1"/>
    <x v="4"/>
    <s v="Prime Chairs 331"/>
    <x v="3"/>
    <n v="4"/>
    <n v="3153.54"/>
    <n v="0.05"/>
    <n v="11983.45"/>
    <n v="8572.9"/>
    <n v="3410.55"/>
    <s v="Paid"/>
    <x v="0"/>
    <s v="Unique"/>
    <m/>
    <s v="Clean"/>
    <s v="valid"/>
    <n v="0.05"/>
    <n v="11983.451999999999"/>
    <n v="3410.5519999999997"/>
    <n v="0.2846051371507976"/>
    <x v="8"/>
    <n v="2024"/>
    <s v="Clean"/>
  </r>
  <r>
    <x v="780"/>
    <s v="04 Aug 2024"/>
    <s v="08/10/2024"/>
    <s v="08-Oct-2024"/>
    <s v="04-Aug-2024"/>
    <n v="65"/>
    <s v="CUST-3288"/>
    <s v="Diya Patel"/>
    <x v="1"/>
    <x v="3"/>
    <s v="Rajasthan"/>
    <s v="Udaipur"/>
    <x v="1"/>
    <x v="4"/>
    <s v="Classic Chairs 798"/>
    <x v="1"/>
    <n v="4"/>
    <n v="426.43"/>
    <n v="0.2"/>
    <n v="1364.58"/>
    <n v="978.16"/>
    <n v="386.42"/>
    <s v="Paid"/>
    <x v="0"/>
    <s v="Unique"/>
    <m/>
    <s v="Clean"/>
    <s v="valid"/>
    <n v="0.2"/>
    <n v="1364.576"/>
    <n v="386.41600000000005"/>
    <n v="0.28317660577351506"/>
    <x v="1"/>
    <n v="2024"/>
    <s v="Clean"/>
  </r>
  <r>
    <x v="781"/>
    <s v="2024-02-02"/>
    <s v="10 Feb 2024"/>
    <s v="10-Feb-2024"/>
    <s v="02-Feb-2024"/>
    <n v="8"/>
    <s v="CUST-8597"/>
    <s v="Karan Malhotra"/>
    <x v="3"/>
    <x v="3"/>
    <s v="Rajasthan"/>
    <s v="Udaipur"/>
    <x v="0"/>
    <x v="7"/>
    <s v="Classic Labels 204"/>
    <x v="2"/>
    <n v="3"/>
    <n v="383.4"/>
    <n v="0.25"/>
    <n v="862.65"/>
    <n v="603.73"/>
    <n v="258.92"/>
    <s v="Pending"/>
    <x v="2"/>
    <s v="Unique"/>
    <m/>
    <s v="Clean"/>
    <s v="valid"/>
    <n v="0.25"/>
    <n v="862.64999999999986"/>
    <n v="258.91999999999985"/>
    <n v="0.30014490233582553"/>
    <x v="5"/>
    <n v="2024"/>
    <s v="Clean"/>
  </r>
  <r>
    <x v="782"/>
    <s v="2025-03-14"/>
    <s v="03/22/2025"/>
    <s v="22-Mar-2025"/>
    <s v="14-Mar-2025"/>
    <n v="8"/>
    <s v="CUST-9085"/>
    <s v="Mira Das"/>
    <x v="2"/>
    <x v="1"/>
    <s v="West Bengal"/>
    <s v="Kolkata"/>
    <x v="2"/>
    <x v="6"/>
    <s v="Basic Copiers 254"/>
    <x v="3"/>
    <n v="2"/>
    <n v="669.63"/>
    <n v="0.15"/>
    <n v="1138.3699999999999"/>
    <n v="797.34"/>
    <n v="341.03"/>
    <s v="Paid"/>
    <x v="0"/>
    <s v="Unique"/>
    <m/>
    <s v="Clean"/>
    <s v="valid"/>
    <n v="0.15"/>
    <n v="1138.3709999999999"/>
    <n v="341.03099999999984"/>
    <n v="0.29957808131092578"/>
    <x v="9"/>
    <n v="2025"/>
    <s v="Clean"/>
  </r>
  <r>
    <x v="783"/>
    <s v="07 Jun 2024"/>
    <s v="2024-06-07"/>
    <s v="07-Jun-2024"/>
    <s v="07-Jun-2024"/>
    <n v="0"/>
    <s v="CUST-7746"/>
    <s v="Aarav Sharma"/>
    <x v="1"/>
    <x v="1"/>
    <s v="Bihar"/>
    <s v="Patna"/>
    <x v="0"/>
    <x v="2"/>
    <s v="Basic Art 709"/>
    <x v="0"/>
    <n v="1"/>
    <n v="2581.9299999999998"/>
    <n v="0.05"/>
    <n v="2452.83"/>
    <n v="1906.7"/>
    <n v="546.13"/>
    <s v="Paid"/>
    <x v="0"/>
    <s v="Unique"/>
    <m/>
    <s v="Clean"/>
    <s v="valid"/>
    <n v="0.05"/>
    <n v="2452.8334999999997"/>
    <n v="546.13349999999969"/>
    <n v="0.22265412634000625"/>
    <x v="10"/>
    <n v="2024"/>
    <s v="Clean"/>
  </r>
  <r>
    <x v="784"/>
    <s v="10/04/2025"/>
    <s v="2025-10-05"/>
    <s v="05-Oct-2025"/>
    <s v="10-Apr-2025"/>
    <n v="178"/>
    <s v="CUST-3119"/>
    <s v="Priya Menon"/>
    <x v="2"/>
    <x v="0"/>
    <s v="Punjab"/>
    <s v="Ludhiana"/>
    <x v="2"/>
    <x v="6"/>
    <s v="Max Copiers 551"/>
    <x v="2"/>
    <n v="4"/>
    <n v="418.18"/>
    <n v="0.05"/>
    <n v="1589.08"/>
    <n v="1084.6600000000001"/>
    <n v="504.42"/>
    <s v="Paid"/>
    <x v="0"/>
    <s v="Unique"/>
    <m/>
    <s v="Clean"/>
    <s v="valid"/>
    <n v="0.05"/>
    <n v="1589.0840000000001"/>
    <n v="504.42399999999998"/>
    <n v="0.31743067075120002"/>
    <x v="11"/>
    <n v="2025"/>
    <s v="Clean"/>
  </r>
  <r>
    <x v="785"/>
    <s v="23-05-2024"/>
    <s v="29-05-2024"/>
    <s v="29-May-2024"/>
    <s v="23-May-2024"/>
    <n v="6"/>
    <s v="CUST-7518"/>
    <s v="Diya Patel"/>
    <x v="1"/>
    <x v="0"/>
    <s v="Haryana"/>
    <s v="Gurugram"/>
    <x v="0"/>
    <x v="8"/>
    <s v="Eco Storage 183"/>
    <x v="1"/>
    <n v="2"/>
    <n v="3012.94"/>
    <n v="0.25"/>
    <n v="4519.41"/>
    <n v="3504.16"/>
    <n v="1275.55"/>
    <s v="Failed"/>
    <x v="1"/>
    <s v="Unique"/>
    <m/>
    <s v="Clean"/>
    <s v="valid"/>
    <n v="0.25"/>
    <n v="4519.41"/>
    <n v="1015.25"/>
    <n v="0.22464215461752751"/>
    <x v="3"/>
    <n v="2024"/>
    <s v="Warning"/>
  </r>
  <r>
    <x v="786"/>
    <s v="07/06/2025"/>
    <s v="08 Jul 2025"/>
    <s v="08-Jul-2025"/>
    <s v="07-Jun-2025"/>
    <n v="31"/>
    <s v="CUST-1343"/>
    <s v="Ananya Rao"/>
    <x v="2"/>
    <x v="0"/>
    <s v="Rajasthan"/>
    <s v="Jaipur"/>
    <x v="1"/>
    <x v="3"/>
    <s v="Pro Furnishings 233"/>
    <x v="4"/>
    <n v="4"/>
    <n v="715.45"/>
    <n v="0.05"/>
    <n v="2718.71"/>
    <n v="2065.0500000000002"/>
    <n v="653.66"/>
    <s v="Refunded"/>
    <x v="2"/>
    <s v="Unique"/>
    <m/>
    <s v="Clean"/>
    <s v="valid"/>
    <n v="0.05"/>
    <n v="2718.71"/>
    <n v="653.65999999999985"/>
    <n v="0.24043020403058799"/>
    <x v="10"/>
    <n v="2025"/>
    <s v="Clean"/>
  </r>
  <r>
    <x v="787"/>
    <s v="2024-09-12"/>
    <s v="2024-09-18"/>
    <s v="18-Sep-2024"/>
    <s v="12-Sep-2024"/>
    <n v="6"/>
    <s v="CUST-7548"/>
    <s v="Ananya Rao"/>
    <x v="3"/>
    <x v="1"/>
    <s v="Bihar"/>
    <s v="Patna"/>
    <x v="0"/>
    <x v="0"/>
    <s v="Prime Paper 878"/>
    <x v="0"/>
    <n v="2"/>
    <n v="3718.77"/>
    <n v="0.05"/>
    <n v="7065.66"/>
    <n v="4915.2700000000004"/>
    <n v="2150.39"/>
    <s v="Paid"/>
    <x v="0"/>
    <s v="Unique"/>
    <m/>
    <s v="Clean"/>
    <s v="valid"/>
    <n v="0.05"/>
    <n v="7065.6629999999996"/>
    <n v="2150.3929999999991"/>
    <n v="0.30434412170521002"/>
    <x v="6"/>
    <n v="2024"/>
    <s v="Clean"/>
  </r>
  <r>
    <x v="788"/>
    <s v="01 Aug 2024"/>
    <s v="02-08-2024"/>
    <s v="02-Aug-2024"/>
    <s v="01-Aug-2024"/>
    <n v="1"/>
    <s v="CUST-3631"/>
    <s v="Isha Nair"/>
    <x v="2"/>
    <x v="0"/>
    <s v="Uttar Pradesh"/>
    <s v="Noida"/>
    <x v="1"/>
    <x v="4"/>
    <s v="Smart Chairs 353"/>
    <x v="3"/>
    <n v="8"/>
    <n v="2487.64"/>
    <n v="0.1"/>
    <n v="17911.009999999998"/>
    <n v="11546.05"/>
    <n v="6364.96"/>
    <s v="Failed"/>
    <x v="2"/>
    <s v="Unique"/>
    <m/>
    <s v="Clean"/>
    <s v="valid"/>
    <n v="0.1"/>
    <n v="17911.007999999998"/>
    <n v="6364.9579999999987"/>
    <n v="0.35536570582738836"/>
    <x v="1"/>
    <n v="2024"/>
    <s v="Warning"/>
  </r>
  <r>
    <x v="789"/>
    <s v="07 Mar 2025"/>
    <s v="08 Mar 2025"/>
    <s v="08-Mar-2025"/>
    <s v="07-Mar-2025"/>
    <n v="1"/>
    <s v="CUST-1453"/>
    <s v="Priya Menon"/>
    <x v="3"/>
    <x v="4"/>
    <s v="Rajasthan"/>
    <s v="Udaipur"/>
    <x v="2"/>
    <x v="6"/>
    <s v="Smart Copiers 408"/>
    <x v="1"/>
    <n v="4"/>
    <n v="3537.48"/>
    <n v="0"/>
    <n v="14149.92"/>
    <n v="9466.51"/>
    <n v="4683.41"/>
    <s v="Paid"/>
    <x v="0"/>
    <s v="Unique"/>
    <m/>
    <s v="Clean"/>
    <s v="valid"/>
    <n v="0"/>
    <n v="14149.92"/>
    <n v="4683.41"/>
    <n v="0.33098491016203624"/>
    <x v="9"/>
    <n v="2025"/>
    <s v="Clean"/>
  </r>
  <r>
    <x v="790"/>
    <s v="31 May 2024"/>
    <s v="2024-06-02"/>
    <s v="02-Jun-2024"/>
    <s v="31-May-2024"/>
    <n v="2"/>
    <s v="CUST-1951"/>
    <s v="Rahul Verma"/>
    <x v="2"/>
    <x v="2"/>
    <s v="Andhra Pradesh"/>
    <s v="Vijayawada"/>
    <x v="0"/>
    <x v="2"/>
    <s v="Classic Art 781"/>
    <x v="3"/>
    <n v="8"/>
    <n v="667.59"/>
    <n v="0.2"/>
    <n v="4272.58"/>
    <n v="3328.92"/>
    <n v="943.66"/>
    <s v="Paid"/>
    <x v="0"/>
    <s v="Unique"/>
    <m/>
    <s v="Clean"/>
    <s v="valid"/>
    <n v="0.2"/>
    <n v="4272.576"/>
    <n v="943.65599999999995"/>
    <n v="0.22086347908147214"/>
    <x v="3"/>
    <n v="2024"/>
    <s v="Clean"/>
  </r>
  <r>
    <x v="791"/>
    <s v="02 Oct 2024"/>
    <s v="2024-10-06"/>
    <s v="06-Oct-2024"/>
    <s v="02-Oct-2024"/>
    <n v="4"/>
    <s v="CUST-6300"/>
    <s v="Rahul Verma"/>
    <x v="3"/>
    <x v="2"/>
    <s v="Karnataka"/>
    <s v="Bengaluru"/>
    <x v="1"/>
    <x v="10"/>
    <s v="Eco Bookcases 144"/>
    <x v="1"/>
    <n v="8"/>
    <n v="1558.77"/>
    <n v="0.25"/>
    <n v="9352.6200000000008"/>
    <n v="5269.41"/>
    <n v="4083.21"/>
    <s v="Paid"/>
    <x v="0"/>
    <s v="Unique"/>
    <m/>
    <s v="Clean"/>
    <s v="valid"/>
    <n v="0.25"/>
    <n v="9352.619999999999"/>
    <n v="4083.2099999999991"/>
    <n v="0.43658461479243243"/>
    <x v="4"/>
    <n v="2024"/>
    <s v="Clean"/>
  </r>
  <r>
    <x v="792"/>
    <s v="2025-06-04"/>
    <s v="08 Jun 2025"/>
    <s v="08-Jun-2025"/>
    <s v="04-Jun-2025"/>
    <n v="4"/>
    <s v="CUST-1417"/>
    <s v="Arjun Bose"/>
    <x v="1"/>
    <x v="1"/>
    <s v="Assam"/>
    <s v="Guwahati"/>
    <x v="1"/>
    <x v="3"/>
    <s v="Elite Furnishings 852"/>
    <x v="0"/>
    <n v="1"/>
    <n v="3501.12"/>
    <n v="0.2"/>
    <n v="2800.9"/>
    <n v="1735.98"/>
    <n v="1064.92"/>
    <s v="Paid"/>
    <x v="2"/>
    <s v="Unique"/>
    <m/>
    <s v="Clean"/>
    <s v="valid"/>
    <n v="0.2"/>
    <n v="2800.8960000000002"/>
    <n v="1064.9160000000002"/>
    <n v="0.38020547710446945"/>
    <x v="10"/>
    <n v="2025"/>
    <s v="Clean"/>
  </r>
  <r>
    <x v="793"/>
    <s v="28-05-2024"/>
    <s v="03 Jun 2024"/>
    <s v="03-Jun-2024"/>
    <s v="28-May-2024"/>
    <n v="6"/>
    <s v="CUST-5421"/>
    <s v="Vikram Iyer"/>
    <x v="2"/>
    <x v="0"/>
    <s v="Rajasthan"/>
    <s v="Jaipur"/>
    <x v="2"/>
    <x v="6"/>
    <s v="Basic Copiers 238"/>
    <x v="0"/>
    <n v="5"/>
    <n v="4302.32"/>
    <n v="0"/>
    <n v="21511.599999999999"/>
    <n v="15408.47"/>
    <n v="6103.13"/>
    <s v="Paid"/>
    <x v="0"/>
    <s v="Unique"/>
    <m/>
    <s v="Clean"/>
    <s v="valid"/>
    <n v="0"/>
    <n v="21511.599999999999"/>
    <n v="6103.1299999999992"/>
    <n v="0.28371343833094703"/>
    <x v="3"/>
    <n v="2024"/>
    <s v="Clean"/>
  </r>
  <r>
    <x v="794"/>
    <s v="2025-06-22"/>
    <s v="2025-06-24"/>
    <s v="24-Jun-2025"/>
    <s v="22-Jun-2025"/>
    <n v="2"/>
    <s v="CUST-2829"/>
    <s v="Sneha Kapoor"/>
    <x v="2"/>
    <x v="1"/>
    <s v="Assam"/>
    <s v="Guwahati"/>
    <x v="0"/>
    <x v="0"/>
    <s v="Elite Paper 847"/>
    <x v="3"/>
    <n v="9"/>
    <n v="951.55"/>
    <n v="0.15"/>
    <n v="7279.36"/>
    <n v="4870.3900000000003"/>
    <n v="2408.9699999999998"/>
    <s v="Paid"/>
    <x v="0"/>
    <s v="Unique"/>
    <m/>
    <s v="Clean"/>
    <s v="valid"/>
    <n v="0.15"/>
    <n v="7279.3574999999992"/>
    <n v="2408.9674999999988"/>
    <n v="0.33093133562955235"/>
    <x v="10"/>
    <n v="2025"/>
    <s v="Clean"/>
  </r>
  <r>
    <x v="795"/>
    <s v="30-07-2024"/>
    <s v="2024-07-30"/>
    <s v="30-Jul-2024"/>
    <s v="30-Jul-2024"/>
    <n v="0"/>
    <s v="CUST-6529"/>
    <s v="Diya Patel"/>
    <x v="3"/>
    <x v="1"/>
    <s v="Odisha"/>
    <s v="Bhubaneswar"/>
    <x v="2"/>
    <x v="6"/>
    <s v="Pro Copiers 653"/>
    <x v="1"/>
    <n v="9"/>
    <n v="2894.66"/>
    <n v="0"/>
    <n v="26051.94"/>
    <n v="16883.59"/>
    <n v="9168.35"/>
    <s v="Refunded"/>
    <x v="1"/>
    <s v="Unique"/>
    <m/>
    <s v="Clean"/>
    <s v="valid"/>
    <n v="0"/>
    <n v="26051.94"/>
    <n v="9168.3499999999985"/>
    <n v="0.3519258066769691"/>
    <x v="0"/>
    <n v="2024"/>
    <s v="Warning"/>
  </r>
  <r>
    <x v="796"/>
    <s v="03/23/2024"/>
    <s v="30-03-2024"/>
    <s v="30-Mar-2024"/>
    <s v="23-Mar-2024"/>
    <n v="7"/>
    <s v="CUST-3126"/>
    <s v="Rohan Mehta"/>
    <x v="1"/>
    <x v="2"/>
    <s v="Andhra Pradesh"/>
    <s v="Vijayawada"/>
    <x v="2"/>
    <x v="12"/>
    <s v="Elite Machines 459"/>
    <x v="2"/>
    <n v="6"/>
    <n v="1894.44"/>
    <n v="0.15"/>
    <n v="9661.64"/>
    <n v="6303.77"/>
    <n v="3357.87"/>
    <s v="Paid"/>
    <x v="0"/>
    <s v="Unique"/>
    <m/>
    <s v="Clean"/>
    <s v="valid"/>
    <n v="0.15"/>
    <n v="9661.6439999999984"/>
    <n v="3357.873999999998"/>
    <n v="0.34754685641491223"/>
    <x v="9"/>
    <n v="2024"/>
    <s v="Clean"/>
  </r>
  <r>
    <x v="797"/>
    <s v="18 Apr 2024"/>
    <s v="22-04-2024"/>
    <s v="22-Apr-2024"/>
    <s v="18-Apr-2024"/>
    <n v="4"/>
    <s v="CUST-3991"/>
    <s v="Aarav Sharma"/>
    <x v="0"/>
    <x v="1"/>
    <s v="Odisha"/>
    <s v="Bhubaneswar"/>
    <x v="0"/>
    <x v="9"/>
    <s v="Elite Binders 764"/>
    <x v="2"/>
    <n v="8"/>
    <n v="1714.37"/>
    <n v="0"/>
    <n v="13714.96"/>
    <n v="10550.47"/>
    <n v="3164.49"/>
    <s v="Failed"/>
    <x v="1"/>
    <s v="Unique"/>
    <m/>
    <s v="Clean"/>
    <s v="valid"/>
    <n v="0"/>
    <n v="13714.96"/>
    <n v="3164.49"/>
    <n v="0.23073271814135804"/>
    <x v="11"/>
    <n v="2024"/>
    <s v="Warning"/>
  </r>
  <r>
    <x v="798"/>
    <s v="2025-07-11"/>
    <s v="09-07-2025"/>
    <s v="09-Jul-2025"/>
    <s v="11-Jul-2025"/>
    <n v="-2"/>
    <s v="CUST-7553"/>
    <s v="Aditi Sen"/>
    <x v="2"/>
    <x v="0"/>
    <s v="Delhi"/>
    <s v="New Delhi"/>
    <x v="1"/>
    <x v="3"/>
    <s v="Classic Furnishings 348"/>
    <x v="3"/>
    <n v="9"/>
    <n v="1706.05"/>
    <n v="0"/>
    <n v="15354.45"/>
    <n v="9656.5"/>
    <n v="5697.95"/>
    <s v="Paid"/>
    <x v="0"/>
    <s v="Unique"/>
    <m/>
    <s v="Clean"/>
    <s v="Invalid"/>
    <n v="0"/>
    <n v="15354.449999999999"/>
    <n v="5697.9499999999989"/>
    <n v="0.37109437329243311"/>
    <x v="0"/>
    <n v="2025"/>
    <s v="Clean"/>
  </r>
  <r>
    <x v="799"/>
    <s v="10 Oct 2024"/>
    <s v="2024-10-17"/>
    <s v="17-Oct-2024"/>
    <s v="10-Oct-2024"/>
    <n v="7"/>
    <s v="CUST-8527"/>
    <s v="Isha Nair"/>
    <x v="3"/>
    <x v="0"/>
    <s v="Haryana"/>
    <s v="Gurugram"/>
    <x v="2"/>
    <x v="5"/>
    <s v="Smart Accessories 487"/>
    <x v="4"/>
    <n v="5"/>
    <n v="967.41"/>
    <n v="0.05"/>
    <n v="4595.2"/>
    <n v="3887.41"/>
    <n v="707.79"/>
    <s v="Paid"/>
    <x v="2"/>
    <s v="Unique"/>
    <m/>
    <s v="Clean"/>
    <s v="valid"/>
    <n v="0.05"/>
    <n v="4595.1975000000002"/>
    <n v="707.78750000000036"/>
    <n v="0.15402765604742785"/>
    <x v="4"/>
    <n v="2024"/>
    <s v="Clean"/>
  </r>
  <r>
    <x v="800"/>
    <s v="01 Mar 2024"/>
    <s v="2024-03-07"/>
    <s v="07-Mar-2024"/>
    <s v="01-Mar-2024"/>
    <n v="6"/>
    <s v="CUST-5015"/>
    <s v="Vikram Iyer"/>
    <x v="1"/>
    <x v="3"/>
    <s v="Maharashtra"/>
    <s v="Mumbai"/>
    <x v="0"/>
    <x v="8"/>
    <s v="Elite Storage 825"/>
    <x v="0"/>
    <n v="6"/>
    <n v="4163.72"/>
    <n v="0.15"/>
    <n v="21234.97"/>
    <n v="16736.09"/>
    <n v="4498.88"/>
    <s v="Paid"/>
    <x v="0"/>
    <s v="Unique"/>
    <m/>
    <s v="Clean"/>
    <s v="valid"/>
    <n v="0.15"/>
    <n v="21234.971999999998"/>
    <n v="4498.8819999999978"/>
    <n v="0.21186192286950029"/>
    <x v="9"/>
    <n v="2024"/>
    <s v="Clean"/>
  </r>
  <r>
    <x v="801"/>
    <s v="2025-10-08"/>
    <s v="15 Oct 2025"/>
    <s v="15-Oct-2025"/>
    <s v="08-Oct-2025"/>
    <n v="7"/>
    <s v="CUST-3344"/>
    <s v="Aarav Sharma"/>
    <x v="3"/>
    <x v="1"/>
    <s v="Odisha"/>
    <s v="Bhubaneswar"/>
    <x v="2"/>
    <x v="5"/>
    <s v="Pro Accessories 500"/>
    <x v="0"/>
    <n v="3"/>
    <n v="3372.21"/>
    <n v="0.2"/>
    <n v="8093.3"/>
    <n v="6052.43"/>
    <n v="2040.87"/>
    <s v="Pending"/>
    <x v="1"/>
    <s v="Unique"/>
    <m/>
    <s v="Clean"/>
    <s v="valid"/>
    <n v="0.2"/>
    <n v="8093.304000000001"/>
    <n v="2040.8740000000007"/>
    <n v="0.25216821214179036"/>
    <x v="4"/>
    <n v="2025"/>
    <s v="Warning"/>
  </r>
  <r>
    <x v="802"/>
    <s v="16 Feb 2025"/>
    <s v="2025-02-16"/>
    <s v="16-Feb-2025"/>
    <s v="16-Feb-2025"/>
    <n v="0"/>
    <s v="CUST-5866"/>
    <s v="Rohan Mehta"/>
    <x v="1"/>
    <x v="1"/>
    <s v="Assam"/>
    <s v="Guwahati"/>
    <x v="1"/>
    <x v="3"/>
    <s v="Pro Furnishings 909"/>
    <x v="0"/>
    <n v="6"/>
    <n v="1441.91"/>
    <n v="0"/>
    <n v="8651.4599999999991"/>
    <n v="5254.62"/>
    <n v="3396.84"/>
    <s v="Failed"/>
    <x v="2"/>
    <s v="Unique"/>
    <m/>
    <s v="Clean"/>
    <s v="valid"/>
    <n v="0"/>
    <n v="8651.4600000000009"/>
    <n v="3396.8400000000011"/>
    <n v="0.39263199506210522"/>
    <x v="5"/>
    <n v="2025"/>
    <s v="Warning"/>
  </r>
  <r>
    <x v="803"/>
    <s v="09 Dec 2024"/>
    <s v="13 Dec 2024"/>
    <s v="13-Dec-2024"/>
    <s v="09-Dec-2024"/>
    <n v="4"/>
    <s v="CUST-7180"/>
    <s v="Rohan Mehta"/>
    <x v="0"/>
    <x v="4"/>
    <s v="Jharkhand"/>
    <s v="Ranchi"/>
    <x v="0"/>
    <x v="7"/>
    <s v="Basic Labels 359"/>
    <x v="2"/>
    <n v="1"/>
    <n v="4306.6499999999996"/>
    <n v="0"/>
    <n v="4306.6499999999996"/>
    <n v="2568.8200000000002"/>
    <n v="1737.83"/>
    <s v="Paid"/>
    <x v="0"/>
    <s v="Unique"/>
    <m/>
    <s v="Clean"/>
    <s v="valid"/>
    <n v="0"/>
    <n v="4306.6499999999996"/>
    <n v="1737.8299999999995"/>
    <n v="0.40352245945224235"/>
    <x v="7"/>
    <n v="2024"/>
    <s v="Clean"/>
  </r>
  <r>
    <x v="804"/>
    <s v="10-09-2025"/>
    <s v="18-09-2025"/>
    <s v="18-Sep-2025"/>
    <s v="10-Sep-2025"/>
    <n v="8"/>
    <s v="CUST-8745"/>
    <s v="Rahul Verma"/>
    <x v="3"/>
    <x v="2"/>
    <s v="Telangana"/>
    <s v="Hyderabad"/>
    <x v="1"/>
    <x v="3"/>
    <s v="Eco Furnishings 541"/>
    <x v="3"/>
    <n v="1"/>
    <n v="2050.62"/>
    <n v="0.05"/>
    <n v="1948.09"/>
    <n v="1507.08"/>
    <n v="441.01"/>
    <s v="Paid"/>
    <x v="0"/>
    <s v="Unique"/>
    <m/>
    <s v="Clean"/>
    <s v="valid"/>
    <n v="0.05"/>
    <n v="1948.0889999999997"/>
    <n v="441.00899999999979"/>
    <n v="0.22638031424642296"/>
    <x v="6"/>
    <n v="2025"/>
    <s v="Clean"/>
  </r>
  <r>
    <x v="805"/>
    <s v="2025-04-06"/>
    <s v="07-04-2025"/>
    <s v="07-Apr-2025"/>
    <s v="06-Apr-2025"/>
    <n v="1"/>
    <s v="CUST-2098"/>
    <s v="Priya Menon"/>
    <x v="3"/>
    <x v="1"/>
    <s v="Assam"/>
    <s v="Guwahati"/>
    <x v="0"/>
    <x v="9"/>
    <s v="Classic Binders 103"/>
    <x v="0"/>
    <n v="2"/>
    <n v="2030.06"/>
    <n v="0.25"/>
    <n v="3045.09"/>
    <n v="2601.09"/>
    <n v="444"/>
    <s v="Paid"/>
    <x v="0"/>
    <s v="Unique"/>
    <m/>
    <s v="Clean"/>
    <s v="valid"/>
    <n v="0.25"/>
    <n v="3045.09"/>
    <n v="444"/>
    <n v="0.14580849827098705"/>
    <x v="11"/>
    <n v="2025"/>
    <s v="Clean"/>
  </r>
  <r>
    <x v="806"/>
    <s v="09-11-2024"/>
    <s v="15 Nov 2024"/>
    <s v="15-Nov-2024"/>
    <s v="09-Nov-2024"/>
    <n v="6"/>
    <s v="CUST-3704"/>
    <s v="Isha Nair"/>
    <x v="3"/>
    <x v="0"/>
    <s v="Rajasthan"/>
    <s v="Jaipur"/>
    <x v="2"/>
    <x v="6"/>
    <s v="Max Copiers 560"/>
    <x v="3"/>
    <n v="1"/>
    <n v="3665.97"/>
    <n v="0.2"/>
    <n v="2932.78"/>
    <n v="1900.35"/>
    <n v="1032.43"/>
    <s v="Failed"/>
    <x v="1"/>
    <s v="Unique"/>
    <m/>
    <s v="Clean"/>
    <s v="valid"/>
    <n v="0.2"/>
    <n v="2932.7759999999998"/>
    <n v="1032.4259999999999"/>
    <n v="0.35203029484692999"/>
    <x v="2"/>
    <n v="2024"/>
    <s v="Warning"/>
  </r>
  <r>
    <x v="807"/>
    <s v="07 Feb 2025"/>
    <s v="2025-02-08"/>
    <s v="08-Feb-2025"/>
    <s v="07-Feb-2025"/>
    <n v="1"/>
    <s v="CUST-5884"/>
    <s v="Karan Malhotra"/>
    <x v="1"/>
    <x v="2"/>
    <s v="Telangana"/>
    <s v="Hyderabad"/>
    <x v="0"/>
    <x v="7"/>
    <s v="Smart Labels 436"/>
    <x v="3"/>
    <n v="2"/>
    <n v="2432.98"/>
    <n v="0.1"/>
    <n v="4379.3599999999997"/>
    <n v="3723.93"/>
    <n v="655.43"/>
    <s v="Paid"/>
    <x v="0"/>
    <s v="Unique"/>
    <m/>
    <s v="Clean"/>
    <s v="valid"/>
    <n v="0.1"/>
    <n v="4379.3640000000005"/>
    <n v="655.43400000000065"/>
    <n v="0.14966419781502532"/>
    <x v="5"/>
    <n v="2025"/>
    <s v="Clean"/>
  </r>
  <r>
    <x v="808"/>
    <s v="2025-08-31"/>
    <s v="2025-08-28"/>
    <s v="28-Aug-2025"/>
    <s v="31-Aug-2025"/>
    <n v="-3"/>
    <s v="CUST-7503"/>
    <s v="Aarav Sharma"/>
    <x v="1"/>
    <x v="2"/>
    <s v="Tamil Nadu"/>
    <s v="Chennai"/>
    <x v="1"/>
    <x v="3"/>
    <s v="Pro Furnishings 386"/>
    <x v="2"/>
    <n v="7"/>
    <n v="977.28"/>
    <n v="0.2"/>
    <n v="5472.77"/>
    <n v="4477.33"/>
    <n v="995.44"/>
    <s v="Paid"/>
    <x v="0"/>
    <s v="Unique"/>
    <m/>
    <s v="Clean"/>
    <s v="Invalid"/>
    <n v="0.2"/>
    <n v="5472.768"/>
    <n v="995.4380000000001"/>
    <n v="0.18188931085695575"/>
    <x v="1"/>
    <n v="2025"/>
    <s v="Clean"/>
  </r>
  <r>
    <x v="809"/>
    <s v="25 Jun 2025"/>
    <s v="25 Jun 2025"/>
    <s v="25-Jun-2025"/>
    <s v="25-Jun-2025"/>
    <n v="0"/>
    <s v="CUST-6973"/>
    <s v="Arjun Bose"/>
    <x v="1"/>
    <x v="4"/>
    <s v="Punjab"/>
    <s v="Ludhiana"/>
    <x v="0"/>
    <x v="9"/>
    <s v="Eco Binders 601"/>
    <x v="0"/>
    <n v="6"/>
    <n v="1366.13"/>
    <n v="0.1"/>
    <n v="7377.1"/>
    <n v="5085.21"/>
    <n v="2291.89"/>
    <s v="Paid"/>
    <x v="0"/>
    <s v="Unique"/>
    <m/>
    <s v="Clean"/>
    <s v="valid"/>
    <n v="0.1"/>
    <n v="7377.1020000000008"/>
    <n v="2291.8920000000007"/>
    <n v="0.31067646888981615"/>
    <x v="10"/>
    <n v="2025"/>
    <s v="Clean"/>
  </r>
  <r>
    <x v="810"/>
    <s v="04/03/2024"/>
    <s v="08-04-2024"/>
    <s v="08-Apr-2024"/>
    <s v="04-Mar-2024"/>
    <n v="35"/>
    <s v="CUST-4653"/>
    <s v="Kabir Singh"/>
    <x v="3"/>
    <x v="3"/>
    <s v="Gujarat"/>
    <s v="Ahmedabad"/>
    <x v="2"/>
    <x v="6"/>
    <s v="Pro Copiers 867"/>
    <x v="2"/>
    <n v="1"/>
    <n v="3151.85"/>
    <n v="0.25"/>
    <n v="2363.89"/>
    <n v="1471.51"/>
    <n v="892.38"/>
    <s v="Paid"/>
    <x v="0"/>
    <s v="Unique"/>
    <m/>
    <s v="Clean"/>
    <s v="valid"/>
    <n v="0.25"/>
    <n v="2363.8874999999998"/>
    <n v="892.37749999999983"/>
    <n v="0.37750421710000998"/>
    <x v="9"/>
    <n v="2024"/>
    <s v="Clean"/>
  </r>
  <r>
    <x v="811"/>
    <s v="12 Dec 2024"/>
    <s v="19 Dec 2024"/>
    <s v="19-Dec-2024"/>
    <s v="12-Dec-2024"/>
    <n v="7"/>
    <s v="CUST-3303"/>
    <s v="Rohan Mehta"/>
    <x v="3"/>
    <x v="0"/>
    <s v="Haryana"/>
    <s v="Gurugram"/>
    <x v="2"/>
    <x v="5"/>
    <s v="Eco Accessories 122"/>
    <x v="2"/>
    <n v="2"/>
    <n v="1610.75"/>
    <n v="0.2"/>
    <n v="2577.1999999999998"/>
    <n v="1475.87"/>
    <n v="1101.33"/>
    <s v="Paid"/>
    <x v="0"/>
    <s v="Unique"/>
    <m/>
    <s v="Clean"/>
    <s v="valid"/>
    <n v="0.2"/>
    <n v="2577.2000000000003"/>
    <n v="1101.3300000000004"/>
    <n v="0.42733586838429316"/>
    <x v="7"/>
    <n v="2024"/>
    <s v="Clean"/>
  </r>
  <r>
    <x v="812"/>
    <s v="2024-06-15"/>
    <s v="20-06-2024"/>
    <s v="20-Jun-2024"/>
    <s v="15-Jun-2024"/>
    <n v="5"/>
    <s v="CUST-5754"/>
    <s v="Sneha Kapoor"/>
    <x v="1"/>
    <x v="1"/>
    <s v="Jharkhand"/>
    <s v="Ranchi"/>
    <x v="1"/>
    <x v="1"/>
    <s v="Basic Tables 127"/>
    <x v="2"/>
    <n v="8"/>
    <n v="2228.4699999999998"/>
    <n v="0"/>
    <n v="17827.759999999998"/>
    <n v="14122.13"/>
    <n v="3705.63"/>
    <s v="Paid"/>
    <x v="0"/>
    <s v="Unique"/>
    <m/>
    <s v="Clean"/>
    <s v="valid"/>
    <n v="0"/>
    <n v="17827.759999999998"/>
    <n v="3705.6299999999992"/>
    <n v="0.20785729671029896"/>
    <x v="10"/>
    <n v="2024"/>
    <s v="Clean"/>
  </r>
  <r>
    <x v="813"/>
    <s v="04/06/2025"/>
    <s v="10 Apr 2025"/>
    <s v="10-Apr-2025"/>
    <s v="04-Jun-2025"/>
    <n v="-55"/>
    <s v="CUST-7848"/>
    <s v="Rohan Mehta"/>
    <x v="0"/>
    <x v="1"/>
    <s v="Odisha"/>
    <s v="Bhubaneswar"/>
    <x v="1"/>
    <x v="10"/>
    <s v="Elite Bookcases 988"/>
    <x v="3"/>
    <n v="2"/>
    <n v="1337.67"/>
    <n v="0"/>
    <n v="2675.34"/>
    <n v="1595.87"/>
    <n v="1079.47"/>
    <s v="Paid"/>
    <x v="0"/>
    <s v="Unique"/>
    <m/>
    <s v="Clean"/>
    <s v="Invalid"/>
    <n v="0"/>
    <n v="2675.34"/>
    <n v="1079.4700000000003"/>
    <n v="0.40348890234512258"/>
    <x v="10"/>
    <n v="2025"/>
    <s v="Clean"/>
  </r>
  <r>
    <x v="814"/>
    <s v="06 Aug 2025"/>
    <s v="2025-08-11"/>
    <s v="11-Aug-2025"/>
    <s v="06-Aug-2025"/>
    <n v="5"/>
    <s v="CUST-9048"/>
    <s v="Arjun Bose"/>
    <x v="0"/>
    <x v="3"/>
    <s v="Madhya Pradesh"/>
    <s v="Indore"/>
    <x v="0"/>
    <x v="7"/>
    <s v="Smart Labels 126"/>
    <x v="2"/>
    <n v="2"/>
    <n v="2375.94"/>
    <n v="0.25"/>
    <n v="3563.91"/>
    <n v="2639.7"/>
    <n v="924.21"/>
    <s v="Paid"/>
    <x v="0"/>
    <s v="Unique"/>
    <m/>
    <s v="Clean"/>
    <s v="valid"/>
    <n v="0.25"/>
    <n v="3563.91"/>
    <n v="924.21"/>
    <n v="0.25932473042248544"/>
    <x v="1"/>
    <n v="2025"/>
    <s v="Clean"/>
  </r>
  <r>
    <x v="815"/>
    <s v="04/01/2024"/>
    <s v="2024-04-08"/>
    <s v="08-Apr-2024"/>
    <s v="04-Jan-2024"/>
    <n v="95"/>
    <s v="CUST-2951"/>
    <s v="Diya Patel"/>
    <x v="0"/>
    <x v="1"/>
    <s v="Odisha"/>
    <s v="Bhubaneswar"/>
    <x v="2"/>
    <x v="12"/>
    <s v="Max Machines 569"/>
    <x v="3"/>
    <n v="7"/>
    <n v="715.81"/>
    <n v="0.15"/>
    <n v="4259.07"/>
    <n v="3130.32"/>
    <n v="1128.75"/>
    <s v="Pending"/>
    <x v="1"/>
    <s v="Unique"/>
    <m/>
    <s v="Clean"/>
    <s v="valid"/>
    <n v="0.15"/>
    <n v="4259.0694999999996"/>
    <n v="1128.7494999999994"/>
    <n v="0.26502255950507486"/>
    <x v="8"/>
    <n v="2024"/>
    <s v="Warning"/>
  </r>
  <r>
    <x v="816"/>
    <s v="11/27/2024"/>
    <s v="2024-11-30"/>
    <s v="30-Nov-2024"/>
    <s v="27-Nov-2024"/>
    <n v="3"/>
    <s v="CUST-3072"/>
    <s v="Rahul Verma"/>
    <x v="1"/>
    <x v="1"/>
    <s v="Jharkhand"/>
    <s v="Ranchi"/>
    <x v="1"/>
    <x v="3"/>
    <s v="Basic Furnishings 306"/>
    <x v="2"/>
    <n v="1"/>
    <n v="874.3"/>
    <n v="0.1"/>
    <n v="786.87"/>
    <n v="498.5"/>
    <n v="288.37"/>
    <s v="Paid"/>
    <x v="0"/>
    <s v="Unique"/>
    <m/>
    <s v="Clean"/>
    <s v="valid"/>
    <n v="0.1"/>
    <n v="786.87"/>
    <n v="288.37"/>
    <n v="0.36647730883119195"/>
    <x v="2"/>
    <n v="2024"/>
    <s v="Clean"/>
  </r>
  <r>
    <x v="817"/>
    <s v="05 Apr 2025"/>
    <s v="04/05/2025"/>
    <s v="04-May-2025"/>
    <s v="05-Apr-2025"/>
    <n v="29"/>
    <s v="CUST-2221"/>
    <s v="Sneha Kapoor"/>
    <x v="0"/>
    <x v="1"/>
    <s v="Bihar"/>
    <s v="Patna"/>
    <x v="0"/>
    <x v="9"/>
    <s v="Classic Binders 873"/>
    <x v="3"/>
    <n v="6"/>
    <n v="1829.69"/>
    <n v="0.25"/>
    <n v="8233.6"/>
    <n v="4713.79"/>
    <n v="3519.81"/>
    <s v="Paid"/>
    <x v="0"/>
    <s v="Unique"/>
    <m/>
    <s v="Clean"/>
    <s v="valid"/>
    <n v="0.25"/>
    <n v="8233.6049999999996"/>
    <n v="3519.8149999999996"/>
    <n v="0.42749378917254349"/>
    <x v="11"/>
    <n v="2025"/>
    <s v="Clean"/>
  </r>
  <r>
    <x v="818"/>
    <s v="29 Sep 2024"/>
    <s v="05-10-2024"/>
    <s v="05-Oct-2024"/>
    <s v="29-Sep-2024"/>
    <n v="6"/>
    <s v="CUST-3943"/>
    <s v="Priya Menon"/>
    <x v="1"/>
    <x v="3"/>
    <s v="Maharashtra"/>
    <s v="Mumbai"/>
    <x v="0"/>
    <x v="7"/>
    <s v="Pro Labels 611"/>
    <x v="2"/>
    <n v="8"/>
    <n v="1981.04"/>
    <n v="-0.14000000000000001"/>
    <n v="12678.66"/>
    <n v="10088.65"/>
    <n v="2590.0100000000002"/>
    <s v="Paid"/>
    <x v="0"/>
    <s v="Unique"/>
    <m/>
    <s v="Invalid"/>
    <s v="valid"/>
    <n v="-0.14000000000000001"/>
    <n v="18067.084800000001"/>
    <n v="7978.4348000000009"/>
    <n v="0.44160056192352631"/>
    <x v="6"/>
    <n v="2024"/>
    <s v="Invalid"/>
  </r>
  <r>
    <x v="819"/>
    <s v="07/31/2024"/>
    <s v="31-07-2024"/>
    <s v="31-Jul-2024"/>
    <s v="31-Jul-2024"/>
    <n v="0"/>
    <s v="CUST-7510"/>
    <s v="Karan Malhotra"/>
    <x v="3"/>
    <x v="2"/>
    <s v="Kerala"/>
    <s v="Kochi"/>
    <x v="2"/>
    <x v="12"/>
    <s v="Prime Machines 524"/>
    <x v="3"/>
    <n v="8"/>
    <n v="4246.01"/>
    <n v="0"/>
    <n v="33968.080000000002"/>
    <n v="26902.44"/>
    <n v="7065.64"/>
    <s v="Failed"/>
    <x v="1"/>
    <s v="Unique"/>
    <m/>
    <s v="Clean"/>
    <s v="valid"/>
    <n v="0"/>
    <n v="33968.080000000002"/>
    <n v="7065.6400000000031"/>
    <n v="0.20800822419165294"/>
    <x v="0"/>
    <n v="2024"/>
    <s v="Warning"/>
  </r>
  <r>
    <x v="820"/>
    <s v="06-02-2025"/>
    <s v="10-02-2025"/>
    <s v="10-Feb-2025"/>
    <s v="06-Feb-2025"/>
    <n v="4"/>
    <s v="CUST-2041"/>
    <s v="Ananya Rao"/>
    <x v="3"/>
    <x v="0"/>
    <s v="Uttar Pradesh"/>
    <s v="Noida"/>
    <x v="1"/>
    <x v="10"/>
    <s v="Classic Bookcases 882"/>
    <x v="3"/>
    <n v="2"/>
    <n v="319.57"/>
    <n v="0.2"/>
    <n v="511.31"/>
    <n v="436.43"/>
    <n v="74.88"/>
    <s v="Paid"/>
    <x v="0"/>
    <s v="Unique"/>
    <m/>
    <s v="Clean"/>
    <s v="valid"/>
    <n v="0.2"/>
    <n v="511.31200000000001"/>
    <n v="74.882000000000005"/>
    <n v="0.14645069937728825"/>
    <x v="5"/>
    <n v="2025"/>
    <s v="Clean"/>
  </r>
  <r>
    <x v="821"/>
    <s v="2024-07-03"/>
    <s v="06-07-2024"/>
    <s v="06-Jul-2024"/>
    <s v="03-Jul-2024"/>
    <n v="3"/>
    <s v="CUST-4466"/>
    <s v="Aarav Sharma"/>
    <x v="2"/>
    <x v="2"/>
    <s v="Karnataka"/>
    <s v="Bengaluru"/>
    <x v="2"/>
    <x v="5"/>
    <s v="Classic Accessories 471"/>
    <x v="2"/>
    <n v="7"/>
    <n v="1942.49"/>
    <n v="0.2"/>
    <n v="10877.94"/>
    <n v="9110.14"/>
    <n v="1767.8"/>
    <s v="Paid"/>
    <x v="0"/>
    <s v="Unique"/>
    <m/>
    <s v="Clean"/>
    <s v="valid"/>
    <n v="0.2"/>
    <n v="10877.944000000001"/>
    <n v="1767.8040000000019"/>
    <n v="0.16251269541376584"/>
    <x v="0"/>
    <n v="2024"/>
    <s v="Clean"/>
  </r>
  <r>
    <x v="822"/>
    <s v="10/12/2024"/>
    <s v="08 Oct 2024"/>
    <s v="08-Oct-2024"/>
    <s v="10-Dec-2024"/>
    <n v="-63"/>
    <s v="CUST-3188"/>
    <s v="Mira Das"/>
    <x v="2"/>
    <x v="1"/>
    <s v="Assam"/>
    <s v="Guwahati"/>
    <x v="1"/>
    <x v="3"/>
    <s v="Smart Furnishings 175"/>
    <x v="0"/>
    <n v="4"/>
    <n v="3202.04"/>
    <n v="0.2"/>
    <n v="10246.530000000001"/>
    <n v="8634.42"/>
    <n v="1612.11"/>
    <s v="Pending"/>
    <x v="2"/>
    <s v="Unique"/>
    <m/>
    <s v="Clean"/>
    <s v="Invalid"/>
    <n v="0.2"/>
    <n v="10246.528"/>
    <n v="1612.1080000000002"/>
    <n v="0.15733212264681268"/>
    <x v="7"/>
    <n v="2024"/>
    <s v="Clean"/>
  </r>
  <r>
    <x v="823"/>
    <s v="2025-01-06"/>
    <s v="12 Jan 2025"/>
    <s v="12-Jan-2025"/>
    <s v="06-Jan-2025"/>
    <n v="6"/>
    <s v="CUST-6638"/>
    <s v="Mira Das"/>
    <x v="3"/>
    <x v="3"/>
    <s v="Goa"/>
    <s v="Panaji"/>
    <x v="0"/>
    <x v="0"/>
    <s v="Basic Paper 899"/>
    <x v="1"/>
    <n v="3"/>
    <n v="668.33"/>
    <n v="0.15"/>
    <n v="1704.24"/>
    <n v="957.55"/>
    <n v="746.69"/>
    <s v="Paid"/>
    <x v="0"/>
    <s v="Unique"/>
    <m/>
    <s v="Clean"/>
    <s v="valid"/>
    <n v="0.15"/>
    <n v="1704.2415000000001"/>
    <n v="746.69150000000013"/>
    <n v="0.43813714194848563"/>
    <x v="8"/>
    <n v="2025"/>
    <s v="Clean"/>
  </r>
  <r>
    <x v="824"/>
    <s v="21-03-2025"/>
    <s v="22 Mar 2025"/>
    <s v="22-Mar-2025"/>
    <s v="21-Mar-2025"/>
    <n v="1"/>
    <s v="CUST-3540"/>
    <s v="Priya Menon"/>
    <x v="0"/>
    <x v="3"/>
    <s v="Goa"/>
    <s v="Panaji"/>
    <x v="0"/>
    <x v="0"/>
    <s v="Pro Paper 267"/>
    <x v="2"/>
    <n v="8"/>
    <n v="4436.74"/>
    <n v="0.05"/>
    <n v="33719.22"/>
    <n v="28924.43"/>
    <n v="4794.79"/>
    <s v="Paid"/>
    <x v="0"/>
    <s v="Unique"/>
    <m/>
    <s v="Clean"/>
    <s v="valid"/>
    <n v="0.05"/>
    <n v="33719.223999999995"/>
    <n v="4794.7939999999944"/>
    <n v="0.14219763776295669"/>
    <x v="9"/>
    <n v="2025"/>
    <s v="Clean"/>
  </r>
  <r>
    <x v="825"/>
    <s v="16 Apr 2025"/>
    <s v="17-04-2025"/>
    <s v="17-Apr-2025"/>
    <s v="16-Apr-2025"/>
    <n v="1"/>
    <s v="CUST-3351"/>
    <s v="Vikram Iyer"/>
    <x v="1"/>
    <x v="0"/>
    <s v="Uttar Pradesh"/>
    <s v="Noida"/>
    <x v="2"/>
    <x v="12"/>
    <s v="Basic Machines 832"/>
    <x v="2"/>
    <n v="1"/>
    <n v="2720.17"/>
    <n v="0"/>
    <n v="2720.17"/>
    <n v="1834.23"/>
    <n v="885.94"/>
    <s v="Paid"/>
    <x v="0"/>
    <s v="Unique"/>
    <m/>
    <s v="Clean"/>
    <s v="valid"/>
    <n v="0"/>
    <n v="2720.17"/>
    <n v="885.94"/>
    <n v="0.3256928794891496"/>
    <x v="11"/>
    <n v="2025"/>
    <s v="Clean"/>
  </r>
  <r>
    <x v="826"/>
    <s v="2025-08-10"/>
    <s v="14 Aug 2025"/>
    <s v="14-Aug-2025"/>
    <s v="10-Aug-2025"/>
    <n v="4"/>
    <s v="CUST-4375"/>
    <s v="Aditi Sen"/>
    <x v="0"/>
    <x v="3"/>
    <s v="Rajasthan"/>
    <s v="Udaipur"/>
    <x v="2"/>
    <x v="5"/>
    <s v="Elite Accessories 790"/>
    <x v="3"/>
    <n v="5"/>
    <n v="2190.14"/>
    <n v="0.25"/>
    <n v="8213.02"/>
    <n v="5569.3"/>
    <n v="2643.72"/>
    <s v="Paid"/>
    <x v="0"/>
    <s v="Unique"/>
    <m/>
    <s v="Clean"/>
    <s v="valid"/>
    <n v="0.25"/>
    <n v="8213.0249999999996"/>
    <n v="2643.7249999999995"/>
    <n v="0.32189418636860345"/>
    <x v="1"/>
    <n v="2025"/>
    <s v="Clean"/>
  </r>
  <r>
    <x v="827"/>
    <s v="24 Nov 2024"/>
    <s v="01-12-2024"/>
    <s v="01-Dec-2024"/>
    <s v="24-Nov-2024"/>
    <n v="7"/>
    <s v="CUST-5125"/>
    <s v="Priya Menon"/>
    <x v="3"/>
    <x v="2"/>
    <s v="Tamil Nadu"/>
    <s v="Chennai"/>
    <x v="0"/>
    <x v="0"/>
    <s v="Basic Paper 707"/>
    <x v="1"/>
    <n v="1"/>
    <n v="844.89"/>
    <n v="0.25"/>
    <n v="633.66999999999996"/>
    <n v="520.47"/>
    <n v="113.2"/>
    <s v="Paid"/>
    <x v="1"/>
    <s v="Unique"/>
    <m/>
    <s v="Clean"/>
    <s v="valid"/>
    <n v="0.25"/>
    <n v="633.66750000000002"/>
    <n v="113.19749999999999"/>
    <n v="0.17863863934950111"/>
    <x v="2"/>
    <n v="2024"/>
    <s v="Warning"/>
  </r>
  <r>
    <x v="828"/>
    <s v="10/10/2025"/>
    <s v="11-10-2025"/>
    <s v="11-Oct-2025"/>
    <s v="10-Oct-2025"/>
    <n v="1"/>
    <s v="CUST-6010"/>
    <s v="Karan Malhotra "/>
    <x v="2"/>
    <x v="1"/>
    <s v="Odisha"/>
    <s v="Bhubaneswar"/>
    <x v="1"/>
    <x v="4"/>
    <s v="Elite Chairs 979"/>
    <x v="0"/>
    <n v="7"/>
    <n v="3791.96"/>
    <n v="0.05"/>
    <n v="25216.53"/>
    <n v="14216.94"/>
    <n v="10999.59"/>
    <s v="Failed"/>
    <x v="1"/>
    <s v="Unique"/>
    <m/>
    <s v="Clean"/>
    <s v="valid"/>
    <n v="0.05"/>
    <n v="25216.534"/>
    <n v="10999.593999999999"/>
    <n v="0.4362056260388521"/>
    <x v="4"/>
    <n v="2025"/>
    <s v="Warning"/>
  </r>
  <r>
    <x v="829"/>
    <s v="02/26/2024"/>
    <s v="28-02-2024"/>
    <s v="28-Feb-2024"/>
    <s v="26-Feb-2024"/>
    <n v="2"/>
    <s v="CUST-9036"/>
    <s v="Aditi Sen"/>
    <x v="1"/>
    <x v="3"/>
    <s v="Goa"/>
    <s v="Panaji"/>
    <x v="1"/>
    <x v="3"/>
    <s v="Pro Furnishings 192"/>
    <x v="0"/>
    <n v="7"/>
    <n v="1035.1400000000001"/>
    <n v="0.1"/>
    <n v="6521.38"/>
    <n v="4511.1000000000004"/>
    <n v="2010.28"/>
    <s v="Paid"/>
    <x v="0"/>
    <s v="Unique"/>
    <m/>
    <s v="Clean"/>
    <s v="valid"/>
    <n v="0.1"/>
    <n v="6521.3820000000005"/>
    <n v="2010.2820000000002"/>
    <n v="0.30826012032418892"/>
    <x v="5"/>
    <n v="2024"/>
    <s v="Clean"/>
  </r>
  <r>
    <x v="830"/>
    <s v="15 Jul 2025"/>
    <s v="18-07-2025"/>
    <s v="18-Jul-2025"/>
    <s v="15-Jul-2025"/>
    <n v="3"/>
    <s v="CUST-7929"/>
    <s v="Aditi Sen"/>
    <x v="1"/>
    <x v="4"/>
    <s v="Tamil Nadu"/>
    <s v="Chennai"/>
    <x v="2"/>
    <x v="12"/>
    <s v="Smart Machines 951"/>
    <x v="2"/>
    <n v="6"/>
    <n v="2382.88"/>
    <n v="0.1"/>
    <n v="12867.55"/>
    <n v="10068.94"/>
    <n v="2798.61"/>
    <s v="Paid"/>
    <x v="0"/>
    <s v="Unique"/>
    <m/>
    <s v="Clean"/>
    <s v="valid"/>
    <n v="0.1"/>
    <n v="12867.552000000001"/>
    <n v="2798.612000000001"/>
    <n v="0.21749373929089236"/>
    <x v="0"/>
    <n v="2025"/>
    <s v="Clean"/>
  </r>
  <r>
    <x v="831"/>
    <s v="04/03/2025"/>
    <s v="03-04-2025"/>
    <s v="03-Apr-2025"/>
    <s v="04-Mar-2025"/>
    <n v="30"/>
    <s v="CUST-1106"/>
    <s v="Diya Patel"/>
    <x v="3"/>
    <x v="4"/>
    <s v="Haryana"/>
    <s v="Gurugram"/>
    <x v="1"/>
    <x v="4"/>
    <s v="Smart Chairs 794"/>
    <x v="2"/>
    <n v="9"/>
    <n v="3462.7"/>
    <n v="0.15"/>
    <n v="26489.65"/>
    <n v="15818.46"/>
    <n v="10671.19"/>
    <s v="Failed"/>
    <x v="2"/>
    <s v="Unique"/>
    <m/>
    <s v="Clean"/>
    <s v="valid"/>
    <n v="0.15"/>
    <n v="26489.654999999999"/>
    <n v="10671.195"/>
    <n v="0.40284386489744772"/>
    <x v="9"/>
    <n v="2025"/>
    <s v="Warning"/>
  </r>
  <r>
    <x v="832"/>
    <s v="26 May 2025"/>
    <s v="28-05-2025"/>
    <s v="28-May-2025"/>
    <s v="26-May-2025"/>
    <n v="2"/>
    <s v="CUST-9557"/>
    <s v="Kabir Singh"/>
    <x v="1"/>
    <x v="2"/>
    <s v="Andhra Pradesh"/>
    <s v="Vijayawada"/>
    <x v="2"/>
    <x v="11"/>
    <s v="Max Phones 919"/>
    <x v="0"/>
    <n v="9"/>
    <n v="4302.0200000000004"/>
    <n v="0.05"/>
    <n v="36782.269999999997"/>
    <n v="25902.81"/>
    <n v="10879.46"/>
    <s v="Paid"/>
    <x v="0"/>
    <s v="Unique"/>
    <m/>
    <s v="Clean"/>
    <s v="valid"/>
    <n v="0.05"/>
    <n v="36782.271000000008"/>
    <n v="10879.461000000007"/>
    <n v="0.29578002402298664"/>
    <x v="3"/>
    <n v="2025"/>
    <s v="Clean"/>
  </r>
  <r>
    <x v="833"/>
    <s v="2024-06-04"/>
    <s v="06/04/2024"/>
    <s v="06-Apr-2024"/>
    <s v="04-Jun-2024"/>
    <n v="-59"/>
    <s v="CUST-2689"/>
    <s v="Rahul Verma"/>
    <x v="3"/>
    <x v="1"/>
    <s v="West Bengal"/>
    <s v="Kolkata"/>
    <x v="1"/>
    <x v="10"/>
    <s v="Basic Bookcases 499"/>
    <x v="2"/>
    <n v="6"/>
    <n v="3949.4"/>
    <n v="0"/>
    <n v="23696.400000000001"/>
    <n v="18109.77"/>
    <n v="5586.63"/>
    <s v="Paid"/>
    <x v="0"/>
    <s v="Unique"/>
    <m/>
    <s v="Clean"/>
    <s v="Invalid"/>
    <n v="0"/>
    <n v="23696.400000000001"/>
    <n v="5586.630000000001"/>
    <n v="0.23575859624246723"/>
    <x v="10"/>
    <n v="2024"/>
    <s v="Clean"/>
  </r>
  <r>
    <x v="834"/>
    <s v="18-10-2024"/>
    <s v="2024-10-22"/>
    <s v="22-Oct-2024"/>
    <s v="18-Oct-2024"/>
    <n v="4"/>
    <s v="CUST-2879"/>
    <s v="Aarav Sharma"/>
    <x v="3"/>
    <x v="2"/>
    <s v="Telangana"/>
    <s v="Hyderabad"/>
    <x v="0"/>
    <x v="2"/>
    <s v="Basic Art 143"/>
    <x v="2"/>
    <n v="6"/>
    <n v="674.61"/>
    <n v="0"/>
    <n v="4047.66"/>
    <n v="3078.93"/>
    <n v="1279.79"/>
    <s v="Paid"/>
    <x v="0"/>
    <s v="Unique"/>
    <m/>
    <s v="Clean"/>
    <s v="valid"/>
    <n v="0"/>
    <n v="4047.66"/>
    <n v="968.73"/>
    <n v="0.23933087265234729"/>
    <x v="4"/>
    <n v="2024"/>
    <s v="Clean"/>
  </r>
  <r>
    <x v="835"/>
    <s v="09/26/2025"/>
    <s v="04-10-2025"/>
    <s v="04-Oct-2025"/>
    <s v="26-Sep-2025"/>
    <n v="8"/>
    <s v="CUST-5150"/>
    <s v="Priya Menon"/>
    <x v="1"/>
    <x v="1"/>
    <s v="Assam"/>
    <s v="Guwahati"/>
    <x v="2"/>
    <x v="11"/>
    <s v="Prime Phones 338"/>
    <x v="0"/>
    <n v="7"/>
    <n v="1509.59"/>
    <n v="0.05"/>
    <n v="10038.77"/>
    <n v="5673.1"/>
    <n v="4365.67"/>
    <s v="Paid"/>
    <x v="0"/>
    <s v="Unique"/>
    <m/>
    <s v="Clean"/>
    <s v="valid"/>
    <n v="0.05"/>
    <n v="10038.773499999999"/>
    <n v="4365.673499999999"/>
    <n v="0.43488116352062323"/>
    <x v="6"/>
    <n v="2025"/>
    <s v="Clean"/>
  </r>
  <r>
    <x v="836"/>
    <s v="2024-12-15"/>
    <s v="2024-12-18"/>
    <s v="18-Dec-2024"/>
    <s v="15-Dec-2024"/>
    <n v="3"/>
    <s v="CUST-9776"/>
    <s v="Isha Nair"/>
    <x v="1"/>
    <x v="0"/>
    <s v="Rajasthan"/>
    <s v="Jaipur"/>
    <x v="0"/>
    <x v="7"/>
    <s v="Smart Labels 814"/>
    <x v="0"/>
    <n v="2"/>
    <n v="537.11"/>
    <n v="0"/>
    <n v="1074.22"/>
    <n v="850.86"/>
    <n v="223.36"/>
    <s v="Paid"/>
    <x v="0"/>
    <s v="Unique"/>
    <m/>
    <s v="Clean"/>
    <s v="valid"/>
    <n v="0"/>
    <n v="1074.22"/>
    <n v="223.36"/>
    <n v="0.20792761259332354"/>
    <x v="7"/>
    <n v="2024"/>
    <s v="Clean"/>
  </r>
  <r>
    <x v="837"/>
    <s v="2025-09-27"/>
    <s v="09/28/2025"/>
    <s v="28-Sep-2025"/>
    <s v="27-Sep-2025"/>
    <n v="1"/>
    <s v="CUST-2551"/>
    <s v="Karan Malhotra"/>
    <x v="3"/>
    <x v="3"/>
    <s v="Maharashtra"/>
    <s v="Mumbai"/>
    <x v="0"/>
    <x v="0"/>
    <s v="Prime Paper 812"/>
    <x v="2"/>
    <n v="3"/>
    <n v="4177.63"/>
    <n v="0.25"/>
    <n v="9399.67"/>
    <n v="6540.37"/>
    <n v="2859.3"/>
    <s v="Paid"/>
    <x v="0"/>
    <s v="Unique"/>
    <m/>
    <s v="Clean"/>
    <s v="valid"/>
    <n v="0.25"/>
    <n v="9399.6674999999996"/>
    <n v="2859.2974999999997"/>
    <n v="0.30419134506619516"/>
    <x v="6"/>
    <n v="2025"/>
    <s v="Clean"/>
  </r>
  <r>
    <x v="838"/>
    <s v="04/03/2025"/>
    <s v="07 Apr 2025"/>
    <s v="07-Apr-2025"/>
    <s v="04-Mar-2025"/>
    <n v="34"/>
    <s v="CUST-4708"/>
    <s v="Ananya Rao"/>
    <x v="1"/>
    <x v="3"/>
    <s v="Goa"/>
    <s v="Panaji"/>
    <x v="0"/>
    <x v="0"/>
    <s v="Pro Paper 355"/>
    <x v="1"/>
    <n v="1"/>
    <n v="1470.57"/>
    <n v="0"/>
    <n v="1470.57"/>
    <n v="834.02"/>
    <n v="636.54999999999995"/>
    <s v="Paid"/>
    <x v="2"/>
    <s v="Unique"/>
    <m/>
    <s v="Clean"/>
    <s v="valid"/>
    <n v="0"/>
    <n v="1470.57"/>
    <n v="636.54999999999995"/>
    <n v="0.43285936745615644"/>
    <x v="9"/>
    <n v="2025"/>
    <s v="Clean"/>
  </r>
  <r>
    <x v="839"/>
    <s v="09/20/2024"/>
    <s v="22-09-2024"/>
    <s v="22-Sep-2024"/>
    <s v="20-Sep-2024"/>
    <n v="2"/>
    <s v="CUST-8206"/>
    <s v="Rohan Mehta"/>
    <x v="3"/>
    <x v="1"/>
    <s v="Odisha"/>
    <s v="Bhubaneswar"/>
    <x v="2"/>
    <x v="11"/>
    <s v="Basic Phones 398"/>
    <x v="3"/>
    <n v="8"/>
    <n v="531.42999999999995"/>
    <n v="0.1"/>
    <n v="3826.3"/>
    <n v="2194.12"/>
    <n v="1632.18"/>
    <s v="Paid"/>
    <x v="0"/>
    <s v="Unique"/>
    <m/>
    <s v="Clean"/>
    <s v="valid"/>
    <n v="0.1"/>
    <n v="3826.2959999999998"/>
    <n v="1632.1759999999999"/>
    <n v="0.42656814841298218"/>
    <x v="6"/>
    <n v="2024"/>
    <s v="Clean"/>
  </r>
  <r>
    <x v="840"/>
    <s v="2025-09-19"/>
    <s v="19-09-2025"/>
    <s v="19-Sep-2025"/>
    <s v="19-Sep-2025"/>
    <n v="0"/>
    <s v="CUST-1297"/>
    <s v="Neha Gupta"/>
    <x v="3"/>
    <x v="0"/>
    <s v="Delhi"/>
    <s v="New Delhi"/>
    <x v="1"/>
    <x v="4"/>
    <s v="Classic Chairs 204"/>
    <x v="1"/>
    <n v="4"/>
    <n v="1584.11"/>
    <n v="0"/>
    <n v="6336.44"/>
    <n v="4680.68"/>
    <n v="1655.76"/>
    <s v="Paid"/>
    <x v="0"/>
    <s v="Unique"/>
    <m/>
    <s v="Clean"/>
    <s v="valid"/>
    <n v="0"/>
    <n v="6336.44"/>
    <n v="1655.7599999999993"/>
    <n v="0.26130761121386764"/>
    <x v="6"/>
    <n v="2025"/>
    <s v="Clean"/>
  </r>
  <r>
    <x v="841"/>
    <s v="2025-02-06"/>
    <s v="12 Feb 2025"/>
    <s v="12-Feb-2025"/>
    <s v="06-Feb-2025"/>
    <n v="6"/>
    <s v="CUST-7558"/>
    <s v="Ananya Rao"/>
    <x v="1"/>
    <x v="1"/>
    <s v="Bihar"/>
    <s v="Patna"/>
    <x v="0"/>
    <x v="2"/>
    <s v="Max Art 339"/>
    <x v="3"/>
    <n v="9"/>
    <n v="3237.16"/>
    <n v="0.25"/>
    <n v="21850.83"/>
    <n v="16600.13"/>
    <n v="5250.7"/>
    <s v="Paid"/>
    <x v="0"/>
    <s v="Unique"/>
    <m/>
    <s v="Clean"/>
    <s v="valid"/>
    <n v="0.25"/>
    <n v="21850.829999999998"/>
    <n v="5250.6999999999971"/>
    <n v="0.2402975081495759"/>
    <x v="5"/>
    <n v="2025"/>
    <s v="Clean"/>
  </r>
  <r>
    <x v="842"/>
    <s v="31-03-2024"/>
    <s v="03/30/2024"/>
    <s v="30-Mar-2024"/>
    <s v="31-Mar-2024"/>
    <n v="-1"/>
    <s v="CUST-1798"/>
    <s v="Kabir Singh"/>
    <x v="0"/>
    <x v="0"/>
    <s v="Haryana"/>
    <s v="Gurugram"/>
    <x v="2"/>
    <x v="12"/>
    <s v="Smart Machines 581"/>
    <x v="2"/>
    <n v="4"/>
    <n v="2192.08"/>
    <n v="0.15"/>
    <n v="7453.07"/>
    <n v="5133.78"/>
    <n v="2319.29"/>
    <s v="Paid"/>
    <x v="2"/>
    <s v="Unique"/>
    <m/>
    <s v="Clean"/>
    <s v="Invalid"/>
    <n v="0.15"/>
    <n v="7453.0719999999992"/>
    <n v="2319.2919999999995"/>
    <n v="0.31118604516365866"/>
    <x v="9"/>
    <n v="2024"/>
    <s v="Clean"/>
  </r>
  <r>
    <x v="843"/>
    <s v="18 Jul 2025"/>
    <s v="25 Jul 2025"/>
    <s v="25-Jul-2025"/>
    <s v="18-Jul-2025"/>
    <n v="7"/>
    <s v="CUST-7333"/>
    <s v="Priya Menon"/>
    <x v="1"/>
    <x v="0"/>
    <s v="Uttar Pradesh"/>
    <s v="Noida"/>
    <x v="2"/>
    <x v="11"/>
    <s v="Prime Phones 482"/>
    <x v="2"/>
    <n v="9"/>
    <n v="3989.52"/>
    <n v="-0.02"/>
    <n v="35905.68"/>
    <n v="23916.1"/>
    <n v="11989.58"/>
    <s v="Paid"/>
    <x v="0"/>
    <s v="Unique"/>
    <m/>
    <s v="Invalid"/>
    <s v="valid"/>
    <n v="-0.02"/>
    <n v="36623.793600000005"/>
    <n v="12707.693600000006"/>
    <n v="0.34697917257812433"/>
    <x v="0"/>
    <n v="2025"/>
    <s v="Invalid"/>
  </r>
  <r>
    <x v="844"/>
    <s v="20-01-2025"/>
    <s v="25-01-2025"/>
    <s v="25-Jan-2025"/>
    <s v="20-Jan-2025"/>
    <n v="5"/>
    <s v="CUST-2086"/>
    <s v="Aditi Sen"/>
    <x v="3"/>
    <x v="3"/>
    <s v="Goa"/>
    <s v="Panaji"/>
    <x v="0"/>
    <x v="2"/>
    <s v="Pro Art 588"/>
    <x v="2"/>
    <n v="1"/>
    <n v="3515.15"/>
    <n v="0"/>
    <n v="3515.15"/>
    <n v="2216.34"/>
    <n v="1298.81"/>
    <s v="Paid"/>
    <x v="0"/>
    <s v="Unique"/>
    <m/>
    <s v="Clean"/>
    <s v="valid"/>
    <n v="0"/>
    <n v="3515.15"/>
    <n v="1298.81"/>
    <n v="0.36948921098672882"/>
    <x v="8"/>
    <n v="2025"/>
    <s v="Clean"/>
  </r>
  <r>
    <x v="845"/>
    <s v="23-02-2024"/>
    <s v="27 Feb 2024"/>
    <s v="27-Feb-2024"/>
    <s v="23-Feb-2024"/>
    <n v="4"/>
    <s v="CUST-2367"/>
    <s v="Karan Malhotra"/>
    <x v="0"/>
    <x v="1"/>
    <s v="Odisha"/>
    <s v="Bhubaneswar"/>
    <x v="1"/>
    <x v="1"/>
    <s v="Eco Tables 792"/>
    <x v="2"/>
    <n v="9"/>
    <n v="3616.23"/>
    <n v="0.25"/>
    <n v="24409.55"/>
    <n v="17157.580000000002"/>
    <n v="7251.97"/>
    <s v="Pending"/>
    <x v="2"/>
    <s v="Unique"/>
    <m/>
    <s v="Clean"/>
    <s v="valid"/>
    <n v="0.25"/>
    <n v="24409.552499999998"/>
    <n v="7251.9724999999962"/>
    <n v="0.29709567596538267"/>
    <x v="5"/>
    <n v="2024"/>
    <s v="Clean"/>
  </r>
  <r>
    <x v="846"/>
    <s v="2024-04-14"/>
    <s v="2024-04-22"/>
    <s v="22-Apr-2024"/>
    <s v="14-Apr-2024"/>
    <n v="8"/>
    <s v="CUST-6522"/>
    <s v="Priya Menon"/>
    <x v="1"/>
    <x v="3"/>
    <s v="Gujarat"/>
    <s v="Ahmedabad"/>
    <x v="1"/>
    <x v="10"/>
    <s v="Prime Bookcases 177"/>
    <x v="3"/>
    <n v="2"/>
    <n v="3977.52"/>
    <n v="0"/>
    <n v="7955.04"/>
    <n v="5580.68"/>
    <n v="2374.36"/>
    <s v="Pending"/>
    <x v="2"/>
    <s v="Unique"/>
    <m/>
    <s v="Clean"/>
    <s v="valid"/>
    <n v="0"/>
    <n v="7955.04"/>
    <n v="2374.3599999999997"/>
    <n v="0.29847241497214339"/>
    <x v="11"/>
    <n v="2024"/>
    <s v="Clean"/>
  </r>
  <r>
    <x v="847"/>
    <s v="2025-05-20"/>
    <s v="05/22/2025"/>
    <s v="22-May-2025"/>
    <s v="20-May-2025"/>
    <n v="2"/>
    <s v="CUST-8329"/>
    <s v="Diya Patel"/>
    <x v="3"/>
    <x v="1"/>
    <s v="Odisha"/>
    <s v="Bhubaneswar"/>
    <x v="1"/>
    <x v="1"/>
    <s v="Pro Tables 828"/>
    <x v="0"/>
    <n v="2"/>
    <n v="210.08"/>
    <n v="0.2"/>
    <n v="336.13"/>
    <n v="242.19"/>
    <n v="93.94"/>
    <s v="Paid"/>
    <x v="0"/>
    <s v="Unique"/>
    <m/>
    <s v="Clean"/>
    <s v="valid"/>
    <n v="0.2"/>
    <n v="336.12800000000004"/>
    <n v="93.938000000000045"/>
    <n v="0.27947091584158423"/>
    <x v="3"/>
    <n v="2025"/>
    <s v="Clean"/>
  </r>
  <r>
    <x v="848"/>
    <s v="27-05-2025"/>
    <s v="29 May 2025"/>
    <s v="29-May-2025"/>
    <s v="27-May-2025"/>
    <n v="2"/>
    <s v="CUST-4426"/>
    <s v="Rahul Verma"/>
    <x v="3"/>
    <x v="2"/>
    <s v="Tamil Nadu"/>
    <s v="Chennai"/>
    <x v="1"/>
    <x v="3"/>
    <s v="Elite Furnishings 480"/>
    <x v="0"/>
    <n v="1"/>
    <n v="1744.35"/>
    <n v="0.25"/>
    <n v="1308.26"/>
    <n v="1083.56"/>
    <n v="224.7"/>
    <s v="Paid"/>
    <x v="0"/>
    <s v="Unique"/>
    <m/>
    <s v="Clean"/>
    <s v="valid"/>
    <n v="0.25"/>
    <n v="1308.2624999999998"/>
    <n v="224.70249999999987"/>
    <n v="0.17175643267310645"/>
    <x v="3"/>
    <n v="2025"/>
    <s v="Clean"/>
  </r>
  <r>
    <x v="849"/>
    <s v="2024-03-06"/>
    <s v="12-03-2024"/>
    <s v="12-Mar-2024"/>
    <s v="06-Mar-2024"/>
    <n v="6"/>
    <s v="CUST-3360"/>
    <s v="Isha Nair"/>
    <x v="3"/>
    <x v="3"/>
    <s v="Gujarat"/>
    <s v="Ahmedabad"/>
    <x v="1"/>
    <x v="10"/>
    <s v="Prime Bookcases 755"/>
    <x v="3"/>
    <n v="3"/>
    <n v="679.63"/>
    <n v="0.2"/>
    <n v="1631.11"/>
    <n v="898.73"/>
    <n v="396.58"/>
    <s v="Paid"/>
    <x v="0"/>
    <s v="Unique"/>
    <m/>
    <s v="Clean"/>
    <s v="valid"/>
    <n v="0.2"/>
    <n v="1631.1120000000001"/>
    <n v="732.38200000000006"/>
    <n v="0.44900779345624336"/>
    <x v="9"/>
    <n v="2024"/>
    <s v="Clean"/>
  </r>
  <r>
    <x v="850"/>
    <s v="30-06-2024"/>
    <s v="2024-07-03"/>
    <s v="03-Jul-2024"/>
    <s v="30-Jun-2024"/>
    <n v="3"/>
    <s v="CUST-2623"/>
    <s v="Priya Menon"/>
    <x v="3"/>
    <x v="1"/>
    <s v="West Bengal"/>
    <s v="Kolkata"/>
    <x v="0"/>
    <x v="0"/>
    <s v="Prime Paper 317"/>
    <x v="2"/>
    <n v="6"/>
    <n v="1211.01"/>
    <n v="0"/>
    <n v="7266.06"/>
    <n v="6216.89"/>
    <n v="1049.17"/>
    <s v="Paid"/>
    <x v="0"/>
    <s v="Unique"/>
    <m/>
    <s v="Clean"/>
    <s v="valid"/>
    <n v="0"/>
    <n v="7266.0599999999995"/>
    <n v="1049.1699999999992"/>
    <n v="0.14439324750965438"/>
    <x v="10"/>
    <n v="2024"/>
    <s v="Clean"/>
  </r>
  <r>
    <x v="851"/>
    <s v="2024-03-26"/>
    <s v="01 Apr 2024"/>
    <s v="01-Apr-2024"/>
    <s v="26-Mar-2024"/>
    <n v="6"/>
    <s v="CUST-3175"/>
    <s v="Karan Malhotra"/>
    <x v="1"/>
    <x v="3"/>
    <s v="Gujarat"/>
    <s v="Ahmedabad"/>
    <x v="2"/>
    <x v="5"/>
    <s v="Classic Accessories 933"/>
    <x v="2"/>
    <n v="2"/>
    <n v="1161.3"/>
    <n v="0.2"/>
    <n v="1858.08"/>
    <n v="1590.75"/>
    <n v="267.33"/>
    <s v="Paid"/>
    <x v="0"/>
    <s v="Unique"/>
    <m/>
    <s v="Clean"/>
    <s v="valid"/>
    <n v="0.2"/>
    <n v="1858.08"/>
    <n v="267.32999999999993"/>
    <n v="0.14387432188065097"/>
    <x v="9"/>
    <n v="2024"/>
    <s v="Clean"/>
  </r>
  <r>
    <x v="852"/>
    <s v="01-04-2024"/>
    <s v="08-04-2024"/>
    <s v="08-Apr-2024"/>
    <s v="01-Apr-2024"/>
    <n v="7"/>
    <s v="CUST-9630"/>
    <s v="Ananya Rao"/>
    <x v="0"/>
    <x v="1"/>
    <s v="Assam"/>
    <s v="Guwahati"/>
    <x v="1"/>
    <x v="1"/>
    <s v="Smart Tables 513"/>
    <x v="0"/>
    <n v="7"/>
    <n v="4205.3500000000004"/>
    <n v="0.15"/>
    <n v="25021.83"/>
    <n v="15544.44"/>
    <n v="9477.39"/>
    <s v="Pending"/>
    <x v="1"/>
    <s v="Unique"/>
    <m/>
    <s v="Clean"/>
    <s v="valid"/>
    <n v="0.15"/>
    <n v="25021.832500000004"/>
    <n v="9477.3925000000036"/>
    <n v="0.37876492459135447"/>
    <x v="11"/>
    <n v="2024"/>
    <s v="Warning"/>
  </r>
  <r>
    <x v="853"/>
    <s v="2025-05-16"/>
    <s v="05/22/2025"/>
    <s v="22-May-2025"/>
    <s v="16-May-2025"/>
    <n v="6"/>
    <s v="CUST-8274"/>
    <s v="Arjun Bose"/>
    <x v="2"/>
    <x v="2"/>
    <s v="Tamil Nadu"/>
    <s v="Chennai"/>
    <x v="2"/>
    <x v="5"/>
    <s v="Elite Accessories 708"/>
    <x v="1"/>
    <n v="8"/>
    <n v="579.79999999999995"/>
    <n v="0.2"/>
    <n v="3710.72"/>
    <n v="3115.29"/>
    <n v="595.42999999999995"/>
    <s v="Paid"/>
    <x v="0"/>
    <s v="Unique"/>
    <m/>
    <s v="Clean"/>
    <s v="valid"/>
    <n v="0.2"/>
    <n v="3710.72"/>
    <n v="595.42999999999984"/>
    <n v="0.16046212055881334"/>
    <x v="3"/>
    <n v="2025"/>
    <s v="Clean"/>
  </r>
  <r>
    <x v="854"/>
    <s v="03/25/2025"/>
    <s v="04/02/2025"/>
    <s v="04-Feb-2025"/>
    <s v="25-Mar-2025"/>
    <n v="-49"/>
    <s v="CUST-2514"/>
    <s v="Priya Menon"/>
    <x v="0"/>
    <x v="2"/>
    <s v="Karnataka"/>
    <s v="Bengaluru"/>
    <x v="1"/>
    <x v="10"/>
    <s v="Max Bookcases 381"/>
    <x v="0"/>
    <n v="4"/>
    <n v="2233.64"/>
    <n v="0.05"/>
    <n v="8487.83"/>
    <n v="5245.72"/>
    <n v="3242.11"/>
    <s v="Paid"/>
    <x v="0"/>
    <s v="Unique"/>
    <m/>
    <s v="Clean"/>
    <s v="Invalid"/>
    <n v="0.05"/>
    <n v="8487.8319999999985"/>
    <n v="3242.1119999999983"/>
    <n v="0.38197174496384928"/>
    <x v="9"/>
    <n v="2025"/>
    <s v="Clean"/>
  </r>
  <r>
    <x v="855"/>
    <s v="25-07-2024"/>
    <s v="02 Aug 2024"/>
    <s v="02-Aug-2024"/>
    <s v="25-Jul-2024"/>
    <n v="8"/>
    <s v="CUST-2752"/>
    <s v="Rahul Verma"/>
    <x v="0"/>
    <x v="0"/>
    <s v="Rajasthan"/>
    <s v="Jaipur"/>
    <x v="0"/>
    <x v="7"/>
    <s v="Classic Labels 215"/>
    <x v="0"/>
    <n v="2"/>
    <n v="2073.5300000000002"/>
    <n v="0.25"/>
    <n v="3110.3"/>
    <n v="2101.0300000000002"/>
    <n v="1009.27"/>
    <s v="Paid"/>
    <x v="0"/>
    <s v="Unique"/>
    <m/>
    <s v="Clean"/>
    <s v="valid"/>
    <n v="0.25"/>
    <n v="3110.2950000000001"/>
    <n v="1009.2649999999999"/>
    <n v="0.32449172827657824"/>
    <x v="0"/>
    <n v="2024"/>
    <s v="Clean"/>
  </r>
  <r>
    <x v="856"/>
    <s v="2024-06-12"/>
    <s v="19 Jun 2024"/>
    <s v="19-Jun-2024"/>
    <s v="12-Jun-2024"/>
    <n v="7"/>
    <s v="CUST-5647"/>
    <s v="Rohan Mehta"/>
    <x v="3"/>
    <x v="2"/>
    <s v="Tamil Nadu"/>
    <s v="Chennai"/>
    <x v="0"/>
    <x v="8"/>
    <s v="Classic Storage 918"/>
    <x v="3"/>
    <n v="4"/>
    <n v="395.1"/>
    <n v="-0.16"/>
    <n v="1185.3"/>
    <n v="966.55"/>
    <n v="218.75"/>
    <s v="Failed"/>
    <x v="1"/>
    <s v="Unique"/>
    <m/>
    <s v="Invalid"/>
    <s v="valid"/>
    <n v="-0.16"/>
    <n v="1833.2639999999999"/>
    <n v="866.71399999999994"/>
    <n v="0.47277097024760206"/>
    <x v="10"/>
    <n v="2024"/>
    <s v="Invalid"/>
  </r>
  <r>
    <x v="857"/>
    <s v="04 Jun 2024"/>
    <s v="04-06-2024"/>
    <s v="04-Jun-2024"/>
    <s v="04-Jun-2024"/>
    <n v="0"/>
    <s v="CUST-8575"/>
    <s v="Sneha Kapoor"/>
    <x v="3"/>
    <x v="2"/>
    <s v="Kerala"/>
    <s v="Kochi"/>
    <x v="0"/>
    <x v="8"/>
    <s v="Max Storage 223"/>
    <x v="2"/>
    <n v="6"/>
    <n v="2708.97"/>
    <n v="0.25"/>
    <n v="12190.36"/>
    <n v="10176.99"/>
    <n v="2013.37"/>
    <s v="Paid"/>
    <x v="0"/>
    <s v="Unique"/>
    <m/>
    <s v="Clean"/>
    <s v="valid"/>
    <n v="0.25"/>
    <n v="12190.365"/>
    <n v="2013.375"/>
    <n v="0.16516117441930575"/>
    <x v="10"/>
    <n v="2024"/>
    <s v="Clean"/>
  </r>
  <r>
    <x v="858"/>
    <s v="05/02/2024"/>
    <s v="09 May 2024"/>
    <s v="09-May-2024"/>
    <s v="05-Feb-2024"/>
    <n v="94"/>
    <s v="CUST-9576"/>
    <s v="Arjun Bose"/>
    <x v="0"/>
    <x v="1"/>
    <s v="Odisha"/>
    <s v="Bhubaneswar"/>
    <x v="2"/>
    <x v="5"/>
    <s v="Basic Accessories 602"/>
    <x v="0"/>
    <n v="4"/>
    <n v="2904.86"/>
    <n v="0"/>
    <n v="11619.44"/>
    <n v="7184.32"/>
    <n v="4494.6400000000003"/>
    <s v="Paid"/>
    <x v="0"/>
    <s v="Unique"/>
    <m/>
    <s v="Clean"/>
    <s v="valid"/>
    <n v="0"/>
    <n v="11619.44"/>
    <n v="4435.1200000000008"/>
    <n v="0.3816982574031107"/>
    <x v="5"/>
    <n v="2024"/>
    <s v="Clean"/>
  </r>
  <r>
    <x v="859"/>
    <s v="10/27/2024"/>
    <s v="2024-11-01"/>
    <s v="01-Nov-2024"/>
    <s v="27-Oct-2024"/>
    <n v="5"/>
    <s v="CUST-2395"/>
    <s v="Aditi Sen"/>
    <x v="2"/>
    <x v="2"/>
    <s v="Tamil Nadu"/>
    <s v="Chennai"/>
    <x v="2"/>
    <x v="11"/>
    <s v="Elite Phones 394"/>
    <x v="3"/>
    <n v="6"/>
    <n v="4399.2"/>
    <n v="0.05"/>
    <n v="25075.439999999999"/>
    <n v="16282.74"/>
    <n v="8792.7000000000007"/>
    <s v="Paid"/>
    <x v="0"/>
    <s v="Unique"/>
    <m/>
    <s v="Clean"/>
    <s v="valid"/>
    <n v="0.05"/>
    <n v="25075.439999999995"/>
    <n v="8792.6999999999953"/>
    <n v="0.35064987892535471"/>
    <x v="4"/>
    <n v="2024"/>
    <s v="Clean"/>
  </r>
  <r>
    <x v="860"/>
    <s v="02 Feb 2024"/>
    <s v="04 Feb 2024"/>
    <s v="04-Feb-2024"/>
    <s v="02-Feb-2024"/>
    <n v="2"/>
    <s v="CUST-8941"/>
    <s v="Vikram Iyer"/>
    <x v="3"/>
    <x v="0"/>
    <s v="Uttar Pradesh"/>
    <s v="Noida"/>
    <x v="0"/>
    <x v="8"/>
    <s v="Classic Storage 194"/>
    <x v="0"/>
    <n v="1"/>
    <n v="4397.32"/>
    <n v="0.05"/>
    <n v="4177.45"/>
    <n v="2299.5"/>
    <n v="1877.95"/>
    <s v="Paid"/>
    <x v="0"/>
    <s v="Unique"/>
    <m/>
    <s v="Clean"/>
    <s v="valid"/>
    <n v="0.05"/>
    <n v="4177.4539999999997"/>
    <n v="1877.9539999999997"/>
    <n v="0.44954510570313877"/>
    <x v="5"/>
    <n v="2024"/>
    <s v="Clean"/>
  </r>
  <r>
    <x v="861"/>
    <s v="2025-03-08"/>
    <s v="2025-03-09"/>
    <s v="09-Mar-2025"/>
    <s v="08-Mar-2025"/>
    <n v="1"/>
    <s v="CUST-9448"/>
    <s v="Priya Menon"/>
    <x v="3"/>
    <x v="0"/>
    <s v="Delhi"/>
    <s v="New Delhi"/>
    <x v="1"/>
    <x v="3"/>
    <s v="Smart Furnishings 892"/>
    <x v="1"/>
    <n v="4"/>
    <n v="3405.68"/>
    <n v="0.2"/>
    <n v="10898.18"/>
    <n v="6231.41"/>
    <n v="4666.7700000000004"/>
    <s v="Paid"/>
    <x v="0"/>
    <s v="Unique"/>
    <m/>
    <s v="Clean"/>
    <s v="valid"/>
    <n v="0.2"/>
    <n v="10898.175999999999"/>
    <n v="4666.7659999999996"/>
    <n v="0.42821532704188298"/>
    <x v="9"/>
    <n v="2025"/>
    <s v="Clean"/>
  </r>
  <r>
    <x v="862"/>
    <s v="2025-03-26"/>
    <s v="31-03-2025"/>
    <s v="31-Mar-2025"/>
    <s v="26-Mar-2025"/>
    <n v="5"/>
    <s v="CUST-8354"/>
    <s v="Priya Menon"/>
    <x v="1"/>
    <x v="1"/>
    <s v="Jharkhand"/>
    <s v="Ranchi"/>
    <x v="0"/>
    <x v="9"/>
    <s v="Pro Binders 488"/>
    <x v="2"/>
    <n v="5"/>
    <n v="1395.14"/>
    <n v="0"/>
    <n v="6975.7"/>
    <n v="4797.88"/>
    <n v="2177.8200000000002"/>
    <s v="Paid"/>
    <x v="1"/>
    <s v="Unique"/>
    <m/>
    <s v="Clean"/>
    <s v="valid"/>
    <n v="0"/>
    <n v="6975.7000000000007"/>
    <n v="2177.8200000000006"/>
    <n v="0.3122009260719355"/>
    <x v="9"/>
    <n v="2025"/>
    <s v="Warning"/>
  </r>
  <r>
    <x v="863"/>
    <s v="09/06/2025"/>
    <s v="09/08/2025"/>
    <s v="09-Aug-2025"/>
    <s v="09-Jun-2025"/>
    <n v="61"/>
    <s v="CUST-2200"/>
    <s v="Aarav Sharma"/>
    <x v="3"/>
    <x v="3"/>
    <s v="Madhya Pradesh"/>
    <s v="Indore"/>
    <x v="1"/>
    <x v="3"/>
    <s v="Prime Furnishings 679"/>
    <x v="1"/>
    <n v="3"/>
    <n v="2937.23"/>
    <n v="0"/>
    <n v="8811.69"/>
    <n v="6765.91"/>
    <n v="2045.78"/>
    <s v="Paid"/>
    <x v="0"/>
    <s v="Unique"/>
    <m/>
    <s v="Clean"/>
    <s v="valid"/>
    <n v="0"/>
    <n v="8811.69"/>
    <n v="2045.7800000000007"/>
    <n v="0.23216658779416893"/>
    <x v="10"/>
    <n v="2025"/>
    <s v="Clean"/>
  </r>
  <r>
    <x v="864"/>
    <s v="02 Sep 2025"/>
    <s v="05-09-2025"/>
    <s v="05-Sep-2025"/>
    <s v="02-Sep-2025"/>
    <n v="3"/>
    <s v="CUST-1178"/>
    <s v="Vikram Iyer"/>
    <x v="0"/>
    <x v="2"/>
    <s v="Tamil Nadu"/>
    <s v="Chennai"/>
    <x v="2"/>
    <x v="11"/>
    <s v="Smart Phones 158"/>
    <x v="2"/>
    <n v="5"/>
    <n v="3406.87"/>
    <n v="0"/>
    <n v="17034.349999999999"/>
    <n v="14631.36"/>
    <n v="2402.9899999999998"/>
    <s v="Paid"/>
    <x v="0"/>
    <s v="Unique"/>
    <m/>
    <s v="Clean"/>
    <s v="valid"/>
    <n v="0"/>
    <n v="17034.349999999999"/>
    <n v="2402.989999999998"/>
    <n v="0.14106731398615141"/>
    <x v="6"/>
    <n v="2025"/>
    <s v="Clean"/>
  </r>
  <r>
    <x v="865"/>
    <s v="06-02-2025"/>
    <s v="14-02-2025"/>
    <s v="14-Feb-2025"/>
    <s v="06-Feb-2025"/>
    <n v="8"/>
    <s v="CUST-8099"/>
    <s v="Kabir Singh"/>
    <x v="0"/>
    <x v="3"/>
    <s v="Maharashtra"/>
    <s v="Mumbai"/>
    <x v="0"/>
    <x v="7"/>
    <s v="Classic Labels 218"/>
    <x v="0"/>
    <n v="2"/>
    <n v="3992.04"/>
    <n v="0"/>
    <n v="7984.08"/>
    <n v="5658.05"/>
    <n v="2326.0300000000002"/>
    <s v="Paid"/>
    <x v="0"/>
    <s v="Unique"/>
    <m/>
    <s v="Clean"/>
    <s v="valid"/>
    <n v="0"/>
    <n v="7984.08"/>
    <n v="2326.0299999999997"/>
    <n v="0.29133350367230787"/>
    <x v="5"/>
    <n v="2025"/>
    <s v="Clean"/>
  </r>
  <r>
    <x v="866"/>
    <s v="02/26/2025"/>
    <s v="2025-03-06"/>
    <s v="06-Mar-2025"/>
    <s v="26-Feb-2025"/>
    <n v="8"/>
    <s v="CUST-7596"/>
    <s v="Priya Menon"/>
    <x v="0"/>
    <x v="1"/>
    <s v="Bihar"/>
    <s v="Patna"/>
    <x v="1"/>
    <x v="10"/>
    <s v="Smart Bookcases 552"/>
    <x v="2"/>
    <n v="9"/>
    <n v="3043.37"/>
    <n v="0.2"/>
    <n v="21912.26"/>
    <n v="16367.78"/>
    <n v="5544.48"/>
    <s v="Pending"/>
    <x v="1"/>
    <s v="Unique"/>
    <m/>
    <s v="Clean"/>
    <s v="valid"/>
    <n v="0.2"/>
    <n v="21912.263999999999"/>
    <n v="5544.4839999999986"/>
    <n v="0.25303108797885965"/>
    <x v="5"/>
    <n v="2025"/>
    <s v="Warning"/>
  </r>
  <r>
    <x v="867"/>
    <s v="21 Nov 2024"/>
    <s v="22 Nov 2024"/>
    <s v="22-Nov-2024"/>
    <s v="21-Nov-2024"/>
    <n v="1"/>
    <s v="CUST-2328"/>
    <s v="Rahul Verma"/>
    <x v="3"/>
    <x v="2"/>
    <s v="Andhra Pradesh"/>
    <s v="Vijayawada"/>
    <x v="2"/>
    <x v="5"/>
    <s v="Eco Accessories 389"/>
    <x v="1"/>
    <n v="6"/>
    <n v="1043.49"/>
    <n v="0.25"/>
    <n v="4695.7"/>
    <n v="3871.69"/>
    <n v="824.01"/>
    <s v="Failed"/>
    <x v="1"/>
    <s v="Unique"/>
    <m/>
    <s v="Clean"/>
    <s v="valid"/>
    <n v="0.25"/>
    <n v="4695.7049999999999"/>
    <n v="824.01499999999987"/>
    <n v="0.17548270174553127"/>
    <x v="2"/>
    <n v="2024"/>
    <s v="Warning"/>
  </r>
  <r>
    <x v="868"/>
    <s v="11-04-2025"/>
    <s v="2025-04-15"/>
    <s v="15-Apr-2025"/>
    <s v="11-Apr-2025"/>
    <n v="4"/>
    <s v="CUST-8483"/>
    <s v="Vikram Iyer"/>
    <x v="3"/>
    <x v="2"/>
    <s v="Karnataka"/>
    <s v="Bengaluru"/>
    <x v="0"/>
    <x v="8"/>
    <s v="Elite Storage 187"/>
    <x v="1"/>
    <n v="9"/>
    <n v="224.94"/>
    <n v="0.05"/>
    <n v="1923.24"/>
    <n v="1093.6600000000001"/>
    <n v="829.58"/>
    <s v="Paid"/>
    <x v="0"/>
    <s v="Unique"/>
    <m/>
    <s v="Clean"/>
    <s v="valid"/>
    <n v="0.05"/>
    <n v="1923.2369999999999"/>
    <n v="829.57699999999977"/>
    <n v="0.43134413491420964"/>
    <x v="11"/>
    <n v="2025"/>
    <s v="Clean"/>
  </r>
  <r>
    <x v="869"/>
    <s v="03/06/2025"/>
    <s v="07-03-2025"/>
    <s v="07-Mar-2025"/>
    <s v="03-Jun-2025"/>
    <n v="-88"/>
    <s v="CUST-2388"/>
    <s v="Rohan Mehta"/>
    <x v="3"/>
    <x v="4"/>
    <s v="Delhi"/>
    <s v="New Delhi"/>
    <x v="1"/>
    <x v="4"/>
    <s v="Max Chairs 487"/>
    <x v="1"/>
    <n v="6"/>
    <n v="796.65"/>
    <n v="0.1"/>
    <n v="4301.91"/>
    <n v="2374.4"/>
    <n v="1927.51"/>
    <s v="Paid"/>
    <x v="0"/>
    <s v="Unique"/>
    <m/>
    <s v="Clean"/>
    <s v="Invalid"/>
    <n v="0.1"/>
    <n v="4301.91"/>
    <n v="1927.5099999999998"/>
    <n v="0.44805911792668834"/>
    <x v="10"/>
    <n v="2025"/>
    <s v="Clean"/>
  </r>
  <r>
    <x v="870"/>
    <s v="06 Jun 2025"/>
    <s v="07 Jun 2025"/>
    <s v="07-Jun-2025"/>
    <s v="06-Jun-2025"/>
    <n v="1"/>
    <s v="CUST-7054"/>
    <s v="Vikram Iyer"/>
    <x v="2"/>
    <x v="3"/>
    <s v="Goa"/>
    <s v="Panaji"/>
    <x v="1"/>
    <x v="1"/>
    <s v="Max Tables 281"/>
    <x v="3"/>
    <n v="9"/>
    <n v="2932.92"/>
    <n v="0.15"/>
    <n v="22436.84"/>
    <n v="17454.669999999998"/>
    <n v="4982.17"/>
    <s v="Paid"/>
    <x v="1"/>
    <s v="Unique"/>
    <m/>
    <s v="Clean"/>
    <s v="valid"/>
    <n v="0.15"/>
    <n v="22436.838"/>
    <n v="4982.1680000000015"/>
    <n v="0.22205303617203109"/>
    <x v="10"/>
    <n v="2025"/>
    <s v="Warning"/>
  </r>
  <r>
    <x v="871"/>
    <s v="02/20/2024"/>
    <s v="2024-02-22"/>
    <s v="22-Feb-2024"/>
    <s v="20-Feb-2024"/>
    <n v="2"/>
    <s v="CUST-4375"/>
    <s v="Neha Gupta"/>
    <x v="1"/>
    <x v="2"/>
    <s v="Telangana"/>
    <s v="Hyderabad"/>
    <x v="2"/>
    <x v="5"/>
    <s v="Pro Accessories 325"/>
    <x v="2"/>
    <n v="9"/>
    <n v="2186.23"/>
    <n v="0"/>
    <n v="19676.07"/>
    <n v="12458.62"/>
    <n v="7217.45"/>
    <s v="Refunded"/>
    <x v="1"/>
    <s v="Unique"/>
    <m/>
    <s v="Clean"/>
    <s v="valid"/>
    <n v="0"/>
    <n v="19676.07"/>
    <n v="7217.4499999999989"/>
    <n v="0.36681359641432454"/>
    <x v="5"/>
    <n v="2024"/>
    <s v="Warning"/>
  </r>
  <r>
    <x v="872"/>
    <s v="11/01/2024"/>
    <s v="02 Nov 2024"/>
    <s v="02-Nov-2024"/>
    <s v="11-Jan-2024"/>
    <n v="296"/>
    <s v="CUST-6262"/>
    <s v="Karan Malhotra"/>
    <x v="2"/>
    <x v="1"/>
    <s v="West Bengal"/>
    <s v="Kolkata"/>
    <x v="1"/>
    <x v="3"/>
    <s v="Prime Furnishings 178"/>
    <x v="3"/>
    <n v="5"/>
    <n v="2212.02"/>
    <n v="0.2"/>
    <n v="8848.08"/>
    <n v="5691.56"/>
    <n v="3156.52"/>
    <s v="Paid"/>
    <x v="0"/>
    <s v="Unique"/>
    <m/>
    <s v="Clean"/>
    <s v="valid"/>
    <n v="0.2"/>
    <n v="8848.08"/>
    <n v="3156.5199999999995"/>
    <n v="0.35674632236598219"/>
    <x v="8"/>
    <n v="2024"/>
    <s v="Clean"/>
  </r>
  <r>
    <x v="873"/>
    <s v="01 Feb 2025"/>
    <s v="08-02-2025"/>
    <s v="08-Feb-2025"/>
    <s v="01-Feb-2025"/>
    <n v="7"/>
    <s v="CUST-8160"/>
    <s v="Aditi Sen"/>
    <x v="3"/>
    <x v="3"/>
    <s v="Gujarat"/>
    <s v="Ahmedabad"/>
    <x v="0"/>
    <x v="8"/>
    <s v="Elite Storage 144"/>
    <x v="0"/>
    <n v="8"/>
    <n v="623.30999999999995"/>
    <n v="0.1"/>
    <n v="4487.83"/>
    <n v="2633.78"/>
    <n v="1854.05"/>
    <s v="Paid"/>
    <x v="0"/>
    <s v="Unique"/>
    <m/>
    <s v="Clean"/>
    <s v="valid"/>
    <n v="0.1"/>
    <n v="4487.8319999999994"/>
    <n v="1854.0519999999992"/>
    <n v="0.41312865543986482"/>
    <x v="5"/>
    <n v="2025"/>
    <s v="Clean"/>
  </r>
  <r>
    <x v="874"/>
    <s v="15 Jul 2025"/>
    <s v="16 Jul 2025"/>
    <s v="16-Jul-2025"/>
    <s v="15-Jul-2025"/>
    <n v="1"/>
    <s v="CUST-8770"/>
    <s v="Vikram Iyer"/>
    <x v="1"/>
    <x v="3"/>
    <s v="Maharashtra"/>
    <s v="Mumbai"/>
    <x v="0"/>
    <x v="0"/>
    <s v="Elite Paper 309"/>
    <x v="3"/>
    <n v="8"/>
    <n v="3924.88"/>
    <n v="0.05"/>
    <n v="29829.09"/>
    <n v="20710.18"/>
    <n v="9118.91"/>
    <s v="Paid"/>
    <x v="0"/>
    <s v="Unique"/>
    <m/>
    <s v="Clean"/>
    <s v="valid"/>
    <n v="0.05"/>
    <n v="29829.088"/>
    <n v="9118.9079999999994"/>
    <n v="0.30570522303598419"/>
    <x v="0"/>
    <n v="2025"/>
    <s v="Clean"/>
  </r>
  <r>
    <x v="875"/>
    <s v="10 Aug 2024"/>
    <s v="08/11/2024"/>
    <s v="08-Nov-2024"/>
    <s v="10-Aug-2024"/>
    <n v="90"/>
    <s v="CUST-6928"/>
    <s v="Mira Das"/>
    <x v="2"/>
    <x v="3"/>
    <s v="Maharashtra"/>
    <s v="Mumbai"/>
    <x v="2"/>
    <x v="6"/>
    <s v="Elite Copiers 752"/>
    <x v="2"/>
    <n v="7"/>
    <n v="3852.62"/>
    <n v="0.2"/>
    <n v="21574.67"/>
    <n v="14672.83"/>
    <n v="6901.84"/>
    <s v="Paid"/>
    <x v="0"/>
    <s v="Unique"/>
    <m/>
    <s v="Clean"/>
    <s v="valid"/>
    <n v="0.2"/>
    <n v="21574.672000000002"/>
    <n v="6901.8420000000024"/>
    <n v="0.31990484026825539"/>
    <x v="1"/>
    <n v="2024"/>
    <s v="Clean"/>
  </r>
  <r>
    <x v="876"/>
    <s v="11/18/2024"/>
    <s v="20-11-2024"/>
    <s v="20-Nov-2024"/>
    <s v="18-Nov-2024"/>
    <n v="2"/>
    <s v="CUST-9044"/>
    <s v="Priya Menon"/>
    <x v="0"/>
    <x v="3"/>
    <s v="Rajasthan"/>
    <s v="Udaipur"/>
    <x v="1"/>
    <x v="4"/>
    <s v="Pro Chairs 316"/>
    <x v="2"/>
    <n v="6"/>
    <n v="3790.22"/>
    <n v="0"/>
    <n v="22741.32"/>
    <n v="16388.57"/>
    <n v="6352.75"/>
    <s v="Paid"/>
    <x v="0"/>
    <s v="Unique"/>
    <m/>
    <s v="Clean"/>
    <s v="valid"/>
    <n v="0"/>
    <n v="22741.32"/>
    <n v="6352.75"/>
    <n v="0.27934834037777928"/>
    <x v="2"/>
    <n v="2024"/>
    <s v="Clean"/>
  </r>
  <r>
    <x v="877"/>
    <s v="26-08-2025"/>
    <s v="2025-09-03"/>
    <s v="03-Sep-2025"/>
    <s v="26-Aug-2025"/>
    <n v="8"/>
    <s v="CUST-7146"/>
    <s v="Aarav Sharma"/>
    <x v="0"/>
    <x v="3"/>
    <s v="Rajasthan"/>
    <s v="Udaipur"/>
    <x v="0"/>
    <x v="8"/>
    <s v="Max Storage 438"/>
    <x v="0"/>
    <n v="6"/>
    <n v="674.36"/>
    <n v="0.1"/>
    <n v="3641.54"/>
    <n v="2690.37"/>
    <n v="951.17"/>
    <s v="Paid"/>
    <x v="0"/>
    <s v="Unique"/>
    <m/>
    <s v="Clean"/>
    <s v="valid"/>
    <n v="0.1"/>
    <n v="3641.5439999999999"/>
    <n v="951.17399999999998"/>
    <n v="0.26120074342092253"/>
    <x v="1"/>
    <n v="2025"/>
    <s v="Clean"/>
  </r>
  <r>
    <x v="878"/>
    <s v="2024-01-22"/>
    <s v="2024-01-22"/>
    <s v="22-Jan-2024"/>
    <s v="22-Jan-2024"/>
    <n v="0"/>
    <s v="CUST-8534"/>
    <s v="Karan Malhotra"/>
    <x v="2"/>
    <x v="1"/>
    <s v="West Bengal"/>
    <s v="Kolkata"/>
    <x v="0"/>
    <x v="0"/>
    <s v="Basic Paper 904"/>
    <x v="2"/>
    <n v="8"/>
    <n v="1557.21"/>
    <n v="0.05"/>
    <n v="11834.8"/>
    <n v="9322.36"/>
    <n v="2512.44"/>
    <s v="Paid"/>
    <x v="0"/>
    <s v="Unique"/>
    <m/>
    <s v="Clean"/>
    <s v="valid"/>
    <n v="0.05"/>
    <n v="11834.796"/>
    <n v="2512.4359999999997"/>
    <n v="0.21229229468763125"/>
    <x v="8"/>
    <n v="2024"/>
    <s v="Clean"/>
  </r>
  <r>
    <x v="879"/>
    <s v="2025-08-27"/>
    <s v="08/28/2025"/>
    <s v="28-Aug-2025"/>
    <s v="27-Aug-2025"/>
    <n v="1"/>
    <s v="CUST-4486"/>
    <s v="Ananya Rao"/>
    <x v="3"/>
    <x v="0"/>
    <s v="Uttar Pradesh"/>
    <s v="Noida"/>
    <x v="0"/>
    <x v="2"/>
    <s v="Smart Art 990"/>
    <x v="3"/>
    <n v="6"/>
    <n v="1182.03"/>
    <n v="0.15"/>
    <n v="6028.35"/>
    <n v="4433.63"/>
    <n v="1594.72"/>
    <s v="Paid"/>
    <x v="0"/>
    <s v="Unique"/>
    <m/>
    <s v="Clean"/>
    <s v="valid"/>
    <n v="0.15"/>
    <n v="6028.3530000000001"/>
    <n v="1594.723"/>
    <n v="0.26453709661660491"/>
    <x v="1"/>
    <n v="2025"/>
    <s v="Clean"/>
  </r>
  <r>
    <x v="880"/>
    <s v="08-03-2024"/>
    <s v="03/15/2024"/>
    <s v="15-Mar-2024"/>
    <s v="08-Mar-2024"/>
    <n v="7"/>
    <s v="CUST-5287"/>
    <s v="Aarav Sharma"/>
    <x v="1"/>
    <x v="4"/>
    <s v="Punjab"/>
    <s v="Ludhiana"/>
    <x v="1"/>
    <x v="4"/>
    <s v="Basic Chairs 327"/>
    <x v="2"/>
    <n v="5"/>
    <n v="3234.77"/>
    <n v="0"/>
    <n v="16173.85"/>
    <n v="13636.34"/>
    <n v="2537.5100000000002"/>
    <s v="Paid"/>
    <x v="0"/>
    <s v="Unique"/>
    <m/>
    <s v="Clean"/>
    <s v="valid"/>
    <n v="0"/>
    <n v="16173.85"/>
    <n v="2537.5100000000002"/>
    <n v="0.15688967067210344"/>
    <x v="9"/>
    <n v="2024"/>
    <s v="Clean"/>
  </r>
  <r>
    <x v="881"/>
    <s v="01 Dec 2024"/>
    <s v="05-12-2024"/>
    <s v="05-Dec-2024"/>
    <s v="01-Dec-2024"/>
    <n v="4"/>
    <s v="CUST-3445"/>
    <s v="Ananya Rao"/>
    <x v="1"/>
    <x v="2"/>
    <s v="Andhra Pradesh"/>
    <s v="Vijayawada"/>
    <x v="2"/>
    <x v="6"/>
    <s v="Eco Copiers 987"/>
    <x v="0"/>
    <n v="9"/>
    <n v="3726.75"/>
    <n v="0.25"/>
    <n v="25155.56"/>
    <n v="17592.689999999999"/>
    <n v="7562.87"/>
    <s v="Paid"/>
    <x v="0"/>
    <s v="Unique"/>
    <m/>
    <s v="Clean"/>
    <s v="valid"/>
    <n v="0.25"/>
    <n v="25155.5625"/>
    <n v="7562.8725000000013"/>
    <n v="0.30064414182747856"/>
    <x v="7"/>
    <n v="2024"/>
    <s v="Clean"/>
  </r>
  <r>
    <x v="882"/>
    <s v="02 Feb 2025"/>
    <s v="02/10/2025"/>
    <s v="02-Oct-2025"/>
    <s v="02-Feb-2025"/>
    <n v="242"/>
    <s v="CUST-4983"/>
    <s v="Sneha Kapoor"/>
    <x v="2"/>
    <x v="1"/>
    <s v="Bihar"/>
    <s v="Patna"/>
    <x v="2"/>
    <x v="5"/>
    <s v="Basic Accessories 607"/>
    <x v="3"/>
    <n v="4"/>
    <n v="1912.45"/>
    <n v="0"/>
    <n v="7649.8"/>
    <n v="4894.53"/>
    <n v="2755.27"/>
    <s v="Pending"/>
    <x v="2"/>
    <s v="Unique"/>
    <m/>
    <s v="Clean"/>
    <s v="valid"/>
    <n v="0"/>
    <n v="7649.8"/>
    <n v="2755.2700000000004"/>
    <n v="0.36017542942299152"/>
    <x v="5"/>
    <n v="2025"/>
    <s v="Clean"/>
  </r>
  <r>
    <x v="883"/>
    <s v="28 Apr 2025"/>
    <s v="05/01/2025"/>
    <s v="05-Jan-2025"/>
    <s v="28-Apr-2025"/>
    <n v="-113"/>
    <s v="CUST-2597"/>
    <s v="Aarav Sharma"/>
    <x v="1"/>
    <x v="3"/>
    <s v="Goa"/>
    <s v="Panaji"/>
    <x v="0"/>
    <x v="8"/>
    <s v="Classic Storage 211"/>
    <x v="1"/>
    <n v="1"/>
    <n v="1620.87"/>
    <n v="0"/>
    <n v="1620.87"/>
    <n v="1103.6099999999999"/>
    <n v="517.26"/>
    <s v="Paid"/>
    <x v="0"/>
    <s v="Unique"/>
    <m/>
    <s v="Clean"/>
    <s v="Invalid"/>
    <n v="0"/>
    <n v="1620.87"/>
    <n v="517.26"/>
    <n v="0.31912491439782342"/>
    <x v="11"/>
    <n v="2025"/>
    <s v="Clean"/>
  </r>
  <r>
    <x v="884"/>
    <s v="18-01-2025"/>
    <s v="2025-01-25"/>
    <s v="25-Jan-2025"/>
    <s v="18-Jan-2025"/>
    <n v="7"/>
    <s v="CUST-7505"/>
    <s v="Neha Gupta"/>
    <x v="3"/>
    <x v="2"/>
    <s v="Karnataka"/>
    <s v="Bengaluru"/>
    <x v="0"/>
    <x v="8"/>
    <s v="Eco Storage 783"/>
    <x v="1"/>
    <n v="2"/>
    <n v="2098.54"/>
    <n v="0.15"/>
    <n v="3567.52"/>
    <n v="2411.8000000000002"/>
    <n v="1155.72"/>
    <s v="Paid"/>
    <x v="0"/>
    <s v="Unique"/>
    <m/>
    <s v="Clean"/>
    <s v="valid"/>
    <n v="0.15"/>
    <n v="3567.518"/>
    <n v="1155.7179999999998"/>
    <n v="0.32395575859743381"/>
    <x v="8"/>
    <n v="2025"/>
    <s v="Clean"/>
  </r>
  <r>
    <x v="885"/>
    <s v="2024-01-05"/>
    <s v="2024-01-05"/>
    <s v="05-Jan-2024"/>
    <s v="05-Jan-2024"/>
    <n v="0"/>
    <s v="CUST-3446"/>
    <s v="Diya Patel"/>
    <x v="0"/>
    <x v="0"/>
    <s v="Rajasthan"/>
    <s v="Jaipur"/>
    <x v="1"/>
    <x v="1"/>
    <s v="Pro Tables 866"/>
    <x v="3"/>
    <n v="1"/>
    <n v="2167.08"/>
    <n v="0.25"/>
    <n v="1625.31"/>
    <n v="1157.8900000000001"/>
    <n v="467.42"/>
    <s v="Paid"/>
    <x v="0"/>
    <s v="Unique"/>
    <m/>
    <s v="Clean"/>
    <s v="valid"/>
    <n v="0.25"/>
    <n v="1625.31"/>
    <n v="467.41999999999985"/>
    <n v="0.28758821394072509"/>
    <x v="8"/>
    <n v="2024"/>
    <s v="Clean"/>
  </r>
  <r>
    <x v="886"/>
    <s v="26-04-2025"/>
    <s v="03-05-2025"/>
    <s v="03-May-2025"/>
    <s v="26-Apr-2025"/>
    <n v="7"/>
    <s v="CUST-3549"/>
    <s v="Arjun Bose"/>
    <x v="3"/>
    <x v="2"/>
    <s v="Tamil Nadu"/>
    <s v="Chennai"/>
    <x v="2"/>
    <x v="5"/>
    <s v="Max Accessories 541"/>
    <x v="2"/>
    <n v="7"/>
    <n v="3989.9"/>
    <n v="0.15"/>
    <n v="23739.9"/>
    <n v="17716.52"/>
    <n v="6023.38"/>
    <s v="Paid"/>
    <x v="1"/>
    <s v="Unique"/>
    <m/>
    <s v="Clean"/>
    <s v="valid"/>
    <n v="0.15"/>
    <n v="23739.904999999999"/>
    <n v="6023.3849999999984"/>
    <n v="0.25372405660427028"/>
    <x v="11"/>
    <n v="2025"/>
    <s v="Warning"/>
  </r>
  <r>
    <x v="887"/>
    <s v="2024-06-12"/>
    <s v="2024-06-18"/>
    <s v="18-Jun-2024"/>
    <s v="12-Jun-2024"/>
    <n v="6"/>
    <s v="CUST-2795"/>
    <s v="Aarav Sharma"/>
    <x v="1"/>
    <x v="2"/>
    <s v="Andhra Pradesh"/>
    <s v="Vijayawada"/>
    <x v="0"/>
    <x v="2"/>
    <s v="Prime Art 596"/>
    <x v="3"/>
    <n v="4"/>
    <n v="4176.13"/>
    <n v="0"/>
    <n v="16704.52"/>
    <n v="10158.280000000001"/>
    <n v="6546.24"/>
    <s v="Paid"/>
    <x v="0"/>
    <s v="Unique"/>
    <m/>
    <s v="Clean"/>
    <s v="valid"/>
    <n v="0"/>
    <n v="16704.52"/>
    <n v="6546.24"/>
    <n v="0.39188435225914897"/>
    <x v="10"/>
    <n v="2024"/>
    <s v="Clean"/>
  </r>
  <r>
    <x v="888"/>
    <s v="06-08-2025"/>
    <s v="07-08-2025"/>
    <s v="07-Aug-2025"/>
    <s v="06-Aug-2025"/>
    <n v="1"/>
    <s v="CUST-1081"/>
    <s v="Rahul Verma"/>
    <x v="1"/>
    <x v="3"/>
    <s v="Maharashtra"/>
    <s v="Mumbai"/>
    <x v="0"/>
    <x v="2"/>
    <s v="Pro Art 620"/>
    <x v="3"/>
    <n v="4"/>
    <n v="3523.64"/>
    <n v="0.1"/>
    <n v="12685.1"/>
    <n v="10779.56"/>
    <n v="1905.54"/>
    <s v="Refunded"/>
    <x v="1"/>
    <s v="Unique"/>
    <m/>
    <s v="Clean"/>
    <s v="valid"/>
    <n v="0.1"/>
    <n v="12685.103999999999"/>
    <n v="1905.5439999999999"/>
    <n v="0.15021902855506741"/>
    <x v="1"/>
    <n v="2025"/>
    <s v="Warning"/>
  </r>
  <r>
    <x v="889"/>
    <s v="10 Mar 2025"/>
    <s v="03/11/2025"/>
    <s v="03-Nov-2025"/>
    <s v="10-Mar-2025"/>
    <n v="238"/>
    <s v="CUST-8467"/>
    <s v="Aditi Sen"/>
    <x v="3"/>
    <x v="3"/>
    <s v="Madhya Pradesh"/>
    <s v="Indore"/>
    <x v="0"/>
    <x v="8"/>
    <s v="Prime Storage 806"/>
    <x v="2"/>
    <n v="2"/>
    <n v="3922.08"/>
    <n v="0.25"/>
    <n v="5883.12"/>
    <n v="4647.91"/>
    <n v="1235.21"/>
    <s v="Paid"/>
    <x v="2"/>
    <s v="Unique"/>
    <m/>
    <s v="Clean"/>
    <s v="valid"/>
    <n v="0.25"/>
    <n v="5883.12"/>
    <n v="1235.21"/>
    <n v="0.20995832143488491"/>
    <x v="9"/>
    <n v="2025"/>
    <s v="Clean"/>
  </r>
  <r>
    <x v="890"/>
    <s v="15-05-2024"/>
    <s v="21-05-2024"/>
    <s v="21-May-2024"/>
    <s v="15-May-2024"/>
    <n v="6"/>
    <s v="CUST-3992"/>
    <s v="Karan Malhotra"/>
    <x v="0"/>
    <x v="3"/>
    <s v="Goa"/>
    <s v="Panaji"/>
    <x v="0"/>
    <x v="8"/>
    <s v="Smart Storage 288"/>
    <x v="3"/>
    <n v="6"/>
    <n v="2909.56"/>
    <n v="0.2"/>
    <n v="13965.89"/>
    <n v="11646.12"/>
    <n v="2319.77"/>
    <s v="Paid"/>
    <x v="0"/>
    <s v="Unique"/>
    <m/>
    <s v="Clean"/>
    <s v="valid"/>
    <n v="0.2"/>
    <n v="13965.888000000001"/>
    <n v="2319.768"/>
    <n v="0.16610243473239938"/>
    <x v="3"/>
    <n v="2024"/>
    <s v="Clean"/>
  </r>
  <r>
    <x v="891"/>
    <s v="08 Oct 2024"/>
    <s v="09-10-2024"/>
    <s v="09-Oct-2024"/>
    <s v="08-Oct-2024"/>
    <n v="1"/>
    <s v="CUST-6647"/>
    <s v="Kabir Singh"/>
    <x v="2"/>
    <x v="2"/>
    <s v="Tamil Nadu"/>
    <s v="Chennai"/>
    <x v="2"/>
    <x v="12"/>
    <s v="Elite Machines 281"/>
    <x v="1"/>
    <n v="5"/>
    <n v="2407.9699999999998"/>
    <n v="0.1"/>
    <n v="10835.86"/>
    <n v="6419.92"/>
    <n v="4415.9399999999996"/>
    <s v="Failed"/>
    <x v="1"/>
    <s v="Unique"/>
    <m/>
    <s v="Clean"/>
    <s v="valid"/>
    <n v="0.1"/>
    <n v="10835.865"/>
    <n v="4415.9449999999997"/>
    <n v="0.40753045557507406"/>
    <x v="4"/>
    <n v="2024"/>
    <s v="Warning"/>
  </r>
  <r>
    <x v="892"/>
    <s v="04/12/2025"/>
    <s v="04/18/2025"/>
    <s v="18-Apr-2025"/>
    <s v="04-Dec-2025"/>
    <n v="-230"/>
    <s v="CUST-5087"/>
    <s v="Isha Nair"/>
    <x v="1"/>
    <x v="1"/>
    <s v="Jharkhand"/>
    <s v="Ranchi"/>
    <x v="2"/>
    <x v="6"/>
    <s v="Elite Copiers 221"/>
    <x v="1"/>
    <n v="1"/>
    <n v="726.89"/>
    <n v="0.2"/>
    <n v="581.51"/>
    <n v="423.86"/>
    <n v="157.65"/>
    <s v="Paid"/>
    <x v="0"/>
    <s v="Unique"/>
    <m/>
    <s v="Clean"/>
    <s v="Invalid"/>
    <n v="0.2"/>
    <n v="581.51200000000006"/>
    <n v="157.65200000000004"/>
    <n v="0.27110704508247468"/>
    <x v="7"/>
    <n v="2025"/>
    <s v="Clean"/>
  </r>
  <r>
    <x v="893"/>
    <s v="06 Jun 2024"/>
    <s v="08 Jun 2024"/>
    <s v="08-Jun-2024"/>
    <s v="06-Jun-2024"/>
    <n v="2"/>
    <s v="CUST-9297"/>
    <s v="Aarav Sharma"/>
    <x v="2"/>
    <x v="2"/>
    <s v="Karnataka"/>
    <s v="Bengaluru"/>
    <x v="1"/>
    <x v="1"/>
    <s v="Max Tables 291"/>
    <x v="0"/>
    <n v="3"/>
    <n v="395.49"/>
    <n v="0.05"/>
    <n v="1127.1500000000001"/>
    <n v="845.62"/>
    <n v="281.52999999999997"/>
    <s v="Paid"/>
    <x v="2"/>
    <s v="Unique"/>
    <m/>
    <s v="Clean"/>
    <s v="valid"/>
    <n v="0.05"/>
    <n v="1127.1465000000001"/>
    <n v="281.52650000000006"/>
    <n v="0.24976921810962466"/>
    <x v="10"/>
    <n v="2024"/>
    <s v="Clean"/>
  </r>
  <r>
    <x v="894"/>
    <s v="22 Feb 2024"/>
    <s v="02/29/2024"/>
    <s v="29-Feb-2024"/>
    <s v="22-Feb-2024"/>
    <n v="7"/>
    <s v="CUST-7996"/>
    <s v="Isha Nair"/>
    <x v="3"/>
    <x v="2"/>
    <s v="Telangana"/>
    <s v="Hyderabad"/>
    <x v="1"/>
    <x v="1"/>
    <s v="Classic Tables 638"/>
    <x v="2"/>
    <n v="6"/>
    <n v="4254.05"/>
    <n v="0"/>
    <n v="25524.3"/>
    <n v="16711.93"/>
    <n v="8812.3700000000008"/>
    <s v="Paid"/>
    <x v="0"/>
    <s v="Unique"/>
    <m/>
    <s v="Clean"/>
    <s v="valid"/>
    <n v="0"/>
    <n v="25524.300000000003"/>
    <n v="8812.3700000000026"/>
    <n v="0.34525413037771857"/>
    <x v="5"/>
    <n v="2024"/>
    <s v="Clean"/>
  </r>
  <r>
    <x v="895"/>
    <s v="05 Nov 2024"/>
    <s v="11/10/2024"/>
    <s v="11-Oct-2024"/>
    <s v="05-Nov-2024"/>
    <n v="-25"/>
    <s v="CUST-4117"/>
    <s v="Arjun Bose"/>
    <x v="0"/>
    <x v="2"/>
    <s v="Kerala"/>
    <s v="Kochi"/>
    <x v="1"/>
    <x v="4"/>
    <s v="Basic Chairs 212"/>
    <x v="1"/>
    <n v="4"/>
    <n v="711.18"/>
    <n v="0.15"/>
    <n v="2418.0100000000002"/>
    <n v="1441.89"/>
    <n v="976.12"/>
    <s v="Pending"/>
    <x v="2"/>
    <s v="Unique"/>
    <m/>
    <s v="Clean"/>
    <s v="Invalid"/>
    <n v="0.15"/>
    <n v="2418.0119999999997"/>
    <n v="976.12199999999962"/>
    <n v="0.40368782288921634"/>
    <x v="2"/>
    <n v="2024"/>
    <s v="Clean"/>
  </r>
  <r>
    <x v="896"/>
    <s v="12/24/2024"/>
    <s v="25-12-2024"/>
    <s v="25-Dec-2024"/>
    <s v="24-Dec-2024"/>
    <n v="1"/>
    <s v="CUST-4848"/>
    <s v="Ananya Rao"/>
    <x v="1"/>
    <x v="2"/>
    <s v="Tamil Nadu"/>
    <s v="Chennai"/>
    <x v="2"/>
    <x v="6"/>
    <s v="Max Copiers 121"/>
    <x v="0"/>
    <n v="1"/>
    <n v="3693.03"/>
    <n v="0.05"/>
    <n v="3508.38"/>
    <n v="2828.06"/>
    <n v="680.32"/>
    <s v="Failed"/>
    <x v="2"/>
    <s v="Unique"/>
    <m/>
    <s v="Clean"/>
    <s v="valid"/>
    <n v="0.05"/>
    <n v="3508.3784999999998"/>
    <n v="680.31849999999986"/>
    <n v="0.19391251542557336"/>
    <x v="7"/>
    <n v="2024"/>
    <s v="Warning"/>
  </r>
  <r>
    <x v="897"/>
    <s v="04/29/2025"/>
    <s v="03 May 2025"/>
    <s v="03-May-2025"/>
    <s v="29-Apr-2025"/>
    <n v="4"/>
    <s v="CUST-2897"/>
    <s v="Rohan Mehta"/>
    <x v="2"/>
    <x v="0"/>
    <s v="Haryana"/>
    <s v="Gurugram"/>
    <x v="0"/>
    <x v="0"/>
    <s v="Eco Paper 747"/>
    <x v="2"/>
    <n v="4"/>
    <n v="1786.65"/>
    <n v="0.05"/>
    <n v="6789.27"/>
    <n v="5626.43"/>
    <n v="1162.8399999999999"/>
    <s v="Paid"/>
    <x v="0"/>
    <s v="Unique"/>
    <m/>
    <s v="Clean"/>
    <s v="valid"/>
    <n v="0.05"/>
    <n v="6789.27"/>
    <n v="1162.8400000000001"/>
    <n v="0.17127614603631908"/>
    <x v="11"/>
    <n v="2025"/>
    <s v="Clean"/>
  </r>
  <r>
    <x v="898"/>
    <s v="2024-06-02"/>
    <s v="06/08/2024"/>
    <s v="06-Aug-2024"/>
    <s v="02-Jun-2024"/>
    <n v="65"/>
    <s v="CUST-6046"/>
    <s v="Vikram Iyer"/>
    <x v="0"/>
    <x v="0"/>
    <s v="Delhi"/>
    <s v="New Delhi"/>
    <x v="1"/>
    <x v="1"/>
    <s v="Classic Tables 535"/>
    <x v="2"/>
    <n v="4"/>
    <n v="1536.7"/>
    <n v="0.2"/>
    <n v="4917.4399999999996"/>
    <n v="3846.77"/>
    <n v="1070.67"/>
    <s v="Paid"/>
    <x v="0"/>
    <s v="Unique"/>
    <m/>
    <s v="Clean"/>
    <s v="valid"/>
    <n v="0.2"/>
    <n v="4917.4400000000005"/>
    <n v="1070.6700000000005"/>
    <n v="0.21772914361944434"/>
    <x v="10"/>
    <n v="2024"/>
    <s v="Clean"/>
  </r>
  <r>
    <x v="899"/>
    <s v="27 May 2025"/>
    <s v="06/03/2025"/>
    <s v="06-Mar-2025"/>
    <s v="27-May-2025"/>
    <n v="-82"/>
    <s v="CUST-3789"/>
    <s v="Karan Malhotra"/>
    <x v="0"/>
    <x v="0"/>
    <s v="Punjab"/>
    <s v="Ludhiana"/>
    <x v="1"/>
    <x v="4"/>
    <s v="Elite Chairs 971"/>
    <x v="2"/>
    <n v="5"/>
    <n v="881.08"/>
    <n v="0.25"/>
    <n v="3304.05"/>
    <n v="2279.41"/>
    <n v="1024.6400000000001"/>
    <s v="Failed"/>
    <x v="1"/>
    <s v="Unique"/>
    <m/>
    <s v="Clean"/>
    <s v="Invalid"/>
    <n v="0.25"/>
    <n v="3304.05"/>
    <n v="1024.6400000000003"/>
    <n v="0.31011637233092726"/>
    <x v="3"/>
    <n v="2025"/>
    <s v="Warning"/>
  </r>
  <r>
    <x v="331"/>
    <s v="04-12-2024"/>
    <s v="2024-12-06"/>
    <s v="06-Dec-2024"/>
    <s v="04-Dec-2024"/>
    <n v="2"/>
    <s v="CUST-9346"/>
    <s v="Sneha Kapoor"/>
    <x v="3"/>
    <x v="1"/>
    <s v="Odisha"/>
    <s v="Bhubaneswar"/>
    <x v="0"/>
    <x v="9"/>
    <s v="Smart Binders 939"/>
    <x v="0"/>
    <n v="4"/>
    <n v="2685.66"/>
    <n v="0"/>
    <n v="10989.89"/>
    <n v="6477.37"/>
    <n v="4265.2700000000004"/>
    <s v="Paid"/>
    <x v="0"/>
    <s v="Duplicate Order ID"/>
    <s v="FLAG FOR REVIEW"/>
    <s v="Clean"/>
    <s v="valid"/>
    <n v="0"/>
    <n v="10742.64"/>
    <n v="4265.2699999999995"/>
    <n v="0.39704113700170535"/>
    <x v="7"/>
    <n v="2024"/>
    <s v="Clean"/>
  </r>
  <r>
    <x v="90"/>
    <s v="08/24/2025"/>
    <s v="29 Aug 2025"/>
    <s v="29-Aug-2025"/>
    <s v="24-Aug-2025"/>
    <n v="5"/>
    <s v="CUST-5909"/>
    <s v="Aarav Sharma"/>
    <x v="1"/>
    <x v="1"/>
    <s v="Bihar"/>
    <s v="Patna"/>
    <x v="2"/>
    <x v="6"/>
    <s v="Smart Copiers 556"/>
    <x v="2"/>
    <n v="3"/>
    <n v="3703.96"/>
    <n v="0.15"/>
    <n v="9549.44"/>
    <n v="5586.28"/>
    <n v="3858.82"/>
    <s v="Paid"/>
    <x v="2"/>
    <s v="Duplicate Order ID"/>
    <s v="FLAG FOR REVIEW"/>
    <s v="Clean"/>
    <s v="valid"/>
    <n v="0.15"/>
    <n v="9445.098"/>
    <n v="3858.8180000000002"/>
    <n v="0.40855245758170006"/>
    <x v="1"/>
    <n v="2025"/>
    <s v="Clean"/>
  </r>
  <r>
    <x v="373"/>
    <s v="2025-04-13"/>
    <s v="2025-04-13"/>
    <s v="13-Apr-2025"/>
    <s v="13-Apr-2025"/>
    <n v="0"/>
    <s v="CUST-8566"/>
    <s v="Sneha Kapoor"/>
    <x v="1"/>
    <x v="0"/>
    <s v="Uttar Pradesh"/>
    <s v="Noida"/>
    <x v="0"/>
    <x v="8"/>
    <s v="Prime Storage 951"/>
    <x v="0"/>
    <n v="9"/>
    <n v="1118.68"/>
    <n v="0"/>
    <n v="10348.43"/>
    <n v="8595.3700000000008"/>
    <n v="1472.75"/>
    <s v="Paid"/>
    <x v="2"/>
    <s v="Duplicate Order ID"/>
    <s v="FLAG FOR REVIEW"/>
    <s v="Clean"/>
    <s v="valid"/>
    <n v="0"/>
    <n v="10068.120000000001"/>
    <n v="1472.75"/>
    <n v="0.14627855051389932"/>
    <x v="11"/>
    <n v="2025"/>
    <s v="Clean"/>
  </r>
  <r>
    <x v="224"/>
    <s v="10/02/2025"/>
    <s v="08 Oct 2025"/>
    <s v="08-Oct-2025"/>
    <s v="10-Feb-2025"/>
    <n v="240"/>
    <s v="CUST-9871"/>
    <s v="Isha Nair"/>
    <x v="1"/>
    <x v="0"/>
    <s v="Punjab"/>
    <s v="Ludhiana"/>
    <x v="1"/>
    <x v="3"/>
    <s v="Classic Furnishings 109"/>
    <x v="3"/>
    <n v="4"/>
    <n v="3944.64"/>
    <n v="0.25"/>
    <n v="12116.89"/>
    <n v="6682.92"/>
    <n v="5151"/>
    <s v="Paid"/>
    <x v="2"/>
    <s v="Duplicate Order ID"/>
    <s v="FLAG FOR REVIEW"/>
    <s v="Clean"/>
    <s v="valid"/>
    <n v="0.25"/>
    <n v="11833.92"/>
    <n v="5151"/>
    <n v="0.43527419485681834"/>
    <x v="5"/>
    <n v="2025"/>
    <s v="Clean"/>
  </r>
  <r>
    <x v="314"/>
    <s v="05/18/2025"/>
    <s v="20 May 2025"/>
    <s v="20-May-2025"/>
    <s v="18-May-2025"/>
    <n v="2"/>
    <s v="CUST-1945"/>
    <s v="Isha Nair"/>
    <x v="2"/>
    <x v="3"/>
    <s v="Madhya Pradesh"/>
    <s v="Indore"/>
    <x v="0"/>
    <x v="7"/>
    <s v="Elite Labels 544"/>
    <x v="3"/>
    <n v="9"/>
    <n v="847.76"/>
    <n v="0.15"/>
    <n v="6589.37"/>
    <n v="5376.17"/>
    <n v="1109.19"/>
    <s v="Failed"/>
    <x v="0"/>
    <s v="Duplicate Order ID"/>
    <s v="FLAG FOR REVIEW"/>
    <s v="Clean"/>
    <s v="valid"/>
    <n v="0.15"/>
    <n v="6485.3639999999996"/>
    <n v="1109.1939999999995"/>
    <n v="0.17103033846673826"/>
    <x v="3"/>
    <n v="2025"/>
    <s v="Warning"/>
  </r>
  <r>
    <x v="170"/>
    <s v="07-09-2025"/>
    <s v="09/15/2025"/>
    <s v="15-Sep-2025"/>
    <s v="07-Sep-2025"/>
    <n v="8"/>
    <s v="CUST-3734"/>
    <s v="Rohan Mehta"/>
    <x v="2"/>
    <x v="1"/>
    <s v="Bihar"/>
    <s v="Patna"/>
    <x v="2"/>
    <x v="6"/>
    <s v="Eco Copiers 102"/>
    <x v="3"/>
    <n v="3"/>
    <n v="1711.32"/>
    <n v="0"/>
    <n v="5206.53"/>
    <n v="3930"/>
    <n v="1203.96"/>
    <s v="Paid"/>
    <x v="2"/>
    <s v="Duplicate Order ID"/>
    <s v="FLAG FOR REVIEW"/>
    <s v="Clean"/>
    <s v="valid"/>
    <n v="0"/>
    <n v="5133.96"/>
    <n v="1203.96"/>
    <n v="0.23450903396208775"/>
    <x v="6"/>
    <n v="2025"/>
    <s v="Clean"/>
  </r>
  <r>
    <x v="423"/>
    <s v="2024-02-20"/>
    <s v="27-02-2024"/>
    <s v="27-Feb-2024"/>
    <s v="20-Feb-2024"/>
    <n v="7"/>
    <s v="CUST-6169"/>
    <s v="Diya Patel"/>
    <x v="0"/>
    <x v="2"/>
    <s v="Kerala"/>
    <s v="Kochi"/>
    <x v="2"/>
    <x v="5"/>
    <s v="Prime Accessories 236"/>
    <x v="2"/>
    <n v="9"/>
    <n v="3779.31"/>
    <n v="0.2"/>
    <n v="27322.9"/>
    <n v="17940.43"/>
    <n v="9270.6"/>
    <s v="Paid"/>
    <x v="2"/>
    <s v="Duplicate Order ID"/>
    <s v="FLAG FOR REVIEW"/>
    <s v="Clean"/>
    <s v="valid"/>
    <n v="0.2"/>
    <n v="27211.032000000003"/>
    <n v="9270.6020000000026"/>
    <n v="0.34069277490100347"/>
    <x v="5"/>
    <n v="2024"/>
    <s v="Clean"/>
  </r>
  <r>
    <x v="571"/>
    <s v="10 Feb 2025"/>
    <s v="2025-02-14"/>
    <s v="14-Feb-2025"/>
    <s v="10-Feb-2025"/>
    <n v="4"/>
    <s v="CUST-3425"/>
    <s v="Priya Menon"/>
    <x v="1"/>
    <x v="0"/>
    <s v="Uttar Pradesh"/>
    <s v="Noida"/>
    <x v="2"/>
    <x v="11"/>
    <s v="Prime Phones 895"/>
    <x v="4"/>
    <n v="5"/>
    <n v="4276.29"/>
    <n v="0"/>
    <n v="21443.63"/>
    <n v="13240.21"/>
    <n v="8141.24"/>
    <s v="Failed"/>
    <x v="0"/>
    <s v="Duplicate Order ID"/>
    <s v="FLAG FOR REVIEW"/>
    <s v="Clean"/>
    <s v="valid"/>
    <n v="0"/>
    <n v="21381.45"/>
    <n v="8141.2400000000016"/>
    <n v="0.38076182859441249"/>
    <x v="5"/>
    <n v="2025"/>
    <s v="Warning"/>
  </r>
  <r>
    <x v="142"/>
    <s v="30 Mar 2024"/>
    <s v="26 Mar 2024"/>
    <s v="26-Mar-2024"/>
    <s v="30-Mar-2024"/>
    <n v="-4"/>
    <s v="CUST-8944"/>
    <s v="Aditi Sen"/>
    <x v="3"/>
    <x v="0"/>
    <s v="Rajasthan"/>
    <s v="Jaipur"/>
    <x v="2"/>
    <x v="11"/>
    <s v="Classic Phones 142"/>
    <x v="0"/>
    <n v="5"/>
    <n v="907.54"/>
    <n v="0.15"/>
    <n v="4099.6899999999996"/>
    <n v="2769.26"/>
    <n v="1087.78"/>
    <s v="Paid"/>
    <x v="2"/>
    <s v="Duplicate Order ID"/>
    <s v="FLAG FOR REVIEW"/>
    <s v="Clean"/>
    <s v="Invalid"/>
    <n v="0.15"/>
    <n v="3857.0449999999996"/>
    <n v="1087.7849999999994"/>
    <n v="0.28202548842442843"/>
    <x v="9"/>
    <n v="2024"/>
    <s v="Clean"/>
  </r>
  <r>
    <x v="272"/>
    <s v="08/18/2024"/>
    <s v="24 Aug 2024"/>
    <s v="24-Aug-2024"/>
    <s v="18-Aug-2024"/>
    <n v="6"/>
    <s v="CUST-7389"/>
    <s v="Arjun Bose"/>
    <x v="0"/>
    <x v="2"/>
    <s v="Andhra Pradesh"/>
    <s v="Vijayawada"/>
    <x v="1"/>
    <x v="4"/>
    <s v="Eco Chairs 314"/>
    <x v="2"/>
    <n v="7"/>
    <n v="557.21"/>
    <n v="0.1"/>
    <n v="3797.79"/>
    <n v="2191.5"/>
    <n v="1213.48"/>
    <s v="Paid"/>
    <x v="2"/>
    <s v="Duplicate Order ID"/>
    <s v="FLAG FOR REVIEW"/>
    <s v="Clean"/>
    <s v="valid"/>
    <n v="0.1"/>
    <n v="3510.4230000000002"/>
    <n v="1318.9230000000002"/>
    <n v="0.37571625983535323"/>
    <x v="1"/>
    <n v="2024"/>
    <s v="Clean"/>
  </r>
  <r>
    <x v="123"/>
    <s v="05/24/2024"/>
    <s v="25 May 2024"/>
    <s v="25-May-2024"/>
    <s v="24-May-2024"/>
    <n v="1"/>
    <s v="CUST-1007"/>
    <s v="Sneha Kapoor"/>
    <x v="1"/>
    <x v="0"/>
    <s v="Punjab"/>
    <s v="Ludhiana"/>
    <x v="2"/>
    <x v="6"/>
    <s v="Max Copiers 970"/>
    <x v="1"/>
    <n v="1"/>
    <n v="634.13"/>
    <n v="0"/>
    <n v="808.67"/>
    <n v="453.35"/>
    <n v="180.78"/>
    <s v="Refunded"/>
    <x v="2"/>
    <s v="Duplicate Order ID"/>
    <s v="FLAG FOR REVIEW"/>
    <s v="Clean"/>
    <s v="valid"/>
    <n v="0"/>
    <n v="634.13"/>
    <n v="180.77999999999997"/>
    <n v="0.28508350022865969"/>
    <x v="3"/>
    <n v="2024"/>
    <s v="Clean"/>
  </r>
  <r>
    <x v="335"/>
    <s v="06/16/2025"/>
    <s v="18 Jun 2025"/>
    <s v="18-Jun-2025"/>
    <s v="16-Jun-2025"/>
    <n v="2"/>
    <s v="CUST-3621"/>
    <s v="Rahul Verma"/>
    <x v="3"/>
    <x v="3"/>
    <s v="Madhya Pradesh"/>
    <s v="Indore"/>
    <x v="0"/>
    <x v="0"/>
    <s v="Prime Paper 559"/>
    <x v="2"/>
    <n v="3"/>
    <n v="4289.37"/>
    <n v="0.1"/>
    <n v="11778.71"/>
    <n v="6829.43"/>
    <n v="4751.87"/>
    <s v="Paid"/>
    <x v="2"/>
    <s v="Duplicate Order ID"/>
    <s v="FLAG FOR REVIEW"/>
    <s v="Clean"/>
    <s v="valid"/>
    <n v="0.1"/>
    <n v="11581.299000000001"/>
    <n v="4751.8690000000006"/>
    <n v="0.41030535521101735"/>
    <x v="10"/>
    <n v="2025"/>
    <s v="Cle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14E75A-FEF0-4422-9CE5-A28B65E55C0A}" name="PivotTable1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9" firstHeaderRow="0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6">
        <item x="1"/>
        <item x="0"/>
        <item x="2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calculated_sales" fld="29" baseField="0" baseItem="0"/>
    <dataField name="Sum of calculated_profit" fld="3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E81BD6-300F-466A-909D-7998F7FD2102}" name="PivotTable2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0" firstHeaderRow="0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1"/>
        <item x="0"/>
        <item x="2"/>
        <item t="default"/>
      </items>
    </pivotField>
    <pivotField axis="axisRow" showAll="0">
      <items count="14">
        <item x="5"/>
        <item x="2"/>
        <item x="9"/>
        <item x="10"/>
        <item x="4"/>
        <item x="6"/>
        <item x="3"/>
        <item x="7"/>
        <item x="12"/>
        <item x="0"/>
        <item x="11"/>
        <item x="8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12"/>
    <field x="13"/>
  </rowFields>
  <rowItems count="17">
    <i>
      <x/>
    </i>
    <i r="1">
      <x v="3"/>
    </i>
    <i r="1">
      <x v="4"/>
    </i>
    <i r="1">
      <x v="6"/>
    </i>
    <i r="1">
      <x v="12"/>
    </i>
    <i>
      <x v="1"/>
    </i>
    <i r="1">
      <x v="1"/>
    </i>
    <i r="1">
      <x v="2"/>
    </i>
    <i r="1">
      <x v="7"/>
    </i>
    <i r="1">
      <x v="9"/>
    </i>
    <i r="1">
      <x v="11"/>
    </i>
    <i>
      <x v="2"/>
    </i>
    <i r="1">
      <x/>
    </i>
    <i r="1">
      <x v="5"/>
    </i>
    <i r="1">
      <x v="8"/>
    </i>
    <i r="1"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calculated_sales" fld="29" baseField="0" baseItem="0"/>
    <dataField name="Sum of calculated_profit" fld="3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591837-1728-4BBD-A0DF-5850EFBD51B7}" name="PivotTable4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9" firstHeaderRow="1" firstDataRow="1" firstDataCol="1"/>
  <pivotFields count="35">
    <pivotField dataField="1" showAll="0">
      <items count="901">
        <item x="0"/>
        <item x="1"/>
        <item x="2"/>
        <item x="3"/>
        <item x="5"/>
        <item x="8"/>
        <item x="11"/>
        <item x="12"/>
        <item x="14"/>
        <item x="15"/>
        <item x="16"/>
        <item x="17"/>
        <item x="19"/>
        <item x="24"/>
        <item x="25"/>
        <item x="26"/>
        <item x="28"/>
        <item x="30"/>
        <item x="32"/>
        <item x="33"/>
        <item x="35"/>
        <item x="36"/>
        <item x="38"/>
        <item x="39"/>
        <item x="40"/>
        <item x="41"/>
        <item x="43"/>
        <item x="44"/>
        <item x="45"/>
        <item x="46"/>
        <item x="47"/>
        <item x="49"/>
        <item x="51"/>
        <item x="52"/>
        <item x="57"/>
        <item x="58"/>
        <item x="59"/>
        <item x="60"/>
        <item x="61"/>
        <item x="62"/>
        <item x="63"/>
        <item x="64"/>
        <item x="65"/>
        <item x="68"/>
        <item x="69"/>
        <item x="72"/>
        <item x="76"/>
        <item x="80"/>
        <item x="82"/>
        <item x="83"/>
        <item x="84"/>
        <item x="85"/>
        <item x="86"/>
        <item x="87"/>
        <item x="88"/>
        <item x="89"/>
        <item x="93"/>
        <item x="94"/>
        <item x="96"/>
        <item x="98"/>
        <item x="101"/>
        <item x="105"/>
        <item x="106"/>
        <item x="107"/>
        <item x="108"/>
        <item x="110"/>
        <item x="112"/>
        <item x="113"/>
        <item x="114"/>
        <item x="115"/>
        <item x="117"/>
        <item x="118"/>
        <item x="119"/>
        <item x="120"/>
        <item x="122"/>
        <item x="123"/>
        <item x="124"/>
        <item x="128"/>
        <item x="129"/>
        <item x="130"/>
        <item x="132"/>
        <item x="133"/>
        <item x="138"/>
        <item x="140"/>
        <item x="141"/>
        <item x="142"/>
        <item x="143"/>
        <item x="144"/>
        <item x="147"/>
        <item x="149"/>
        <item x="150"/>
        <item x="151"/>
        <item x="152"/>
        <item x="154"/>
        <item x="157"/>
        <item x="158"/>
        <item x="162"/>
        <item x="165"/>
        <item x="173"/>
        <item x="175"/>
        <item x="177"/>
        <item x="178"/>
        <item x="179"/>
        <item x="180"/>
        <item x="182"/>
        <item x="184"/>
        <item x="185"/>
        <item x="186"/>
        <item x="191"/>
        <item x="192"/>
        <item x="193"/>
        <item x="196"/>
        <item x="198"/>
        <item x="199"/>
        <item x="203"/>
        <item x="207"/>
        <item x="210"/>
        <item x="211"/>
        <item x="212"/>
        <item x="213"/>
        <item x="214"/>
        <item x="215"/>
        <item x="219"/>
        <item x="220"/>
        <item x="225"/>
        <item x="227"/>
        <item x="228"/>
        <item x="230"/>
        <item x="231"/>
        <item x="233"/>
        <item x="234"/>
        <item x="235"/>
        <item x="236"/>
        <item x="237"/>
        <item x="238"/>
        <item x="239"/>
        <item x="240"/>
        <item x="244"/>
        <item x="245"/>
        <item x="246"/>
        <item x="247"/>
        <item x="248"/>
        <item x="250"/>
        <item x="253"/>
        <item x="256"/>
        <item x="258"/>
        <item x="259"/>
        <item x="264"/>
        <item x="265"/>
        <item x="270"/>
        <item x="271"/>
        <item x="272"/>
        <item x="274"/>
        <item x="275"/>
        <item x="276"/>
        <item x="279"/>
        <item x="280"/>
        <item x="282"/>
        <item x="284"/>
        <item x="286"/>
        <item x="287"/>
        <item x="288"/>
        <item x="291"/>
        <item x="293"/>
        <item x="297"/>
        <item x="299"/>
        <item x="300"/>
        <item x="303"/>
        <item x="304"/>
        <item x="305"/>
        <item x="309"/>
        <item x="310"/>
        <item x="311"/>
        <item x="312"/>
        <item x="315"/>
        <item x="316"/>
        <item x="318"/>
        <item x="319"/>
        <item x="320"/>
        <item x="321"/>
        <item x="322"/>
        <item x="323"/>
        <item x="327"/>
        <item x="330"/>
        <item x="331"/>
        <item x="334"/>
        <item x="336"/>
        <item x="337"/>
        <item x="338"/>
        <item x="340"/>
        <item x="344"/>
        <item x="345"/>
        <item x="347"/>
        <item x="348"/>
        <item x="350"/>
        <item x="354"/>
        <item x="355"/>
        <item x="359"/>
        <item x="360"/>
        <item x="362"/>
        <item x="365"/>
        <item x="367"/>
        <item x="370"/>
        <item x="371"/>
        <item x="375"/>
        <item x="376"/>
        <item x="379"/>
        <item x="380"/>
        <item x="384"/>
        <item x="388"/>
        <item x="389"/>
        <item x="390"/>
        <item x="392"/>
        <item x="393"/>
        <item x="394"/>
        <item x="395"/>
        <item x="398"/>
        <item x="402"/>
        <item x="403"/>
        <item x="404"/>
        <item x="405"/>
        <item x="407"/>
        <item x="410"/>
        <item x="412"/>
        <item x="414"/>
        <item x="415"/>
        <item x="418"/>
        <item x="423"/>
        <item x="424"/>
        <item x="425"/>
        <item x="426"/>
        <item x="430"/>
        <item x="431"/>
        <item x="432"/>
        <item x="433"/>
        <item x="436"/>
        <item x="437"/>
        <item x="440"/>
        <item x="441"/>
        <item x="443"/>
        <item x="445"/>
        <item x="448"/>
        <item x="449"/>
        <item x="451"/>
        <item x="452"/>
        <item x="455"/>
        <item x="456"/>
        <item x="457"/>
        <item x="458"/>
        <item x="459"/>
        <item x="462"/>
        <item x="465"/>
        <item x="466"/>
        <item x="467"/>
        <item x="469"/>
        <item x="470"/>
        <item x="471"/>
        <item x="472"/>
        <item x="473"/>
        <item x="474"/>
        <item x="476"/>
        <item x="478"/>
        <item x="479"/>
        <item x="482"/>
        <item x="483"/>
        <item x="484"/>
        <item x="488"/>
        <item x="489"/>
        <item x="490"/>
        <item x="494"/>
        <item x="495"/>
        <item x="497"/>
        <item x="499"/>
        <item x="500"/>
        <item x="501"/>
        <item x="502"/>
        <item x="503"/>
        <item x="505"/>
        <item x="506"/>
        <item x="508"/>
        <item x="510"/>
        <item x="511"/>
        <item x="514"/>
        <item x="516"/>
        <item x="520"/>
        <item x="523"/>
        <item x="524"/>
        <item x="525"/>
        <item x="528"/>
        <item x="529"/>
        <item x="531"/>
        <item x="533"/>
        <item x="535"/>
        <item x="537"/>
        <item x="538"/>
        <item x="540"/>
        <item x="542"/>
        <item x="543"/>
        <item x="545"/>
        <item x="547"/>
        <item x="548"/>
        <item x="550"/>
        <item x="551"/>
        <item x="554"/>
        <item x="556"/>
        <item x="557"/>
        <item x="560"/>
        <item x="562"/>
        <item x="563"/>
        <item x="564"/>
        <item x="566"/>
        <item x="567"/>
        <item x="568"/>
        <item x="572"/>
        <item x="574"/>
        <item x="576"/>
        <item x="578"/>
        <item x="579"/>
        <item x="582"/>
        <item x="583"/>
        <item x="584"/>
        <item x="589"/>
        <item x="590"/>
        <item x="591"/>
        <item x="592"/>
        <item x="594"/>
        <item x="596"/>
        <item x="598"/>
        <item x="599"/>
        <item x="601"/>
        <item x="602"/>
        <item x="608"/>
        <item x="610"/>
        <item x="613"/>
        <item x="614"/>
        <item x="615"/>
        <item x="616"/>
        <item x="617"/>
        <item x="618"/>
        <item x="619"/>
        <item x="620"/>
        <item x="621"/>
        <item x="623"/>
        <item x="624"/>
        <item x="625"/>
        <item x="630"/>
        <item x="631"/>
        <item x="635"/>
        <item x="636"/>
        <item x="637"/>
        <item x="638"/>
        <item x="639"/>
        <item x="642"/>
        <item x="643"/>
        <item x="645"/>
        <item x="646"/>
        <item x="648"/>
        <item x="650"/>
        <item x="656"/>
        <item x="661"/>
        <item x="662"/>
        <item x="663"/>
        <item x="664"/>
        <item x="666"/>
        <item x="668"/>
        <item x="669"/>
        <item x="671"/>
        <item x="672"/>
        <item x="674"/>
        <item x="677"/>
        <item x="678"/>
        <item x="680"/>
        <item x="681"/>
        <item x="686"/>
        <item x="689"/>
        <item x="690"/>
        <item x="691"/>
        <item x="695"/>
        <item x="698"/>
        <item x="699"/>
        <item x="700"/>
        <item x="701"/>
        <item x="703"/>
        <item x="704"/>
        <item x="705"/>
        <item x="706"/>
        <item x="710"/>
        <item x="712"/>
        <item x="718"/>
        <item x="720"/>
        <item x="722"/>
        <item x="724"/>
        <item x="726"/>
        <item x="727"/>
        <item x="728"/>
        <item x="731"/>
        <item x="732"/>
        <item x="733"/>
        <item x="734"/>
        <item x="735"/>
        <item x="736"/>
        <item x="737"/>
        <item x="739"/>
        <item x="740"/>
        <item x="742"/>
        <item x="745"/>
        <item x="747"/>
        <item x="748"/>
        <item x="749"/>
        <item x="752"/>
        <item x="753"/>
        <item x="756"/>
        <item x="758"/>
        <item x="759"/>
        <item x="760"/>
        <item x="762"/>
        <item x="766"/>
        <item x="767"/>
        <item x="769"/>
        <item x="770"/>
        <item x="771"/>
        <item x="775"/>
        <item x="777"/>
        <item x="778"/>
        <item x="779"/>
        <item x="780"/>
        <item x="781"/>
        <item x="783"/>
        <item x="785"/>
        <item x="787"/>
        <item x="788"/>
        <item x="790"/>
        <item x="791"/>
        <item x="793"/>
        <item x="795"/>
        <item x="796"/>
        <item x="797"/>
        <item x="799"/>
        <item x="800"/>
        <item x="803"/>
        <item x="806"/>
        <item x="810"/>
        <item x="811"/>
        <item x="812"/>
        <item x="815"/>
        <item x="816"/>
        <item x="818"/>
        <item x="819"/>
        <item x="821"/>
        <item x="822"/>
        <item x="827"/>
        <item x="829"/>
        <item x="833"/>
        <item x="834"/>
        <item x="836"/>
        <item x="839"/>
        <item x="842"/>
        <item x="845"/>
        <item x="846"/>
        <item x="849"/>
        <item x="850"/>
        <item x="851"/>
        <item x="852"/>
        <item x="855"/>
        <item x="856"/>
        <item x="857"/>
        <item x="858"/>
        <item x="859"/>
        <item x="860"/>
        <item x="867"/>
        <item x="871"/>
        <item x="872"/>
        <item x="875"/>
        <item x="876"/>
        <item x="878"/>
        <item x="880"/>
        <item x="881"/>
        <item x="885"/>
        <item x="887"/>
        <item x="890"/>
        <item x="891"/>
        <item x="893"/>
        <item x="894"/>
        <item x="895"/>
        <item x="896"/>
        <item x="898"/>
        <item x="4"/>
        <item x="6"/>
        <item x="7"/>
        <item x="9"/>
        <item x="10"/>
        <item x="13"/>
        <item x="18"/>
        <item x="20"/>
        <item x="21"/>
        <item x="22"/>
        <item x="23"/>
        <item x="27"/>
        <item x="29"/>
        <item x="31"/>
        <item x="34"/>
        <item x="37"/>
        <item x="42"/>
        <item x="48"/>
        <item x="50"/>
        <item x="53"/>
        <item x="54"/>
        <item x="55"/>
        <item x="56"/>
        <item x="66"/>
        <item x="67"/>
        <item x="70"/>
        <item x="71"/>
        <item x="73"/>
        <item x="74"/>
        <item x="75"/>
        <item x="77"/>
        <item x="78"/>
        <item x="79"/>
        <item x="81"/>
        <item x="90"/>
        <item x="91"/>
        <item x="92"/>
        <item x="95"/>
        <item x="97"/>
        <item x="99"/>
        <item x="100"/>
        <item x="102"/>
        <item x="103"/>
        <item x="104"/>
        <item x="109"/>
        <item x="111"/>
        <item x="116"/>
        <item x="121"/>
        <item x="125"/>
        <item x="126"/>
        <item x="127"/>
        <item x="131"/>
        <item x="134"/>
        <item x="135"/>
        <item x="136"/>
        <item x="137"/>
        <item x="139"/>
        <item x="145"/>
        <item x="146"/>
        <item x="148"/>
        <item x="153"/>
        <item x="155"/>
        <item x="156"/>
        <item x="159"/>
        <item x="160"/>
        <item x="161"/>
        <item x="163"/>
        <item x="164"/>
        <item x="166"/>
        <item x="167"/>
        <item x="168"/>
        <item x="169"/>
        <item x="170"/>
        <item x="171"/>
        <item x="172"/>
        <item x="174"/>
        <item x="176"/>
        <item x="181"/>
        <item x="183"/>
        <item x="187"/>
        <item x="188"/>
        <item x="189"/>
        <item x="190"/>
        <item x="194"/>
        <item x="195"/>
        <item x="197"/>
        <item x="200"/>
        <item x="201"/>
        <item x="202"/>
        <item x="204"/>
        <item x="205"/>
        <item x="206"/>
        <item x="208"/>
        <item x="209"/>
        <item x="216"/>
        <item x="217"/>
        <item x="218"/>
        <item x="221"/>
        <item x="222"/>
        <item x="223"/>
        <item x="224"/>
        <item x="226"/>
        <item x="229"/>
        <item x="232"/>
        <item x="241"/>
        <item x="242"/>
        <item x="243"/>
        <item x="249"/>
        <item x="251"/>
        <item x="252"/>
        <item x="254"/>
        <item x="255"/>
        <item x="257"/>
        <item x="260"/>
        <item x="261"/>
        <item x="262"/>
        <item x="263"/>
        <item x="266"/>
        <item x="267"/>
        <item x="268"/>
        <item x="269"/>
        <item x="273"/>
        <item x="277"/>
        <item x="278"/>
        <item x="281"/>
        <item x="283"/>
        <item x="285"/>
        <item x="289"/>
        <item x="290"/>
        <item x="292"/>
        <item x="294"/>
        <item x="295"/>
        <item x="296"/>
        <item x="298"/>
        <item x="301"/>
        <item x="302"/>
        <item x="306"/>
        <item x="307"/>
        <item x="308"/>
        <item x="313"/>
        <item x="314"/>
        <item x="317"/>
        <item x="324"/>
        <item x="325"/>
        <item x="326"/>
        <item x="328"/>
        <item x="329"/>
        <item x="332"/>
        <item x="333"/>
        <item x="335"/>
        <item x="339"/>
        <item x="341"/>
        <item x="342"/>
        <item x="343"/>
        <item x="346"/>
        <item x="349"/>
        <item x="351"/>
        <item x="352"/>
        <item x="353"/>
        <item x="356"/>
        <item x="357"/>
        <item x="358"/>
        <item x="361"/>
        <item x="363"/>
        <item x="364"/>
        <item x="366"/>
        <item x="368"/>
        <item x="369"/>
        <item x="372"/>
        <item x="373"/>
        <item x="374"/>
        <item x="377"/>
        <item x="378"/>
        <item x="381"/>
        <item x="382"/>
        <item x="383"/>
        <item x="385"/>
        <item x="386"/>
        <item x="387"/>
        <item x="391"/>
        <item x="396"/>
        <item x="397"/>
        <item x="399"/>
        <item x="400"/>
        <item x="401"/>
        <item x="406"/>
        <item x="408"/>
        <item x="409"/>
        <item x="411"/>
        <item x="413"/>
        <item x="416"/>
        <item x="417"/>
        <item x="419"/>
        <item x="420"/>
        <item x="421"/>
        <item x="422"/>
        <item x="427"/>
        <item x="428"/>
        <item x="429"/>
        <item x="434"/>
        <item x="435"/>
        <item x="438"/>
        <item x="439"/>
        <item x="442"/>
        <item x="444"/>
        <item x="446"/>
        <item x="447"/>
        <item x="450"/>
        <item x="453"/>
        <item x="454"/>
        <item x="460"/>
        <item x="461"/>
        <item x="463"/>
        <item x="464"/>
        <item x="468"/>
        <item x="475"/>
        <item x="477"/>
        <item x="480"/>
        <item x="481"/>
        <item x="485"/>
        <item x="486"/>
        <item x="487"/>
        <item x="491"/>
        <item x="492"/>
        <item x="493"/>
        <item x="496"/>
        <item x="498"/>
        <item x="504"/>
        <item x="507"/>
        <item x="509"/>
        <item x="512"/>
        <item x="513"/>
        <item x="515"/>
        <item x="517"/>
        <item x="518"/>
        <item x="519"/>
        <item x="521"/>
        <item x="522"/>
        <item x="526"/>
        <item x="527"/>
        <item x="530"/>
        <item x="532"/>
        <item x="534"/>
        <item x="536"/>
        <item x="539"/>
        <item x="541"/>
        <item x="544"/>
        <item x="546"/>
        <item x="549"/>
        <item x="552"/>
        <item x="553"/>
        <item x="555"/>
        <item x="558"/>
        <item x="559"/>
        <item x="561"/>
        <item x="565"/>
        <item x="569"/>
        <item x="570"/>
        <item x="571"/>
        <item x="573"/>
        <item x="575"/>
        <item x="577"/>
        <item x="580"/>
        <item x="581"/>
        <item x="585"/>
        <item x="586"/>
        <item x="587"/>
        <item x="588"/>
        <item x="593"/>
        <item x="595"/>
        <item x="597"/>
        <item x="600"/>
        <item x="603"/>
        <item x="604"/>
        <item x="605"/>
        <item x="606"/>
        <item x="607"/>
        <item x="609"/>
        <item x="611"/>
        <item x="612"/>
        <item x="622"/>
        <item x="626"/>
        <item x="627"/>
        <item x="628"/>
        <item x="629"/>
        <item x="632"/>
        <item x="633"/>
        <item x="634"/>
        <item x="640"/>
        <item x="641"/>
        <item x="644"/>
        <item x="647"/>
        <item x="649"/>
        <item x="651"/>
        <item x="652"/>
        <item x="653"/>
        <item x="654"/>
        <item x="655"/>
        <item x="657"/>
        <item x="658"/>
        <item x="659"/>
        <item x="660"/>
        <item x="665"/>
        <item x="667"/>
        <item x="670"/>
        <item x="673"/>
        <item x="675"/>
        <item x="676"/>
        <item x="679"/>
        <item x="682"/>
        <item x="683"/>
        <item x="684"/>
        <item x="685"/>
        <item x="687"/>
        <item x="688"/>
        <item x="692"/>
        <item x="693"/>
        <item x="694"/>
        <item x="696"/>
        <item x="697"/>
        <item x="702"/>
        <item x="707"/>
        <item x="708"/>
        <item x="709"/>
        <item x="711"/>
        <item x="713"/>
        <item x="714"/>
        <item x="715"/>
        <item x="716"/>
        <item x="717"/>
        <item x="719"/>
        <item x="721"/>
        <item x="723"/>
        <item x="725"/>
        <item x="729"/>
        <item x="730"/>
        <item x="738"/>
        <item x="741"/>
        <item x="743"/>
        <item x="744"/>
        <item x="746"/>
        <item x="750"/>
        <item x="751"/>
        <item x="754"/>
        <item x="755"/>
        <item x="757"/>
        <item x="761"/>
        <item x="763"/>
        <item x="764"/>
        <item x="765"/>
        <item x="768"/>
        <item x="772"/>
        <item x="773"/>
        <item x="774"/>
        <item x="776"/>
        <item x="782"/>
        <item x="784"/>
        <item x="786"/>
        <item x="789"/>
        <item x="792"/>
        <item x="794"/>
        <item x="798"/>
        <item x="801"/>
        <item x="802"/>
        <item x="804"/>
        <item x="805"/>
        <item x="807"/>
        <item x="808"/>
        <item x="809"/>
        <item x="813"/>
        <item x="814"/>
        <item x="817"/>
        <item x="820"/>
        <item x="823"/>
        <item x="824"/>
        <item x="825"/>
        <item x="826"/>
        <item x="828"/>
        <item x="830"/>
        <item x="831"/>
        <item x="832"/>
        <item x="835"/>
        <item x="837"/>
        <item x="838"/>
        <item x="840"/>
        <item x="841"/>
        <item x="843"/>
        <item x="844"/>
        <item x="847"/>
        <item x="848"/>
        <item x="853"/>
        <item x="854"/>
        <item x="861"/>
        <item x="862"/>
        <item x="863"/>
        <item x="864"/>
        <item x="865"/>
        <item x="866"/>
        <item x="868"/>
        <item x="869"/>
        <item x="870"/>
        <item x="873"/>
        <item x="874"/>
        <item x="877"/>
        <item x="879"/>
        <item x="882"/>
        <item x="883"/>
        <item x="884"/>
        <item x="886"/>
        <item x="888"/>
        <item x="889"/>
        <item x="892"/>
        <item x="897"/>
        <item x="8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order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6042D7-5B3C-4C66-8295-7BB72B183771}" name="PivotTable5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8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0"/>
        <item x="2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profit_margin" fld="3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38B53-37E7-41F2-AB6E-4310421C614A}" name="PivotTable7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9" firstHeaderRow="1" firstDataRow="1" firstDataCol="1" rowPageCount="1" colPageCount="1"/>
  <pivotFields count="35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1"/>
        <item x="0"/>
        <item x="2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3" hier="-1"/>
  </pageFields>
  <dataFields count="1">
    <dataField name="Count of order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A16636-BE4B-4057-ADC0-62933E08C5F8}" name="PivotTable8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6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3">
        <item x="8"/>
        <item x="5"/>
        <item x="9"/>
        <item x="11"/>
        <item x="3"/>
        <item x="10"/>
        <item x="0"/>
        <item x="1"/>
        <item x="6"/>
        <item x="4"/>
        <item x="2"/>
        <item x="7"/>
        <item t="default"/>
      </items>
    </pivotField>
    <pivotField showAll="0"/>
    <pivotField showAll="0"/>
  </pivotFields>
  <rowFields count="1">
    <field x="3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calculated_sales" fld="2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7DE12-5714-4D8C-BDDD-937916D7385E}">
  <dimension ref="A3:C9"/>
  <sheetViews>
    <sheetView tabSelected="1" workbookViewId="0">
      <selection activeCell="A12" sqref="A12"/>
    </sheetView>
  </sheetViews>
  <sheetFormatPr defaultRowHeight="14"/>
  <cols>
    <col min="1" max="1" width="12.9140625" bestFit="1" customWidth="1"/>
    <col min="2" max="3" width="21.58203125" bestFit="1" customWidth="1"/>
  </cols>
  <sheetData>
    <row r="3" spans="1:3">
      <c r="A3" s="8" t="s">
        <v>4098</v>
      </c>
      <c r="B3" t="s">
        <v>4100</v>
      </c>
      <c r="C3" t="s">
        <v>4101</v>
      </c>
    </row>
    <row r="4" spans="1:3">
      <c r="A4" s="9" t="s">
        <v>50</v>
      </c>
      <c r="B4" s="10">
        <v>2197671.018850001</v>
      </c>
      <c r="C4" s="10">
        <v>677225.83885000006</v>
      </c>
    </row>
    <row r="5" spans="1:3">
      <c r="A5" s="9" t="s">
        <v>35</v>
      </c>
      <c r="B5" s="10">
        <v>2169931.5259199995</v>
      </c>
      <c r="C5" s="10">
        <v>647088.72591999988</v>
      </c>
    </row>
    <row r="6" spans="1:3">
      <c r="A6" s="9" t="s">
        <v>70</v>
      </c>
      <c r="B6" s="10">
        <v>2293080.4441150003</v>
      </c>
      <c r="C6" s="10">
        <v>639007.38411499991</v>
      </c>
    </row>
    <row r="7" spans="1:3">
      <c r="A7" s="9" t="s">
        <v>280</v>
      </c>
      <c r="B7" s="10">
        <v>297745.40720000002</v>
      </c>
      <c r="C7" s="10">
        <v>102754.25719999999</v>
      </c>
    </row>
    <row r="8" spans="1:3">
      <c r="A8" s="9" t="s">
        <v>81</v>
      </c>
      <c r="B8" s="10">
        <v>2123620.1682749996</v>
      </c>
      <c r="C8" s="10">
        <v>607415.50827499991</v>
      </c>
    </row>
    <row r="9" spans="1:3">
      <c r="A9" s="9" t="s">
        <v>4099</v>
      </c>
      <c r="B9" s="10">
        <v>9082048.5643600002</v>
      </c>
      <c r="C9" s="10">
        <v>2673491.7143599996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B143-7500-42CC-ACA6-A135E43DB141}">
  <dimension ref="A3:C20"/>
  <sheetViews>
    <sheetView topLeftCell="A2" workbookViewId="0">
      <selection activeCell="A3" sqref="A3"/>
    </sheetView>
  </sheetViews>
  <sheetFormatPr defaultRowHeight="14"/>
  <cols>
    <col min="1" max="1" width="15.33203125" bestFit="1" customWidth="1"/>
    <col min="2" max="3" width="21.58203125" bestFit="1" customWidth="1"/>
  </cols>
  <sheetData>
    <row r="3" spans="1:3">
      <c r="A3" s="8" t="s">
        <v>4098</v>
      </c>
      <c r="B3" t="s">
        <v>4100</v>
      </c>
      <c r="C3" t="s">
        <v>4101</v>
      </c>
    </row>
    <row r="4" spans="1:3">
      <c r="A4" s="9" t="s">
        <v>53</v>
      </c>
      <c r="B4" s="10">
        <v>3124666.3338750005</v>
      </c>
      <c r="C4" s="10">
        <v>917514.29387499997</v>
      </c>
    </row>
    <row r="5" spans="1:3">
      <c r="A5" s="11" t="s">
        <v>212</v>
      </c>
      <c r="B5" s="10">
        <v>674054.86400000018</v>
      </c>
      <c r="C5" s="10">
        <v>186706.91400000002</v>
      </c>
    </row>
    <row r="6" spans="1:3">
      <c r="A6" s="11" t="s">
        <v>84</v>
      </c>
      <c r="B6" s="10">
        <v>978726.42820000008</v>
      </c>
      <c r="C6" s="10">
        <v>289299.69819999998</v>
      </c>
    </row>
    <row r="7" spans="1:3">
      <c r="A7" s="11" t="s">
        <v>73</v>
      </c>
      <c r="B7" s="10">
        <v>791584.54017500009</v>
      </c>
      <c r="C7" s="10">
        <v>231343.97017499999</v>
      </c>
    </row>
    <row r="8" spans="1:3">
      <c r="A8" s="11" t="s">
        <v>54</v>
      </c>
      <c r="B8" s="10">
        <v>680300.50150000001</v>
      </c>
      <c r="C8" s="10">
        <v>210163.71150000003</v>
      </c>
    </row>
    <row r="9" spans="1:3">
      <c r="A9" s="9" t="s">
        <v>38</v>
      </c>
      <c r="B9" s="10">
        <v>2781597.1336599998</v>
      </c>
      <c r="C9" s="10">
        <v>802423.78365999984</v>
      </c>
    </row>
    <row r="10" spans="1:3">
      <c r="A10" s="11" t="s">
        <v>62</v>
      </c>
      <c r="B10" s="10">
        <v>576603.3730599999</v>
      </c>
      <c r="C10" s="10">
        <v>161117.46305999992</v>
      </c>
    </row>
    <row r="11" spans="1:3">
      <c r="A11" s="11" t="s">
        <v>206</v>
      </c>
      <c r="B11" s="10">
        <v>557129.1041</v>
      </c>
      <c r="C11" s="10">
        <v>168301.87409999996</v>
      </c>
    </row>
    <row r="12" spans="1:3">
      <c r="A12" s="11" t="s">
        <v>117</v>
      </c>
      <c r="B12" s="10">
        <v>348071.6118999999</v>
      </c>
      <c r="C12" s="10">
        <v>112674.03189999997</v>
      </c>
    </row>
    <row r="13" spans="1:3">
      <c r="A13" s="11" t="s">
        <v>39</v>
      </c>
      <c r="B13" s="10">
        <v>619469.64280000003</v>
      </c>
      <c r="C13" s="10">
        <v>179549.00279999999</v>
      </c>
    </row>
    <row r="14" spans="1:3">
      <c r="A14" s="11" t="s">
        <v>164</v>
      </c>
      <c r="B14" s="10">
        <v>680323.40179999988</v>
      </c>
      <c r="C14" s="10">
        <v>180781.41179999997</v>
      </c>
    </row>
    <row r="15" spans="1:3">
      <c r="A15" s="9" t="s">
        <v>94</v>
      </c>
      <c r="B15" s="10">
        <v>3175785.0968249999</v>
      </c>
      <c r="C15" s="10">
        <v>953553.63682500017</v>
      </c>
    </row>
    <row r="16" spans="1:3">
      <c r="A16" s="11" t="s">
        <v>95</v>
      </c>
      <c r="B16" s="10">
        <v>814006.58799999987</v>
      </c>
      <c r="C16" s="10">
        <v>240329.00800000003</v>
      </c>
    </row>
    <row r="17" spans="1:3">
      <c r="A17" s="11" t="s">
        <v>102</v>
      </c>
      <c r="B17" s="10">
        <v>899882.66466000013</v>
      </c>
      <c r="C17" s="10">
        <v>268480.33466000005</v>
      </c>
    </row>
    <row r="18" spans="1:3">
      <c r="A18" s="11" t="s">
        <v>391</v>
      </c>
      <c r="B18" s="10">
        <v>660742.36009999982</v>
      </c>
      <c r="C18" s="10">
        <v>211216.48010000002</v>
      </c>
    </row>
    <row r="19" spans="1:3">
      <c r="A19" s="11" t="s">
        <v>231</v>
      </c>
      <c r="B19" s="10">
        <v>801153.48406499997</v>
      </c>
      <c r="C19" s="10">
        <v>233527.81406499998</v>
      </c>
    </row>
    <row r="20" spans="1:3">
      <c r="A20" s="9" t="s">
        <v>4099</v>
      </c>
      <c r="B20" s="10">
        <v>9082048.5643600002</v>
      </c>
      <c r="C20" s="10">
        <v>2673491.7143599996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AE19D-7D1E-456C-B6FF-AB448DCEE826}">
  <dimension ref="A3:B9"/>
  <sheetViews>
    <sheetView workbookViewId="0">
      <selection activeCell="A3" sqref="A3"/>
    </sheetView>
  </sheetViews>
  <sheetFormatPr defaultRowHeight="14"/>
  <cols>
    <col min="1" max="1" width="13.08203125" bestFit="1" customWidth="1"/>
    <col min="2" max="2" width="15.6640625" bestFit="1" customWidth="1"/>
  </cols>
  <sheetData>
    <row r="3" spans="1:2">
      <c r="A3" s="8" t="s">
        <v>4098</v>
      </c>
      <c r="B3" t="s">
        <v>4102</v>
      </c>
    </row>
    <row r="4" spans="1:2">
      <c r="A4" s="9" t="s">
        <v>64</v>
      </c>
      <c r="B4" s="10">
        <v>223</v>
      </c>
    </row>
    <row r="5" spans="1:2">
      <c r="A5" s="9" t="s">
        <v>56</v>
      </c>
      <c r="B5" s="10">
        <v>204</v>
      </c>
    </row>
    <row r="6" spans="1:2">
      <c r="A6" s="9" t="s">
        <v>41</v>
      </c>
      <c r="B6" s="10">
        <v>222</v>
      </c>
    </row>
    <row r="7" spans="1:2">
      <c r="A7" s="9" t="s">
        <v>75</v>
      </c>
      <c r="B7" s="10">
        <v>242</v>
      </c>
    </row>
    <row r="8" spans="1:2">
      <c r="A8" s="9" t="s">
        <v>280</v>
      </c>
      <c r="B8" s="10">
        <v>21</v>
      </c>
    </row>
    <row r="9" spans="1:2">
      <c r="A9" s="9" t="s">
        <v>4099</v>
      </c>
      <c r="B9" s="10">
        <v>912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8BCDC-6452-4D18-BCFA-967D09628FEA}">
  <dimension ref="A3:B8"/>
  <sheetViews>
    <sheetView workbookViewId="0">
      <selection activeCell="B3" sqref="B3"/>
    </sheetView>
  </sheetViews>
  <sheetFormatPr defaultRowHeight="14"/>
  <cols>
    <col min="1" max="1" width="13" bestFit="1" customWidth="1"/>
    <col min="2" max="2" width="18.75" bestFit="1" customWidth="1"/>
  </cols>
  <sheetData>
    <row r="3" spans="1:2">
      <c r="A3" s="8" t="s">
        <v>4098</v>
      </c>
      <c r="B3" t="s">
        <v>4103</v>
      </c>
    </row>
    <row r="4" spans="1:2">
      <c r="A4" s="9" t="s">
        <v>34</v>
      </c>
      <c r="B4" s="10">
        <v>66.532876653207197</v>
      </c>
    </row>
    <row r="5" spans="1:2">
      <c r="A5" s="9" t="s">
        <v>116</v>
      </c>
      <c r="B5" s="10">
        <v>64.826808625282595</v>
      </c>
    </row>
    <row r="6" spans="1:2">
      <c r="A6" s="9" t="s">
        <v>123</v>
      </c>
      <c r="B6" s="10">
        <v>69.624216976404995</v>
      </c>
    </row>
    <row r="7" spans="1:2">
      <c r="A7" s="9" t="s">
        <v>49</v>
      </c>
      <c r="B7" s="10">
        <v>71.327151644621466</v>
      </c>
    </row>
    <row r="8" spans="1:2">
      <c r="A8" s="9" t="s">
        <v>4099</v>
      </c>
      <c r="B8" s="10">
        <v>272.31105389951625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57104-6057-4C14-A287-FF5551B733B1}">
  <dimension ref="A1:B9"/>
  <sheetViews>
    <sheetView workbookViewId="0">
      <selection activeCell="A3" sqref="A3"/>
    </sheetView>
  </sheetViews>
  <sheetFormatPr defaultRowHeight="14"/>
  <cols>
    <col min="1" max="1" width="12.9140625" bestFit="1" customWidth="1"/>
    <col min="2" max="2" width="15.6640625" bestFit="1" customWidth="1"/>
    <col min="3" max="3" width="9.9140625" bestFit="1" customWidth="1"/>
    <col min="4" max="4" width="8.58203125" bestFit="1" customWidth="1"/>
    <col min="5" max="5" width="10.83203125" bestFit="1" customWidth="1"/>
  </cols>
  <sheetData>
    <row r="1" spans="1:2">
      <c r="A1" s="8" t="s">
        <v>23</v>
      </c>
      <c r="B1" t="s">
        <v>4104</v>
      </c>
    </row>
    <row r="3" spans="1:2">
      <c r="A3" s="8" t="s">
        <v>4098</v>
      </c>
      <c r="B3" t="s">
        <v>4102</v>
      </c>
    </row>
    <row r="4" spans="1:2">
      <c r="A4" s="9" t="s">
        <v>50</v>
      </c>
      <c r="B4" s="10">
        <v>224</v>
      </c>
    </row>
    <row r="5" spans="1:2">
      <c r="A5" s="9" t="s">
        <v>35</v>
      </c>
      <c r="B5" s="10">
        <v>214</v>
      </c>
    </row>
    <row r="6" spans="1:2">
      <c r="A6" s="9" t="s">
        <v>70</v>
      </c>
      <c r="B6" s="10">
        <v>225</v>
      </c>
    </row>
    <row r="7" spans="1:2">
      <c r="A7" s="9" t="s">
        <v>280</v>
      </c>
      <c r="B7" s="10">
        <v>25</v>
      </c>
    </row>
    <row r="8" spans="1:2">
      <c r="A8" s="9" t="s">
        <v>81</v>
      </c>
      <c r="B8" s="10">
        <v>224</v>
      </c>
    </row>
    <row r="9" spans="1:2">
      <c r="A9" s="9" t="s">
        <v>4099</v>
      </c>
      <c r="B9" s="10">
        <v>912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13AB9-8F39-4E72-9CDF-B54D9D9BD284}">
  <dimension ref="A3:B16"/>
  <sheetViews>
    <sheetView workbookViewId="0">
      <selection activeCell="A3" sqref="A3"/>
    </sheetView>
  </sheetViews>
  <sheetFormatPr defaultRowHeight="14"/>
  <cols>
    <col min="1" max="1" width="12.9140625" bestFit="1" customWidth="1"/>
    <col min="2" max="2" width="21.58203125" bestFit="1" customWidth="1"/>
  </cols>
  <sheetData>
    <row r="3" spans="1:2">
      <c r="A3" s="8" t="s">
        <v>4098</v>
      </c>
      <c r="B3" t="s">
        <v>4100</v>
      </c>
    </row>
    <row r="4" spans="1:2">
      <c r="A4" s="9" t="s">
        <v>4105</v>
      </c>
      <c r="B4" s="10">
        <v>720914.91382000025</v>
      </c>
    </row>
    <row r="5" spans="1:2">
      <c r="A5" s="9" t="s">
        <v>4106</v>
      </c>
      <c r="B5" s="10">
        <v>1165316.2236499996</v>
      </c>
    </row>
    <row r="6" spans="1:2">
      <c r="A6" s="9" t="s">
        <v>4107</v>
      </c>
      <c r="B6" s="10">
        <v>836191.2764999998</v>
      </c>
    </row>
    <row r="7" spans="1:2">
      <c r="A7" s="9" t="s">
        <v>4108</v>
      </c>
      <c r="B7" s="10">
        <v>791811.18756000011</v>
      </c>
    </row>
    <row r="8" spans="1:2">
      <c r="A8" s="9" t="s">
        <v>4109</v>
      </c>
      <c r="B8" s="10">
        <v>785747.97326500015</v>
      </c>
    </row>
    <row r="9" spans="1:2">
      <c r="A9" s="9" t="s">
        <v>4110</v>
      </c>
      <c r="B9" s="10">
        <v>846124.07524999999</v>
      </c>
    </row>
    <row r="10" spans="1:2">
      <c r="A10" s="9" t="s">
        <v>4111</v>
      </c>
      <c r="B10" s="10">
        <v>840148.69867499976</v>
      </c>
    </row>
    <row r="11" spans="1:2">
      <c r="A11" s="9" t="s">
        <v>4112</v>
      </c>
      <c r="B11" s="10">
        <v>905292.77504000044</v>
      </c>
    </row>
    <row r="12" spans="1:2">
      <c r="A12" s="9" t="s">
        <v>4113</v>
      </c>
      <c r="B12" s="10">
        <v>839054.35229999991</v>
      </c>
    </row>
    <row r="13" spans="1:2">
      <c r="A13" s="9" t="s">
        <v>4114</v>
      </c>
      <c r="B13" s="10">
        <v>655938.02</v>
      </c>
    </row>
    <row r="14" spans="1:2">
      <c r="A14" s="9" t="s">
        <v>4115</v>
      </c>
      <c r="B14" s="10">
        <v>325409.31250000006</v>
      </c>
    </row>
    <row r="15" spans="1:2">
      <c r="A15" s="9" t="s">
        <v>4116</v>
      </c>
      <c r="B15" s="10">
        <v>370099.75580000004</v>
      </c>
    </row>
    <row r="16" spans="1:2">
      <c r="A16" s="9" t="s">
        <v>4099</v>
      </c>
      <c r="B16" s="10">
        <v>9082048.5643600002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I1000"/>
  <sheetViews>
    <sheetView zoomScale="72" workbookViewId="0">
      <selection activeCell="AK35" sqref="AK35"/>
    </sheetView>
  </sheetViews>
  <sheetFormatPr defaultColWidth="12.6640625" defaultRowHeight="15" customHeight="1"/>
  <cols>
    <col min="1" max="24" width="16" customWidth="1"/>
    <col min="25" max="25" width="16.25" customWidth="1"/>
    <col min="26" max="26" width="16.5" customWidth="1"/>
    <col min="27" max="27" width="12" customWidth="1"/>
    <col min="28" max="28" width="22.4140625" customWidth="1"/>
    <col min="29" max="29" width="18.58203125" customWidth="1"/>
    <col min="30" max="30" width="14.58203125" customWidth="1"/>
    <col min="31" max="31" width="18.25" customWidth="1"/>
    <col min="35" max="35" width="15.25" customWidth="1"/>
  </cols>
  <sheetData>
    <row r="1" spans="1:35" ht="27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7" t="s">
        <v>24</v>
      </c>
      <c r="Z1" s="7" t="s">
        <v>25</v>
      </c>
      <c r="AA1" s="7" t="s">
        <v>26</v>
      </c>
      <c r="AB1" s="7" t="s">
        <v>27</v>
      </c>
      <c r="AC1" s="7" t="s">
        <v>28</v>
      </c>
      <c r="AD1" s="7" t="s">
        <v>4092</v>
      </c>
      <c r="AE1" s="7" t="s">
        <v>4093</v>
      </c>
      <c r="AF1" s="7" t="s">
        <v>4094</v>
      </c>
      <c r="AG1" s="7" t="s">
        <v>4095</v>
      </c>
      <c r="AH1" s="7" t="s">
        <v>4096</v>
      </c>
      <c r="AI1" s="7" t="s">
        <v>4097</v>
      </c>
    </row>
    <row r="2" spans="1:35" ht="14">
      <c r="A2" s="3" t="s">
        <v>29</v>
      </c>
      <c r="B2" s="3" t="s">
        <v>30</v>
      </c>
      <c r="C2" s="3" t="s">
        <v>31</v>
      </c>
      <c r="D2" s="3" t="str">
        <f t="shared" ref="D2:D256" si="0">IFERROR(TEXT(DATEVALUE(C2),"dd-mmm-yyyy"),IFERROR(TEXT(DATE(VALUE(RIGHT(C2,4)),VALUE(LEFT(C2,2)),VALUE(MID(C2,4,2))),"dd-mmm-yyyy"),IFERROR(TEXT(DATE(VALUE(LEFT(C2,4)),VALUE(MID(C2,6,2)),VALUE(RIGHT(C2,2))),"dd-mmm-yyyy"),C2)))</f>
        <v>27-Jul-2024</v>
      </c>
      <c r="E2" s="3" t="str">
        <f t="shared" ref="E2:E256" si="1">IFERROR(TEXT(DATEVALUE(B2),"dd-mmm-yyyy"),IFERROR(TEXT(DATE(VALUE(RIGHT(B2,4)),VALUE(LEFT(B2,2)),VALUE(MID(B2,4,2))),"dd-mmm-yyyy"),IFERROR(TEXT(DATE(VALUE(LEFT(B2,4)),VALUE(MID(B2,6,2)),VALUE(RIGHT(B2,2))),"dd-mmm-yyyy"),B2)))</f>
        <v>21-Jul-2024</v>
      </c>
      <c r="F2" s="3">
        <f t="shared" ref="F2:F256" si="2">D2-E2</f>
        <v>6</v>
      </c>
      <c r="G2" s="3" t="s">
        <v>32</v>
      </c>
      <c r="H2" s="3" t="s">
        <v>33</v>
      </c>
      <c r="I2" s="3" t="s">
        <v>34</v>
      </c>
      <c r="J2" s="3" t="s">
        <v>35</v>
      </c>
      <c r="K2" s="3" t="s">
        <v>36</v>
      </c>
      <c r="L2" s="3" t="s">
        <v>37</v>
      </c>
      <c r="M2" s="3" t="s">
        <v>38</v>
      </c>
      <c r="N2" s="3" t="s">
        <v>39</v>
      </c>
      <c r="O2" s="3" t="s">
        <v>40</v>
      </c>
      <c r="P2" s="3" t="s">
        <v>41</v>
      </c>
      <c r="Q2" s="3">
        <v>8</v>
      </c>
      <c r="R2" s="3">
        <v>2976.45</v>
      </c>
      <c r="S2" s="3">
        <v>0.2</v>
      </c>
      <c r="T2" s="3">
        <v>19049.28</v>
      </c>
      <c r="U2" s="3">
        <v>15841.89</v>
      </c>
      <c r="V2" s="3">
        <v>3207.39</v>
      </c>
      <c r="W2" s="3" t="s">
        <v>42</v>
      </c>
      <c r="X2" s="3" t="s">
        <v>43</v>
      </c>
      <c r="Y2" s="2" t="str">
        <f t="shared" ref="Y2:Y256" si="3">IF(COUNTIF($A$2:$A$933,A2)&gt;1,"Duplicate Order ID","Unique")</f>
        <v>Unique</v>
      </c>
      <c r="AA2" s="2" t="str">
        <f t="shared" ref="AA2:AA256" si="4">IF(S2&lt;0,"Invalid",IF(S2&gt;0.5,"Invalid","Clean"))</f>
        <v>Clean</v>
      </c>
      <c r="AB2" s="2" t="str">
        <f t="shared" ref="AB2:AB256" si="5">IF(F2&lt;0,"Invalid","valid")</f>
        <v>valid</v>
      </c>
      <c r="AC2">
        <f>IF(S2="",0,IF(S2&gt;1,S2/100,S2))</f>
        <v>0.2</v>
      </c>
      <c r="AD2">
        <f>Q2*R2*(1-AC2)</f>
        <v>19049.28</v>
      </c>
      <c r="AE2">
        <f>AD2-U2</f>
        <v>3207.3899999999994</v>
      </c>
      <c r="AF2">
        <f>AE2/AD2</f>
        <v>0.16837329284886357</v>
      </c>
      <c r="AG2" t="str">
        <f>TEXT(E2,"mmmm")</f>
        <v>July</v>
      </c>
      <c r="AH2">
        <f>YEAR(E2)</f>
        <v>2024</v>
      </c>
      <c r="AI2" t="str">
        <f>IF(OR(AC2&lt;0,AC2&gt;0.5,F2="Invalid Shipping Record"),"Invalid",
IF(OR(X2="Cancelled",W2="Failed"),"Warning","Clean"))</f>
        <v>Clean</v>
      </c>
    </row>
    <row r="3" spans="1:35" ht="14">
      <c r="A3" s="3" t="s">
        <v>44</v>
      </c>
      <c r="B3" s="3" t="s">
        <v>45</v>
      </c>
      <c r="C3" s="3" t="s">
        <v>46</v>
      </c>
      <c r="D3" s="3" t="str">
        <f t="shared" si="0"/>
        <v>05-Sep-2024</v>
      </c>
      <c r="E3" s="3" t="str">
        <f t="shared" si="1"/>
        <v>31-Aug-2024</v>
      </c>
      <c r="F3" s="3">
        <f t="shared" si="2"/>
        <v>5</v>
      </c>
      <c r="G3" s="3" t="s">
        <v>47</v>
      </c>
      <c r="H3" s="3" t="s">
        <v>48</v>
      </c>
      <c r="I3" s="3" t="s">
        <v>49</v>
      </c>
      <c r="J3" s="3" t="s">
        <v>50</v>
      </c>
      <c r="K3" s="3" t="s">
        <v>51</v>
      </c>
      <c r="L3" s="3" t="s">
        <v>52</v>
      </c>
      <c r="M3" s="3" t="s">
        <v>53</v>
      </c>
      <c r="N3" s="3" t="s">
        <v>54</v>
      </c>
      <c r="O3" s="3" t="s">
        <v>55</v>
      </c>
      <c r="P3" s="3" t="s">
        <v>56</v>
      </c>
      <c r="Q3" s="3">
        <v>3</v>
      </c>
      <c r="R3" s="3">
        <v>2437.5</v>
      </c>
      <c r="S3" s="3">
        <v>0</v>
      </c>
      <c r="T3" s="3">
        <v>7312.5</v>
      </c>
      <c r="U3" s="3">
        <v>4904.7299999999996</v>
      </c>
      <c r="V3" s="3">
        <v>2407.77</v>
      </c>
      <c r="W3" s="3" t="s">
        <v>42</v>
      </c>
      <c r="X3" s="3" t="s">
        <v>43</v>
      </c>
      <c r="Y3" s="2" t="str">
        <f t="shared" si="3"/>
        <v>Unique</v>
      </c>
      <c r="AA3" s="2" t="str">
        <f t="shared" si="4"/>
        <v>Clean</v>
      </c>
      <c r="AB3" s="2" t="str">
        <f t="shared" si="5"/>
        <v>valid</v>
      </c>
      <c r="AC3">
        <f t="shared" ref="AC3:AC66" si="6">IF(S3="",0,IF(S3&gt;1,S3/100,S3))</f>
        <v>0</v>
      </c>
      <c r="AD3">
        <f t="shared" ref="AD3:AD66" si="7">Q3*R3*(1-AC3)</f>
        <v>7312.5</v>
      </c>
      <c r="AE3">
        <f t="shared" ref="AE3:AE66" si="8">AD3-U3</f>
        <v>2407.7700000000004</v>
      </c>
      <c r="AF3">
        <f t="shared" ref="AF3:AF66" si="9">AE3/AD3</f>
        <v>0.32926769230769237</v>
      </c>
      <c r="AG3" t="str">
        <f t="shared" ref="AG3:AG66" si="10">TEXT(E3,"mmmm")</f>
        <v>August</v>
      </c>
      <c r="AH3">
        <f t="shared" ref="AH3:AH66" si="11">YEAR(E3)</f>
        <v>2024</v>
      </c>
      <c r="AI3" t="str">
        <f t="shared" ref="AI3:AI66" si="12">IF(OR(AC3&lt;0,AC3&gt;0.5,F3="Invalid Shipping Record"),"Invalid",
IF(OR(X3="Cancelled",W3="Failed"),"Warning","Clean"))</f>
        <v>Clean</v>
      </c>
    </row>
    <row r="4" spans="1:35" ht="14">
      <c r="A4" s="3" t="s">
        <v>57</v>
      </c>
      <c r="B4" s="3" t="s">
        <v>58</v>
      </c>
      <c r="C4" s="3" t="s">
        <v>59</v>
      </c>
      <c r="D4" s="3" t="str">
        <f t="shared" si="0"/>
        <v>15-Jun-2024</v>
      </c>
      <c r="E4" s="3" t="str">
        <f t="shared" si="1"/>
        <v>06-Aug-2024</v>
      </c>
      <c r="F4" s="3">
        <f t="shared" si="2"/>
        <v>-52</v>
      </c>
      <c r="G4" s="3" t="s">
        <v>60</v>
      </c>
      <c r="H4" s="3" t="s">
        <v>61</v>
      </c>
      <c r="I4" s="3" t="s">
        <v>34</v>
      </c>
      <c r="J4" s="3" t="s">
        <v>50</v>
      </c>
      <c r="K4" s="3" t="s">
        <v>51</v>
      </c>
      <c r="L4" s="3" t="s">
        <v>52</v>
      </c>
      <c r="M4" s="3" t="s">
        <v>38</v>
      </c>
      <c r="N4" s="3" t="s">
        <v>62</v>
      </c>
      <c r="O4" s="3" t="s">
        <v>63</v>
      </c>
      <c r="P4" s="3" t="s">
        <v>64</v>
      </c>
      <c r="Q4" s="3">
        <v>4</v>
      </c>
      <c r="R4" s="3">
        <v>1065.43</v>
      </c>
      <c r="S4" s="3">
        <v>0.55000000000000004</v>
      </c>
      <c r="T4" s="3">
        <v>4261.72</v>
      </c>
      <c r="U4" s="3">
        <v>2465.69</v>
      </c>
      <c r="V4" s="3">
        <v>1796.03</v>
      </c>
      <c r="W4" s="3" t="s">
        <v>42</v>
      </c>
      <c r="X4" s="3" t="s">
        <v>43</v>
      </c>
      <c r="Y4" s="2" t="str">
        <f t="shared" si="3"/>
        <v>Unique</v>
      </c>
      <c r="AA4" s="2" t="str">
        <f t="shared" si="4"/>
        <v>Invalid</v>
      </c>
      <c r="AB4" s="2" t="str">
        <f t="shared" si="5"/>
        <v>Invalid</v>
      </c>
      <c r="AC4">
        <f t="shared" si="6"/>
        <v>0.55000000000000004</v>
      </c>
      <c r="AD4">
        <f t="shared" si="7"/>
        <v>1917.7739999999999</v>
      </c>
      <c r="AE4">
        <f t="shared" si="8"/>
        <v>-547.91600000000017</v>
      </c>
      <c r="AF4">
        <f t="shared" si="9"/>
        <v>-0.28570415492127865</v>
      </c>
      <c r="AG4" t="str">
        <f t="shared" si="10"/>
        <v>August</v>
      </c>
      <c r="AH4">
        <f t="shared" si="11"/>
        <v>2024</v>
      </c>
      <c r="AI4" t="str">
        <f t="shared" si="12"/>
        <v>Invalid</v>
      </c>
    </row>
    <row r="5" spans="1:35" ht="14">
      <c r="A5" s="3" t="s">
        <v>65</v>
      </c>
      <c r="B5" s="3" t="s">
        <v>66</v>
      </c>
      <c r="C5" s="3" t="s">
        <v>67</v>
      </c>
      <c r="D5" s="3" t="str">
        <f t="shared" si="0"/>
        <v>29-Nov-2024</v>
      </c>
      <c r="E5" s="3" t="str">
        <f t="shared" si="1"/>
        <v>28-Nov-2024</v>
      </c>
      <c r="F5" s="3">
        <f t="shared" si="2"/>
        <v>1</v>
      </c>
      <c r="G5" s="3" t="s">
        <v>68</v>
      </c>
      <c r="H5" s="3" t="s">
        <v>69</v>
      </c>
      <c r="I5" s="3" t="s">
        <v>49</v>
      </c>
      <c r="J5" s="3" t="s">
        <v>70</v>
      </c>
      <c r="K5" s="3" t="s">
        <v>71</v>
      </c>
      <c r="L5" s="3" t="s">
        <v>72</v>
      </c>
      <c r="M5" s="3" t="s">
        <v>53</v>
      </c>
      <c r="N5" s="3" t="s">
        <v>73</v>
      </c>
      <c r="O5" s="3" t="s">
        <v>74</v>
      </c>
      <c r="P5" s="3" t="s">
        <v>75</v>
      </c>
      <c r="Q5" s="3">
        <v>6</v>
      </c>
      <c r="R5" s="3">
        <v>1848.43</v>
      </c>
      <c r="S5" s="3">
        <v>0.25</v>
      </c>
      <c r="T5" s="3">
        <v>8317.93</v>
      </c>
      <c r="U5" s="3">
        <v>6796.77</v>
      </c>
      <c r="V5" s="3">
        <v>1521.16</v>
      </c>
      <c r="W5" s="3" t="s">
        <v>42</v>
      </c>
      <c r="X5" s="3" t="s">
        <v>43</v>
      </c>
      <c r="Y5" s="2" t="str">
        <f t="shared" si="3"/>
        <v>Unique</v>
      </c>
      <c r="AA5" s="2" t="str">
        <f t="shared" si="4"/>
        <v>Clean</v>
      </c>
      <c r="AB5" s="2" t="str">
        <f t="shared" si="5"/>
        <v>valid</v>
      </c>
      <c r="AC5">
        <f t="shared" si="6"/>
        <v>0.25</v>
      </c>
      <c r="AD5">
        <f t="shared" si="7"/>
        <v>8317.9349999999995</v>
      </c>
      <c r="AE5">
        <f t="shared" si="8"/>
        <v>1521.1649999999991</v>
      </c>
      <c r="AF5">
        <f t="shared" si="9"/>
        <v>0.18287772145370204</v>
      </c>
      <c r="AG5" t="str">
        <f t="shared" si="10"/>
        <v>November</v>
      </c>
      <c r="AH5">
        <f t="shared" si="11"/>
        <v>2024</v>
      </c>
      <c r="AI5" t="str">
        <f t="shared" si="12"/>
        <v>Clean</v>
      </c>
    </row>
    <row r="6" spans="1:35" ht="14">
      <c r="A6" s="3" t="s">
        <v>76</v>
      </c>
      <c r="B6" s="3" t="s">
        <v>77</v>
      </c>
      <c r="C6" s="3" t="s">
        <v>78</v>
      </c>
      <c r="D6" s="3" t="str">
        <f t="shared" si="0"/>
        <v>01-Sep-2025</v>
      </c>
      <c r="E6" s="3" t="str">
        <f t="shared" si="1"/>
        <v>29-Aug-2025</v>
      </c>
      <c r="F6" s="3">
        <f t="shared" si="2"/>
        <v>3</v>
      </c>
      <c r="G6" s="3" t="s">
        <v>79</v>
      </c>
      <c r="H6" s="3" t="s">
        <v>80</v>
      </c>
      <c r="I6" s="3" t="s">
        <v>49</v>
      </c>
      <c r="J6" s="3" t="s">
        <v>81</v>
      </c>
      <c r="K6" s="3" t="s">
        <v>82</v>
      </c>
      <c r="L6" s="3" t="s">
        <v>83</v>
      </c>
      <c r="M6" s="3" t="s">
        <v>53</v>
      </c>
      <c r="N6" s="3" t="s">
        <v>84</v>
      </c>
      <c r="O6" s="3" t="s">
        <v>85</v>
      </c>
      <c r="P6" s="3" t="s">
        <v>64</v>
      </c>
      <c r="Q6" s="3">
        <v>7</v>
      </c>
      <c r="R6" s="3">
        <v>2973.76</v>
      </c>
      <c r="S6" s="3">
        <v>0</v>
      </c>
      <c r="T6" s="3">
        <v>20816.32</v>
      </c>
      <c r="U6" s="3">
        <v>17705.37</v>
      </c>
      <c r="V6" s="3">
        <v>3110.95</v>
      </c>
      <c r="W6" s="3" t="s">
        <v>42</v>
      </c>
      <c r="X6" s="3" t="s">
        <v>86</v>
      </c>
      <c r="Y6" s="2" t="str">
        <f t="shared" si="3"/>
        <v>Unique</v>
      </c>
      <c r="AA6" s="2" t="str">
        <f t="shared" si="4"/>
        <v>Clean</v>
      </c>
      <c r="AB6" s="2" t="str">
        <f t="shared" si="5"/>
        <v>valid</v>
      </c>
      <c r="AC6">
        <f t="shared" si="6"/>
        <v>0</v>
      </c>
      <c r="AD6">
        <f t="shared" si="7"/>
        <v>20816.32</v>
      </c>
      <c r="AE6">
        <f t="shared" si="8"/>
        <v>3110.9500000000007</v>
      </c>
      <c r="AF6">
        <f t="shared" si="9"/>
        <v>0.14944764492475138</v>
      </c>
      <c r="AG6" t="str">
        <f t="shared" si="10"/>
        <v>August</v>
      </c>
      <c r="AH6">
        <f t="shared" si="11"/>
        <v>2025</v>
      </c>
      <c r="AI6" t="str">
        <f t="shared" si="12"/>
        <v>Warning</v>
      </c>
    </row>
    <row r="7" spans="1:35" ht="14">
      <c r="A7" s="3" t="s">
        <v>87</v>
      </c>
      <c r="B7" s="3" t="s">
        <v>88</v>
      </c>
      <c r="C7" s="3" t="s">
        <v>89</v>
      </c>
      <c r="D7" s="3" t="str">
        <f t="shared" si="0"/>
        <v>28-May-2024</v>
      </c>
      <c r="E7" s="3" t="str">
        <f t="shared" si="1"/>
        <v>24-May-2024</v>
      </c>
      <c r="F7" s="3">
        <f t="shared" si="2"/>
        <v>4</v>
      </c>
      <c r="G7" s="3" t="s">
        <v>90</v>
      </c>
      <c r="H7" s="3" t="s">
        <v>91</v>
      </c>
      <c r="I7" s="3" t="s">
        <v>49</v>
      </c>
      <c r="J7" s="3" t="s">
        <v>81</v>
      </c>
      <c r="K7" s="3" t="s">
        <v>92</v>
      </c>
      <c r="L7" s="3" t="s">
        <v>93</v>
      </c>
      <c r="M7" s="3" t="s">
        <v>94</v>
      </c>
      <c r="N7" s="3" t="s">
        <v>95</v>
      </c>
      <c r="O7" s="3" t="s">
        <v>96</v>
      </c>
      <c r="P7" s="3" t="s">
        <v>56</v>
      </c>
      <c r="Q7" s="3">
        <v>3</v>
      </c>
      <c r="R7" s="3">
        <v>1053.1099999999999</v>
      </c>
      <c r="S7" s="3">
        <v>0.2</v>
      </c>
      <c r="T7" s="3">
        <v>2527.46</v>
      </c>
      <c r="U7" s="3">
        <v>1533.58</v>
      </c>
      <c r="V7" s="3">
        <v>993.88</v>
      </c>
      <c r="W7" s="3" t="s">
        <v>42</v>
      </c>
      <c r="X7" s="3" t="s">
        <v>43</v>
      </c>
      <c r="Y7" s="2" t="str">
        <f t="shared" si="3"/>
        <v>Unique</v>
      </c>
      <c r="AA7" s="2" t="str">
        <f t="shared" si="4"/>
        <v>Clean</v>
      </c>
      <c r="AB7" s="2" t="str">
        <f t="shared" si="5"/>
        <v>valid</v>
      </c>
      <c r="AC7">
        <f t="shared" si="6"/>
        <v>0.2</v>
      </c>
      <c r="AD7">
        <f t="shared" si="7"/>
        <v>2527.4639999999999</v>
      </c>
      <c r="AE7">
        <f t="shared" si="8"/>
        <v>993.88400000000001</v>
      </c>
      <c r="AF7">
        <f t="shared" si="9"/>
        <v>0.39323369195367375</v>
      </c>
      <c r="AG7" t="str">
        <f t="shared" si="10"/>
        <v>May</v>
      </c>
      <c r="AH7">
        <f t="shared" si="11"/>
        <v>2024</v>
      </c>
      <c r="AI7" t="str">
        <f t="shared" si="12"/>
        <v>Clean</v>
      </c>
    </row>
    <row r="8" spans="1:35" ht="14">
      <c r="A8" s="3" t="s">
        <v>97</v>
      </c>
      <c r="B8" s="3" t="s">
        <v>98</v>
      </c>
      <c r="C8" s="3" t="s">
        <v>99</v>
      </c>
      <c r="D8" s="3" t="str">
        <f t="shared" si="0"/>
        <v>16-Apr-2025</v>
      </c>
      <c r="E8" s="3" t="str">
        <f t="shared" si="1"/>
        <v>04-Oct-2025</v>
      </c>
      <c r="F8" s="3">
        <f t="shared" si="2"/>
        <v>-171</v>
      </c>
      <c r="G8" s="3" t="s">
        <v>100</v>
      </c>
      <c r="H8" s="3" t="s">
        <v>101</v>
      </c>
      <c r="I8" s="3" t="s">
        <v>34</v>
      </c>
      <c r="J8" s="3" t="s">
        <v>50</v>
      </c>
      <c r="K8" s="3" t="s">
        <v>51</v>
      </c>
      <c r="L8" s="3" t="s">
        <v>52</v>
      </c>
      <c r="M8" s="3" t="s">
        <v>94</v>
      </c>
      <c r="N8" s="3" t="s">
        <v>102</v>
      </c>
      <c r="O8" s="3" t="s">
        <v>103</v>
      </c>
      <c r="P8" s="3" t="s">
        <v>75</v>
      </c>
      <c r="Q8" s="3">
        <v>4</v>
      </c>
      <c r="R8" s="3">
        <v>1719.87</v>
      </c>
      <c r="S8" s="3">
        <v>0.15</v>
      </c>
      <c r="T8" s="3">
        <v>5847.56</v>
      </c>
      <c r="U8" s="3">
        <v>4727.25</v>
      </c>
      <c r="V8" s="3">
        <v>1120.31</v>
      </c>
      <c r="W8" s="3" t="s">
        <v>42</v>
      </c>
      <c r="X8" s="3" t="s">
        <v>43</v>
      </c>
      <c r="Y8" s="2" t="str">
        <f t="shared" si="3"/>
        <v>Unique</v>
      </c>
      <c r="AA8" s="2" t="str">
        <f t="shared" si="4"/>
        <v>Clean</v>
      </c>
      <c r="AB8" s="2" t="str">
        <f t="shared" si="5"/>
        <v>Invalid</v>
      </c>
      <c r="AC8">
        <f t="shared" si="6"/>
        <v>0.15</v>
      </c>
      <c r="AD8">
        <f t="shared" si="7"/>
        <v>5847.5579999999991</v>
      </c>
      <c r="AE8">
        <f t="shared" si="8"/>
        <v>1120.3079999999991</v>
      </c>
      <c r="AF8">
        <f t="shared" si="9"/>
        <v>0.19158561573908275</v>
      </c>
      <c r="AG8" t="str">
        <f t="shared" si="10"/>
        <v>October</v>
      </c>
      <c r="AH8">
        <f t="shared" si="11"/>
        <v>2025</v>
      </c>
      <c r="AI8" t="str">
        <f t="shared" si="12"/>
        <v>Clean</v>
      </c>
    </row>
    <row r="9" spans="1:35" ht="14">
      <c r="A9" s="3" t="s">
        <v>104</v>
      </c>
      <c r="B9" s="3" t="s">
        <v>105</v>
      </c>
      <c r="C9" s="3" t="s">
        <v>106</v>
      </c>
      <c r="D9" s="3" t="str">
        <f t="shared" si="0"/>
        <v>26-Feb-2025</v>
      </c>
      <c r="E9" s="3" t="str">
        <f t="shared" si="1"/>
        <v>23-Feb-2025</v>
      </c>
      <c r="F9" s="3">
        <f t="shared" si="2"/>
        <v>3</v>
      </c>
      <c r="G9" s="3" t="s">
        <v>107</v>
      </c>
      <c r="H9" s="3" t="s">
        <v>61</v>
      </c>
      <c r="I9" s="3" t="s">
        <v>49</v>
      </c>
      <c r="J9" s="3" t="s">
        <v>70</v>
      </c>
      <c r="K9" s="3" t="s">
        <v>108</v>
      </c>
      <c r="L9" s="3" t="s">
        <v>109</v>
      </c>
      <c r="M9" s="3" t="s">
        <v>38</v>
      </c>
      <c r="N9" s="3" t="s">
        <v>62</v>
      </c>
      <c r="O9" s="3" t="s">
        <v>110</v>
      </c>
      <c r="P9" s="3" t="s">
        <v>64</v>
      </c>
      <c r="Q9" s="3">
        <v>1</v>
      </c>
      <c r="R9" s="3">
        <v>2980.71</v>
      </c>
      <c r="S9" s="3">
        <v>0</v>
      </c>
      <c r="T9" s="3">
        <v>2980.71</v>
      </c>
      <c r="U9" s="3">
        <v>2357.2199999999998</v>
      </c>
      <c r="V9" s="3">
        <v>623.49</v>
      </c>
      <c r="W9" s="3" t="s">
        <v>42</v>
      </c>
      <c r="X9" s="3" t="s">
        <v>43</v>
      </c>
      <c r="Y9" s="2" t="str">
        <f t="shared" si="3"/>
        <v>Unique</v>
      </c>
      <c r="AA9" s="2" t="str">
        <f t="shared" si="4"/>
        <v>Clean</v>
      </c>
      <c r="AB9" s="2" t="str">
        <f t="shared" si="5"/>
        <v>valid</v>
      </c>
      <c r="AC9">
        <f t="shared" si="6"/>
        <v>0</v>
      </c>
      <c r="AD9">
        <f t="shared" si="7"/>
        <v>2980.71</v>
      </c>
      <c r="AE9">
        <f t="shared" si="8"/>
        <v>623.49000000000024</v>
      </c>
      <c r="AF9">
        <f t="shared" si="9"/>
        <v>0.20917499521925992</v>
      </c>
      <c r="AG9" t="str">
        <f t="shared" si="10"/>
        <v>February</v>
      </c>
      <c r="AH9">
        <f t="shared" si="11"/>
        <v>2025</v>
      </c>
      <c r="AI9" t="str">
        <f t="shared" si="12"/>
        <v>Clean</v>
      </c>
    </row>
    <row r="10" spans="1:35" ht="14">
      <c r="A10" s="3" t="s">
        <v>111</v>
      </c>
      <c r="B10" s="3" t="s">
        <v>112</v>
      </c>
      <c r="C10" s="3" t="s">
        <v>113</v>
      </c>
      <c r="D10" s="3" t="str">
        <f t="shared" si="0"/>
        <v>11-Oct-2024</v>
      </c>
      <c r="E10" s="3" t="str">
        <f t="shared" si="1"/>
        <v>11-May-2024</v>
      </c>
      <c r="F10" s="3">
        <f t="shared" si="2"/>
        <v>153</v>
      </c>
      <c r="G10" s="3" t="s">
        <v>114</v>
      </c>
      <c r="H10" s="3" t="s">
        <v>115</v>
      </c>
      <c r="I10" s="3" t="s">
        <v>116</v>
      </c>
      <c r="J10" s="3" t="s">
        <v>70</v>
      </c>
      <c r="K10" s="3" t="s">
        <v>71</v>
      </c>
      <c r="L10" s="3" t="s">
        <v>72</v>
      </c>
      <c r="M10" s="3" t="s">
        <v>38</v>
      </c>
      <c r="N10" s="3" t="s">
        <v>117</v>
      </c>
      <c r="O10" s="3" t="s">
        <v>118</v>
      </c>
      <c r="P10" s="3" t="s">
        <v>64</v>
      </c>
      <c r="Q10" s="3">
        <v>8</v>
      </c>
      <c r="R10" s="3">
        <v>3134.2</v>
      </c>
      <c r="S10" s="3">
        <v>0</v>
      </c>
      <c r="T10" s="3">
        <v>25073.599999999999</v>
      </c>
      <c r="U10" s="3">
        <v>17347.23</v>
      </c>
      <c r="V10" s="3">
        <v>7726.37</v>
      </c>
      <c r="W10" s="3" t="s">
        <v>42</v>
      </c>
      <c r="X10" s="3" t="s">
        <v>43</v>
      </c>
      <c r="Y10" s="2" t="str">
        <f t="shared" si="3"/>
        <v>Unique</v>
      </c>
      <c r="AA10" s="2" t="str">
        <f t="shared" si="4"/>
        <v>Clean</v>
      </c>
      <c r="AB10" s="2" t="str">
        <f t="shared" si="5"/>
        <v>valid</v>
      </c>
      <c r="AC10">
        <f t="shared" si="6"/>
        <v>0</v>
      </c>
      <c r="AD10">
        <f t="shared" si="7"/>
        <v>25073.599999999999</v>
      </c>
      <c r="AE10">
        <f t="shared" si="8"/>
        <v>7726.369999999999</v>
      </c>
      <c r="AF10">
        <f t="shared" si="9"/>
        <v>0.30814761342607361</v>
      </c>
      <c r="AG10" t="str">
        <f t="shared" si="10"/>
        <v>May</v>
      </c>
      <c r="AH10">
        <f t="shared" si="11"/>
        <v>2024</v>
      </c>
      <c r="AI10" t="str">
        <f t="shared" si="12"/>
        <v>Clean</v>
      </c>
    </row>
    <row r="11" spans="1:35" ht="14">
      <c r="A11" s="3" t="s">
        <v>119</v>
      </c>
      <c r="B11" s="3" t="s">
        <v>120</v>
      </c>
      <c r="C11" s="3" t="s">
        <v>121</v>
      </c>
      <c r="D11" s="3" t="str">
        <f t="shared" si="0"/>
        <v>09-Dec-2025</v>
      </c>
      <c r="E11" s="3" t="str">
        <f t="shared" si="1"/>
        <v>07-Sep-2025</v>
      </c>
      <c r="F11" s="3">
        <f t="shared" si="2"/>
        <v>93</v>
      </c>
      <c r="G11" s="3" t="s">
        <v>122</v>
      </c>
      <c r="H11" s="3" t="s">
        <v>48</v>
      </c>
      <c r="I11" s="3" t="s">
        <v>123</v>
      </c>
      <c r="J11" s="3" t="s">
        <v>70</v>
      </c>
      <c r="K11" s="3" t="s">
        <v>71</v>
      </c>
      <c r="L11" s="3" t="s">
        <v>72</v>
      </c>
      <c r="M11" s="3" t="s">
        <v>38</v>
      </c>
      <c r="N11" s="3" t="s">
        <v>39</v>
      </c>
      <c r="O11" s="3" t="s">
        <v>124</v>
      </c>
      <c r="P11" s="3" t="s">
        <v>41</v>
      </c>
      <c r="Q11" s="3">
        <v>9</v>
      </c>
      <c r="R11" s="3">
        <v>852.04</v>
      </c>
      <c r="S11" s="3">
        <v>0.2</v>
      </c>
      <c r="T11" s="3">
        <v>6134.69</v>
      </c>
      <c r="U11" s="3">
        <v>3800.19</v>
      </c>
      <c r="V11" s="3">
        <v>2334.5</v>
      </c>
      <c r="W11" s="3" t="s">
        <v>42</v>
      </c>
      <c r="X11" s="3" t="s">
        <v>43</v>
      </c>
      <c r="Y11" s="2" t="str">
        <f t="shared" si="3"/>
        <v>Unique</v>
      </c>
      <c r="AA11" s="2" t="str">
        <f t="shared" si="4"/>
        <v>Clean</v>
      </c>
      <c r="AB11" s="2" t="str">
        <f t="shared" si="5"/>
        <v>valid</v>
      </c>
      <c r="AC11">
        <f t="shared" si="6"/>
        <v>0.2</v>
      </c>
      <c r="AD11">
        <f t="shared" si="7"/>
        <v>6134.6880000000001</v>
      </c>
      <c r="AE11">
        <f t="shared" si="8"/>
        <v>2334.498</v>
      </c>
      <c r="AF11">
        <f t="shared" si="9"/>
        <v>0.38054062407085737</v>
      </c>
      <c r="AG11" t="str">
        <f t="shared" si="10"/>
        <v>September</v>
      </c>
      <c r="AH11">
        <f t="shared" si="11"/>
        <v>2025</v>
      </c>
      <c r="AI11" t="str">
        <f t="shared" si="12"/>
        <v>Clean</v>
      </c>
    </row>
    <row r="12" spans="1:35" ht="14">
      <c r="A12" s="3" t="s">
        <v>125</v>
      </c>
      <c r="B12" s="3" t="s">
        <v>126</v>
      </c>
      <c r="C12" s="3" t="s">
        <v>127</v>
      </c>
      <c r="D12" s="3" t="str">
        <f t="shared" si="0"/>
        <v>20-May-2025</v>
      </c>
      <c r="E12" s="3" t="str">
        <f t="shared" si="1"/>
        <v>20-May-2025</v>
      </c>
      <c r="F12" s="3">
        <f t="shared" si="2"/>
        <v>0</v>
      </c>
      <c r="G12" s="3" t="s">
        <v>128</v>
      </c>
      <c r="H12" s="3" t="s">
        <v>80</v>
      </c>
      <c r="I12" s="3" t="s">
        <v>116</v>
      </c>
      <c r="J12" s="3" t="s">
        <v>50</v>
      </c>
      <c r="K12" s="3" t="s">
        <v>129</v>
      </c>
      <c r="L12" s="3" t="s">
        <v>130</v>
      </c>
      <c r="M12" s="3" t="s">
        <v>38</v>
      </c>
      <c r="N12" s="3" t="s">
        <v>117</v>
      </c>
      <c r="O12" s="3" t="s">
        <v>131</v>
      </c>
      <c r="P12" s="3" t="s">
        <v>41</v>
      </c>
      <c r="Q12" s="3">
        <v>3</v>
      </c>
      <c r="R12" s="3">
        <v>3534.83</v>
      </c>
      <c r="S12" s="3">
        <v>0.05</v>
      </c>
      <c r="T12" s="3">
        <v>10074.27</v>
      </c>
      <c r="U12" s="3">
        <v>6048.27</v>
      </c>
      <c r="V12" s="3">
        <v>4026</v>
      </c>
      <c r="W12" s="3" t="s">
        <v>132</v>
      </c>
      <c r="X12" s="3" t="s">
        <v>133</v>
      </c>
      <c r="Y12" s="2" t="str">
        <f t="shared" si="3"/>
        <v>Unique</v>
      </c>
      <c r="AA12" s="2" t="str">
        <f t="shared" si="4"/>
        <v>Clean</v>
      </c>
      <c r="AB12" s="2" t="str">
        <f t="shared" si="5"/>
        <v>valid</v>
      </c>
      <c r="AC12">
        <f t="shared" si="6"/>
        <v>0.05</v>
      </c>
      <c r="AD12">
        <f t="shared" si="7"/>
        <v>10074.2655</v>
      </c>
      <c r="AE12">
        <f t="shared" si="8"/>
        <v>4025.9954999999991</v>
      </c>
      <c r="AF12">
        <f t="shared" si="9"/>
        <v>0.39963166545491574</v>
      </c>
      <c r="AG12" t="str">
        <f t="shared" si="10"/>
        <v>May</v>
      </c>
      <c r="AH12">
        <f t="shared" si="11"/>
        <v>2025</v>
      </c>
      <c r="AI12" t="str">
        <f t="shared" si="12"/>
        <v>Clean</v>
      </c>
    </row>
    <row r="13" spans="1:35" ht="14">
      <c r="A13" s="3" t="s">
        <v>134</v>
      </c>
      <c r="B13" s="3" t="s">
        <v>135</v>
      </c>
      <c r="C13" s="3" t="s">
        <v>136</v>
      </c>
      <c r="D13" s="3" t="str">
        <f t="shared" si="0"/>
        <v>23-Jul-2024</v>
      </c>
      <c r="E13" s="3" t="str">
        <f t="shared" si="1"/>
        <v>22-Jul-2024</v>
      </c>
      <c r="F13" s="3">
        <f t="shared" si="2"/>
        <v>1</v>
      </c>
      <c r="G13" s="3" t="s">
        <v>137</v>
      </c>
      <c r="H13" s="3" t="s">
        <v>91</v>
      </c>
      <c r="I13" s="3" t="s">
        <v>49</v>
      </c>
      <c r="J13" s="3" t="s">
        <v>50</v>
      </c>
      <c r="K13" s="3" t="s">
        <v>51</v>
      </c>
      <c r="L13" s="3" t="s">
        <v>52</v>
      </c>
      <c r="M13" s="3" t="s">
        <v>94</v>
      </c>
      <c r="N13" s="3" t="s">
        <v>95</v>
      </c>
      <c r="O13" s="3" t="s">
        <v>138</v>
      </c>
      <c r="P13" s="3" t="s">
        <v>56</v>
      </c>
      <c r="Q13" s="3">
        <v>6</v>
      </c>
      <c r="R13" s="3">
        <v>2005.95</v>
      </c>
      <c r="S13" s="3">
        <v>0.2</v>
      </c>
      <c r="T13" s="3">
        <v>9628.56</v>
      </c>
      <c r="U13" s="3">
        <v>8038.59</v>
      </c>
      <c r="V13" s="3">
        <v>1589.97</v>
      </c>
      <c r="W13" s="3" t="s">
        <v>42</v>
      </c>
      <c r="X13" s="3" t="s">
        <v>43</v>
      </c>
      <c r="Y13" s="2" t="str">
        <f t="shared" si="3"/>
        <v>Unique</v>
      </c>
      <c r="AA13" s="2" t="str">
        <f t="shared" si="4"/>
        <v>Clean</v>
      </c>
      <c r="AB13" s="2" t="str">
        <f t="shared" si="5"/>
        <v>valid</v>
      </c>
      <c r="AC13">
        <f t="shared" si="6"/>
        <v>0.2</v>
      </c>
      <c r="AD13">
        <f t="shared" si="7"/>
        <v>9628.5600000000013</v>
      </c>
      <c r="AE13">
        <f t="shared" si="8"/>
        <v>1589.9700000000012</v>
      </c>
      <c r="AF13">
        <f t="shared" si="9"/>
        <v>0.16513061143099289</v>
      </c>
      <c r="AG13" t="str">
        <f t="shared" si="10"/>
        <v>July</v>
      </c>
      <c r="AH13">
        <f t="shared" si="11"/>
        <v>2024</v>
      </c>
      <c r="AI13" t="str">
        <f t="shared" si="12"/>
        <v>Clean</v>
      </c>
    </row>
    <row r="14" spans="1:35" ht="14">
      <c r="A14" s="3" t="s">
        <v>139</v>
      </c>
      <c r="B14" s="3" t="s">
        <v>140</v>
      </c>
      <c r="C14" s="3" t="s">
        <v>141</v>
      </c>
      <c r="D14" s="3" t="str">
        <f t="shared" si="0"/>
        <v>21-Dec-2024</v>
      </c>
      <c r="E14" s="3" t="str">
        <f t="shared" si="1"/>
        <v>20-Dec-2024</v>
      </c>
      <c r="F14" s="3">
        <f t="shared" si="2"/>
        <v>1</v>
      </c>
      <c r="G14" s="3" t="s">
        <v>142</v>
      </c>
      <c r="H14" s="3" t="s">
        <v>80</v>
      </c>
      <c r="I14" s="3" t="s">
        <v>116</v>
      </c>
      <c r="J14" s="3" t="s">
        <v>81</v>
      </c>
      <c r="K14" s="3" t="s">
        <v>36</v>
      </c>
      <c r="L14" s="3" t="s">
        <v>143</v>
      </c>
      <c r="M14" s="3" t="s">
        <v>38</v>
      </c>
      <c r="N14" s="3" t="s">
        <v>39</v>
      </c>
      <c r="O14" s="3" t="s">
        <v>144</v>
      </c>
      <c r="P14" s="3" t="s">
        <v>64</v>
      </c>
      <c r="Q14" s="3">
        <v>1</v>
      </c>
      <c r="R14" s="3">
        <v>702.14</v>
      </c>
      <c r="S14" s="3">
        <v>0.15</v>
      </c>
      <c r="T14" s="3">
        <v>596.82000000000005</v>
      </c>
      <c r="U14" s="3">
        <v>380.25</v>
      </c>
      <c r="V14" s="3">
        <v>216.57</v>
      </c>
      <c r="W14" s="3" t="s">
        <v>145</v>
      </c>
      <c r="X14" s="3" t="s">
        <v>133</v>
      </c>
      <c r="Y14" s="2" t="str">
        <f t="shared" si="3"/>
        <v>Unique</v>
      </c>
      <c r="AA14" s="2" t="str">
        <f t="shared" si="4"/>
        <v>Clean</v>
      </c>
      <c r="AB14" s="2" t="str">
        <f t="shared" si="5"/>
        <v>valid</v>
      </c>
      <c r="AC14">
        <f t="shared" si="6"/>
        <v>0.15</v>
      </c>
      <c r="AD14">
        <f t="shared" si="7"/>
        <v>596.81899999999996</v>
      </c>
      <c r="AE14">
        <f t="shared" si="8"/>
        <v>216.56899999999996</v>
      </c>
      <c r="AF14">
        <f t="shared" si="9"/>
        <v>0.36287216057129545</v>
      </c>
      <c r="AG14" t="str">
        <f t="shared" si="10"/>
        <v>December</v>
      </c>
      <c r="AH14">
        <f t="shared" si="11"/>
        <v>2024</v>
      </c>
      <c r="AI14" t="str">
        <f t="shared" si="12"/>
        <v>Clean</v>
      </c>
    </row>
    <row r="15" spans="1:35" ht="14">
      <c r="A15" s="3" t="s">
        <v>146</v>
      </c>
      <c r="B15" s="3" t="s">
        <v>147</v>
      </c>
      <c r="C15" s="3" t="s">
        <v>148</v>
      </c>
      <c r="D15" s="3" t="str">
        <f t="shared" si="0"/>
        <v>16-Oct-2025</v>
      </c>
      <c r="E15" s="3" t="str">
        <f t="shared" si="1"/>
        <v>12-Oct-2025</v>
      </c>
      <c r="F15" s="3">
        <f t="shared" si="2"/>
        <v>4</v>
      </c>
      <c r="G15" s="3" t="s">
        <v>149</v>
      </c>
      <c r="H15" s="3" t="s">
        <v>150</v>
      </c>
      <c r="I15" s="3" t="s">
        <v>49</v>
      </c>
      <c r="J15" s="3" t="s">
        <v>81</v>
      </c>
      <c r="K15" s="3" t="s">
        <v>82</v>
      </c>
      <c r="L15" s="3" t="s">
        <v>83</v>
      </c>
      <c r="M15" s="3" t="s">
        <v>38</v>
      </c>
      <c r="N15" s="3" t="s">
        <v>62</v>
      </c>
      <c r="O15" s="3" t="s">
        <v>151</v>
      </c>
      <c r="P15" s="3" t="s">
        <v>41</v>
      </c>
      <c r="Q15" s="3">
        <v>7</v>
      </c>
      <c r="R15" s="3">
        <v>3964.72</v>
      </c>
      <c r="S15" s="3">
        <v>0.05</v>
      </c>
      <c r="T15" s="3">
        <v>26365.39</v>
      </c>
      <c r="U15" s="3">
        <v>22306.240000000002</v>
      </c>
      <c r="V15" s="3">
        <v>4059.15</v>
      </c>
      <c r="W15" s="3" t="s">
        <v>42</v>
      </c>
      <c r="X15" s="3" t="s">
        <v>43</v>
      </c>
      <c r="Y15" s="2" t="str">
        <f t="shared" si="3"/>
        <v>Unique</v>
      </c>
      <c r="AA15" s="2" t="str">
        <f t="shared" si="4"/>
        <v>Clean</v>
      </c>
      <c r="AB15" s="2" t="str">
        <f t="shared" si="5"/>
        <v>valid</v>
      </c>
      <c r="AC15">
        <f t="shared" si="6"/>
        <v>0.05</v>
      </c>
      <c r="AD15">
        <f t="shared" si="7"/>
        <v>26365.387999999995</v>
      </c>
      <c r="AE15">
        <f t="shared" si="8"/>
        <v>4059.1479999999938</v>
      </c>
      <c r="AF15">
        <f t="shared" si="9"/>
        <v>0.15395745361304733</v>
      </c>
      <c r="AG15" t="str">
        <f t="shared" si="10"/>
        <v>October</v>
      </c>
      <c r="AH15">
        <f t="shared" si="11"/>
        <v>2025</v>
      </c>
      <c r="AI15" t="str">
        <f t="shared" si="12"/>
        <v>Clean</v>
      </c>
    </row>
    <row r="16" spans="1:35" ht="14">
      <c r="A16" s="3" t="s">
        <v>152</v>
      </c>
      <c r="B16" s="3" t="s">
        <v>153</v>
      </c>
      <c r="C16" s="3" t="s">
        <v>154</v>
      </c>
      <c r="D16" s="3" t="str">
        <f t="shared" si="0"/>
        <v>28-Dec-2024</v>
      </c>
      <c r="E16" s="3" t="str">
        <f t="shared" si="1"/>
        <v>27-Dec-2024</v>
      </c>
      <c r="F16" s="3">
        <f t="shared" si="2"/>
        <v>1</v>
      </c>
      <c r="G16" s="3" t="s">
        <v>155</v>
      </c>
      <c r="H16" s="3" t="s">
        <v>156</v>
      </c>
      <c r="I16" s="3" t="s">
        <v>34</v>
      </c>
      <c r="J16" s="3" t="s">
        <v>81</v>
      </c>
      <c r="K16" s="3" t="s">
        <v>36</v>
      </c>
      <c r="L16" s="3" t="s">
        <v>143</v>
      </c>
      <c r="M16" s="3" t="s">
        <v>94</v>
      </c>
      <c r="N16" s="3" t="s">
        <v>102</v>
      </c>
      <c r="O16" s="3" t="s">
        <v>157</v>
      </c>
      <c r="P16" s="3" t="s">
        <v>75</v>
      </c>
      <c r="Q16" s="3">
        <v>2</v>
      </c>
      <c r="R16" s="3">
        <v>2737.83</v>
      </c>
      <c r="S16" s="3">
        <v>0.25</v>
      </c>
      <c r="T16" s="3">
        <v>4106.74</v>
      </c>
      <c r="U16" s="3">
        <v>2666.3</v>
      </c>
      <c r="V16" s="3">
        <v>1440.44</v>
      </c>
      <c r="W16" s="3" t="s">
        <v>42</v>
      </c>
      <c r="X16" s="3" t="s">
        <v>43</v>
      </c>
      <c r="Y16" s="2" t="str">
        <f t="shared" si="3"/>
        <v>Unique</v>
      </c>
      <c r="AA16" s="2" t="str">
        <f t="shared" si="4"/>
        <v>Clean</v>
      </c>
      <c r="AB16" s="2" t="str">
        <f t="shared" si="5"/>
        <v>valid</v>
      </c>
      <c r="AC16">
        <f t="shared" si="6"/>
        <v>0.25</v>
      </c>
      <c r="AD16">
        <f t="shared" si="7"/>
        <v>4106.7449999999999</v>
      </c>
      <c r="AE16">
        <f t="shared" si="8"/>
        <v>1440.4449999999997</v>
      </c>
      <c r="AF16">
        <f t="shared" si="9"/>
        <v>0.35075102057712365</v>
      </c>
      <c r="AG16" t="str">
        <f t="shared" si="10"/>
        <v>December</v>
      </c>
      <c r="AH16">
        <f t="shared" si="11"/>
        <v>2024</v>
      </c>
      <c r="AI16" t="str">
        <f t="shared" si="12"/>
        <v>Clean</v>
      </c>
    </row>
    <row r="17" spans="1:35" ht="14">
      <c r="A17" s="3" t="s">
        <v>158</v>
      </c>
      <c r="B17" s="3" t="s">
        <v>159</v>
      </c>
      <c r="C17" s="3" t="s">
        <v>160</v>
      </c>
      <c r="D17" s="3" t="str">
        <f t="shared" si="0"/>
        <v>09-Jul-2024</v>
      </c>
      <c r="E17" s="3" t="str">
        <f t="shared" si="1"/>
        <v>07-Sep-2024</v>
      </c>
      <c r="F17" s="3">
        <f t="shared" si="2"/>
        <v>-60</v>
      </c>
      <c r="G17" s="3" t="s">
        <v>161</v>
      </c>
      <c r="H17" s="3" t="s">
        <v>33</v>
      </c>
      <c r="I17" s="3" t="s">
        <v>49</v>
      </c>
      <c r="J17" s="3" t="s">
        <v>35</v>
      </c>
      <c r="K17" s="3" t="s">
        <v>162</v>
      </c>
      <c r="L17" s="3" t="s">
        <v>163</v>
      </c>
      <c r="M17" s="3" t="s">
        <v>38</v>
      </c>
      <c r="N17" s="3" t="s">
        <v>164</v>
      </c>
      <c r="O17" s="3" t="s">
        <v>165</v>
      </c>
      <c r="P17" s="3" t="s">
        <v>41</v>
      </c>
      <c r="Q17" s="3">
        <v>6</v>
      </c>
      <c r="R17" s="3">
        <v>3965.76</v>
      </c>
      <c r="S17" s="3">
        <v>0</v>
      </c>
      <c r="T17" s="3">
        <v>23794.560000000001</v>
      </c>
      <c r="U17" s="3">
        <v>15698.47</v>
      </c>
      <c r="V17" s="3">
        <v>8096.09</v>
      </c>
      <c r="W17" s="3" t="s">
        <v>42</v>
      </c>
      <c r="X17" s="3" t="s">
        <v>43</v>
      </c>
      <c r="Y17" s="2" t="str">
        <f t="shared" si="3"/>
        <v>Unique</v>
      </c>
      <c r="AA17" s="2" t="str">
        <f t="shared" si="4"/>
        <v>Clean</v>
      </c>
      <c r="AB17" s="2" t="str">
        <f t="shared" si="5"/>
        <v>Invalid</v>
      </c>
      <c r="AC17">
        <f t="shared" si="6"/>
        <v>0</v>
      </c>
      <c r="AD17">
        <f t="shared" si="7"/>
        <v>23794.560000000001</v>
      </c>
      <c r="AE17">
        <f t="shared" si="8"/>
        <v>8096.090000000002</v>
      </c>
      <c r="AF17">
        <f t="shared" si="9"/>
        <v>0.34024962008122872</v>
      </c>
      <c r="AG17" t="str">
        <f t="shared" si="10"/>
        <v>September</v>
      </c>
      <c r="AH17">
        <f t="shared" si="11"/>
        <v>2024</v>
      </c>
      <c r="AI17" t="str">
        <f t="shared" si="12"/>
        <v>Clean</v>
      </c>
    </row>
    <row r="18" spans="1:35" ht="14">
      <c r="A18" s="3" t="s">
        <v>166</v>
      </c>
      <c r="B18" s="3" t="s">
        <v>167</v>
      </c>
      <c r="C18" s="3" t="s">
        <v>168</v>
      </c>
      <c r="D18" s="3" t="str">
        <f t="shared" si="0"/>
        <v>15-May-2024</v>
      </c>
      <c r="E18" s="3" t="str">
        <f t="shared" si="1"/>
        <v>05-Aug-2024</v>
      </c>
      <c r="F18" s="3">
        <f t="shared" si="2"/>
        <v>-82</v>
      </c>
      <c r="G18" s="3" t="s">
        <v>169</v>
      </c>
      <c r="H18" s="3" t="s">
        <v>170</v>
      </c>
      <c r="I18" s="3" t="s">
        <v>34</v>
      </c>
      <c r="J18" s="3" t="s">
        <v>70</v>
      </c>
      <c r="K18" s="3" t="s">
        <v>71</v>
      </c>
      <c r="L18" s="3" t="s">
        <v>72</v>
      </c>
      <c r="M18" s="3" t="s">
        <v>38</v>
      </c>
      <c r="N18" s="3" t="s">
        <v>62</v>
      </c>
      <c r="O18" s="3" t="s">
        <v>171</v>
      </c>
      <c r="P18" s="3" t="s">
        <v>64</v>
      </c>
      <c r="Q18" s="3">
        <v>4</v>
      </c>
      <c r="R18" s="3">
        <v>3323.51</v>
      </c>
      <c r="S18" s="3">
        <v>0.25</v>
      </c>
      <c r="T18" s="3">
        <v>9970.5300000000007</v>
      </c>
      <c r="U18" s="3">
        <v>5668.17</v>
      </c>
      <c r="V18" s="3">
        <v>4302.3599999999997</v>
      </c>
      <c r="W18" s="3" t="s">
        <v>42</v>
      </c>
      <c r="X18" s="3" t="s">
        <v>43</v>
      </c>
      <c r="Y18" s="2" t="str">
        <f t="shared" si="3"/>
        <v>Unique</v>
      </c>
      <c r="AA18" s="2" t="str">
        <f t="shared" si="4"/>
        <v>Clean</v>
      </c>
      <c r="AB18" s="2" t="str">
        <f t="shared" si="5"/>
        <v>Invalid</v>
      </c>
      <c r="AC18">
        <f t="shared" si="6"/>
        <v>0.25</v>
      </c>
      <c r="AD18">
        <f t="shared" si="7"/>
        <v>9970.5300000000007</v>
      </c>
      <c r="AE18">
        <f t="shared" si="8"/>
        <v>4302.3600000000006</v>
      </c>
      <c r="AF18">
        <f t="shared" si="9"/>
        <v>0.43150765305354882</v>
      </c>
      <c r="AG18" t="str">
        <f t="shared" si="10"/>
        <v>August</v>
      </c>
      <c r="AH18">
        <f t="shared" si="11"/>
        <v>2024</v>
      </c>
      <c r="AI18" t="str">
        <f t="shared" si="12"/>
        <v>Clean</v>
      </c>
    </row>
    <row r="19" spans="1:35" ht="14">
      <c r="A19" s="3" t="s">
        <v>172</v>
      </c>
      <c r="B19" s="3" t="s">
        <v>173</v>
      </c>
      <c r="C19" s="3" t="s">
        <v>174</v>
      </c>
      <c r="D19" s="3" t="str">
        <f t="shared" si="0"/>
        <v>08-Jan-2024</v>
      </c>
      <c r="E19" s="3" t="str">
        <f t="shared" si="1"/>
        <v>01-Jul-2024</v>
      </c>
      <c r="F19" s="3">
        <f t="shared" si="2"/>
        <v>-175</v>
      </c>
      <c r="G19" s="3" t="s">
        <v>175</v>
      </c>
      <c r="H19" s="3" t="s">
        <v>176</v>
      </c>
      <c r="I19" s="3" t="s">
        <v>49</v>
      </c>
      <c r="J19" s="3" t="s">
        <v>35</v>
      </c>
      <c r="K19" s="3" t="s">
        <v>36</v>
      </c>
      <c r="L19" s="3" t="s">
        <v>37</v>
      </c>
      <c r="M19" s="3" t="s">
        <v>53</v>
      </c>
      <c r="N19" s="3" t="s">
        <v>73</v>
      </c>
      <c r="O19" s="3" t="s">
        <v>177</v>
      </c>
      <c r="P19" s="3" t="s">
        <v>56</v>
      </c>
      <c r="Q19" s="3">
        <v>5</v>
      </c>
      <c r="R19" s="3">
        <v>1526.78</v>
      </c>
      <c r="S19" s="3">
        <v>0</v>
      </c>
      <c r="T19" s="3">
        <v>7633.9</v>
      </c>
      <c r="U19" s="3">
        <v>4706.91</v>
      </c>
      <c r="V19" s="3">
        <v>2926.99</v>
      </c>
      <c r="W19" s="3" t="s">
        <v>42</v>
      </c>
      <c r="X19" s="3" t="s">
        <v>43</v>
      </c>
      <c r="Y19" s="2" t="str">
        <f t="shared" si="3"/>
        <v>Unique</v>
      </c>
      <c r="AA19" s="2" t="str">
        <f t="shared" si="4"/>
        <v>Clean</v>
      </c>
      <c r="AB19" s="2" t="str">
        <f t="shared" si="5"/>
        <v>Invalid</v>
      </c>
      <c r="AC19">
        <f t="shared" si="6"/>
        <v>0</v>
      </c>
      <c r="AD19">
        <f t="shared" si="7"/>
        <v>7633.9</v>
      </c>
      <c r="AE19">
        <f t="shared" si="8"/>
        <v>2926.99</v>
      </c>
      <c r="AF19">
        <f t="shared" si="9"/>
        <v>0.38342000812166782</v>
      </c>
      <c r="AG19" t="str">
        <f t="shared" si="10"/>
        <v>July</v>
      </c>
      <c r="AH19">
        <f t="shared" si="11"/>
        <v>2024</v>
      </c>
      <c r="AI19" t="str">
        <f t="shared" si="12"/>
        <v>Clean</v>
      </c>
    </row>
    <row r="20" spans="1:35" ht="14">
      <c r="A20" s="3" t="s">
        <v>178</v>
      </c>
      <c r="B20" s="3" t="s">
        <v>179</v>
      </c>
      <c r="C20" s="3" t="s">
        <v>180</v>
      </c>
      <c r="D20" s="3" t="str">
        <f t="shared" si="0"/>
        <v>17-Jul-2025</v>
      </c>
      <c r="E20" s="3" t="str">
        <f t="shared" si="1"/>
        <v>15-Jul-2025</v>
      </c>
      <c r="F20" s="3">
        <f t="shared" si="2"/>
        <v>2</v>
      </c>
      <c r="G20" s="3" t="s">
        <v>181</v>
      </c>
      <c r="H20" s="3" t="s">
        <v>170</v>
      </c>
      <c r="I20" s="3" t="s">
        <v>123</v>
      </c>
      <c r="J20" s="3" t="s">
        <v>35</v>
      </c>
      <c r="K20" s="3" t="s">
        <v>182</v>
      </c>
      <c r="L20" s="3" t="s">
        <v>183</v>
      </c>
      <c r="M20" s="3" t="s">
        <v>94</v>
      </c>
      <c r="N20" s="3" t="s">
        <v>102</v>
      </c>
      <c r="O20" s="3" t="s">
        <v>184</v>
      </c>
      <c r="P20" s="3" t="s">
        <v>64</v>
      </c>
      <c r="Q20" s="3">
        <v>2</v>
      </c>
      <c r="R20" s="3">
        <v>1997.99</v>
      </c>
      <c r="S20" s="3">
        <v>0</v>
      </c>
      <c r="T20" s="3">
        <v>3995.98</v>
      </c>
      <c r="U20" s="3">
        <v>2633.2</v>
      </c>
      <c r="V20" s="3">
        <v>1362.78</v>
      </c>
      <c r="W20" s="3" t="s">
        <v>132</v>
      </c>
      <c r="X20" s="3" t="s">
        <v>86</v>
      </c>
      <c r="Y20" s="2" t="str">
        <f t="shared" si="3"/>
        <v>Unique</v>
      </c>
      <c r="AA20" s="2" t="str">
        <f t="shared" si="4"/>
        <v>Clean</v>
      </c>
      <c r="AB20" s="2" t="str">
        <f t="shared" si="5"/>
        <v>valid</v>
      </c>
      <c r="AC20">
        <f t="shared" si="6"/>
        <v>0</v>
      </c>
      <c r="AD20">
        <f t="shared" si="7"/>
        <v>3995.98</v>
      </c>
      <c r="AE20">
        <f t="shared" si="8"/>
        <v>1362.7800000000002</v>
      </c>
      <c r="AF20">
        <f t="shared" si="9"/>
        <v>0.34103774293164635</v>
      </c>
      <c r="AG20" t="str">
        <f t="shared" si="10"/>
        <v>July</v>
      </c>
      <c r="AH20">
        <f t="shared" si="11"/>
        <v>2025</v>
      </c>
      <c r="AI20" t="str">
        <f t="shared" si="12"/>
        <v>Warning</v>
      </c>
    </row>
    <row r="21" spans="1:35" ht="15.75" customHeight="1">
      <c r="A21" s="3" t="s">
        <v>185</v>
      </c>
      <c r="B21" s="3" t="s">
        <v>31</v>
      </c>
      <c r="C21" s="3" t="s">
        <v>186</v>
      </c>
      <c r="D21" s="3" t="str">
        <f t="shared" si="0"/>
        <v>31-Jul-2024</v>
      </c>
      <c r="E21" s="3" t="str">
        <f t="shared" si="1"/>
        <v>27-Jul-2024</v>
      </c>
      <c r="F21" s="3">
        <f t="shared" si="2"/>
        <v>4</v>
      </c>
      <c r="G21" s="3" t="s">
        <v>187</v>
      </c>
      <c r="H21" s="3" t="s">
        <v>188</v>
      </c>
      <c r="I21" s="3" t="s">
        <v>123</v>
      </c>
      <c r="J21" s="3" t="s">
        <v>81</v>
      </c>
      <c r="K21" s="3" t="s">
        <v>92</v>
      </c>
      <c r="L21" s="3" t="s">
        <v>93</v>
      </c>
      <c r="M21" s="3" t="s">
        <v>38</v>
      </c>
      <c r="N21" s="3" t="s">
        <v>164</v>
      </c>
      <c r="O21" s="3" t="s">
        <v>189</v>
      </c>
      <c r="P21" s="3" t="s">
        <v>41</v>
      </c>
      <c r="Q21" s="3">
        <v>3</v>
      </c>
      <c r="R21" s="3">
        <v>3887.94</v>
      </c>
      <c r="S21" s="3">
        <v>-0.19</v>
      </c>
      <c r="T21" s="3">
        <v>9331.06</v>
      </c>
      <c r="U21" s="3">
        <v>7529.31</v>
      </c>
      <c r="V21" s="3">
        <v>1801.75</v>
      </c>
      <c r="W21" s="3" t="s">
        <v>42</v>
      </c>
      <c r="X21" s="3" t="s">
        <v>43</v>
      </c>
      <c r="Y21" s="2" t="str">
        <f t="shared" si="3"/>
        <v>Unique</v>
      </c>
      <c r="AA21" s="2" t="str">
        <f t="shared" si="4"/>
        <v>Invalid</v>
      </c>
      <c r="AB21" s="2" t="str">
        <f t="shared" si="5"/>
        <v>valid</v>
      </c>
      <c r="AC21">
        <f t="shared" si="6"/>
        <v>-0.19</v>
      </c>
      <c r="AD21">
        <f t="shared" si="7"/>
        <v>13879.9458</v>
      </c>
      <c r="AE21">
        <f t="shared" si="8"/>
        <v>6350.6357999999991</v>
      </c>
      <c r="AF21">
        <f t="shared" si="9"/>
        <v>0.45754038895454474</v>
      </c>
      <c r="AG21" t="str">
        <f t="shared" si="10"/>
        <v>July</v>
      </c>
      <c r="AH21">
        <f t="shared" si="11"/>
        <v>2024</v>
      </c>
      <c r="AI21" t="str">
        <f t="shared" si="12"/>
        <v>Invalid</v>
      </c>
    </row>
    <row r="22" spans="1:35" ht="15.75" customHeight="1">
      <c r="A22" s="3" t="s">
        <v>190</v>
      </c>
      <c r="B22" s="3" t="s">
        <v>191</v>
      </c>
      <c r="C22" s="3" t="s">
        <v>192</v>
      </c>
      <c r="D22" s="3" t="str">
        <f t="shared" si="0"/>
        <v>23-Jan-2025</v>
      </c>
      <c r="E22" s="3" t="str">
        <f t="shared" si="1"/>
        <v>21-Jan-2025</v>
      </c>
      <c r="F22" s="3">
        <f t="shared" si="2"/>
        <v>2</v>
      </c>
      <c r="G22" s="3" t="s">
        <v>193</v>
      </c>
      <c r="H22" s="3" t="s">
        <v>115</v>
      </c>
      <c r="I22" s="3" t="s">
        <v>123</v>
      </c>
      <c r="J22" s="3" t="s">
        <v>50</v>
      </c>
      <c r="K22" s="3" t="s">
        <v>194</v>
      </c>
      <c r="L22" s="3" t="s">
        <v>195</v>
      </c>
      <c r="M22" s="3" t="s">
        <v>94</v>
      </c>
      <c r="N22" s="3" t="s">
        <v>102</v>
      </c>
      <c r="O22" s="3" t="s">
        <v>196</v>
      </c>
      <c r="P22" s="3" t="s">
        <v>64</v>
      </c>
      <c r="Q22" s="3">
        <v>5</v>
      </c>
      <c r="R22" s="3">
        <v>4373.0600000000004</v>
      </c>
      <c r="S22" s="3">
        <v>0.25</v>
      </c>
      <c r="T22" s="3">
        <v>16398.98</v>
      </c>
      <c r="U22" s="3">
        <v>9556.52</v>
      </c>
      <c r="V22" s="3">
        <v>6842.46</v>
      </c>
      <c r="W22" s="3" t="s">
        <v>42</v>
      </c>
      <c r="X22" s="3" t="s">
        <v>43</v>
      </c>
      <c r="Y22" s="2" t="str">
        <f t="shared" si="3"/>
        <v>Unique</v>
      </c>
      <c r="AA22" s="2" t="str">
        <f t="shared" si="4"/>
        <v>Clean</v>
      </c>
      <c r="AB22" s="2" t="str">
        <f t="shared" si="5"/>
        <v>valid</v>
      </c>
      <c r="AC22">
        <f t="shared" si="6"/>
        <v>0.25</v>
      </c>
      <c r="AD22">
        <f t="shared" si="7"/>
        <v>16398.975000000002</v>
      </c>
      <c r="AE22">
        <f t="shared" si="8"/>
        <v>6842.4550000000017</v>
      </c>
      <c r="AF22">
        <f t="shared" si="9"/>
        <v>0.4172489439126531</v>
      </c>
      <c r="AG22" t="str">
        <f t="shared" si="10"/>
        <v>January</v>
      </c>
      <c r="AH22">
        <f t="shared" si="11"/>
        <v>2025</v>
      </c>
      <c r="AI22" t="str">
        <f t="shared" si="12"/>
        <v>Clean</v>
      </c>
    </row>
    <row r="23" spans="1:35" ht="15.75" customHeight="1">
      <c r="A23" s="3" t="s">
        <v>197</v>
      </c>
      <c r="B23" s="3" t="s">
        <v>198</v>
      </c>
      <c r="C23" s="3" t="s">
        <v>199</v>
      </c>
      <c r="D23" s="3" t="str">
        <f t="shared" si="0"/>
        <v>30-Jan-2025</v>
      </c>
      <c r="E23" s="3" t="str">
        <f t="shared" si="1"/>
        <v>24-Jan-2025</v>
      </c>
      <c r="F23" s="3">
        <f t="shared" si="2"/>
        <v>6</v>
      </c>
      <c r="G23" s="3" t="s">
        <v>200</v>
      </c>
      <c r="H23" s="3" t="s">
        <v>176</v>
      </c>
      <c r="I23" s="3" t="s">
        <v>34</v>
      </c>
      <c r="J23" s="3" t="s">
        <v>81</v>
      </c>
      <c r="K23" s="3" t="s">
        <v>92</v>
      </c>
      <c r="L23" s="3" t="s">
        <v>93</v>
      </c>
      <c r="M23" s="3" t="s">
        <v>53</v>
      </c>
      <c r="N23" s="3" t="s">
        <v>73</v>
      </c>
      <c r="O23" s="3" t="s">
        <v>201</v>
      </c>
      <c r="P23" s="3" t="s">
        <v>41</v>
      </c>
      <c r="Q23" s="3">
        <v>4</v>
      </c>
      <c r="R23" s="3">
        <v>697.69</v>
      </c>
      <c r="S23" s="3">
        <v>-0.23</v>
      </c>
      <c r="T23" s="3">
        <v>2790.76</v>
      </c>
      <c r="U23" s="3">
        <v>2037.71</v>
      </c>
      <c r="V23" s="3">
        <v>753.05</v>
      </c>
      <c r="W23" s="3" t="s">
        <v>42</v>
      </c>
      <c r="X23" s="3" t="s">
        <v>43</v>
      </c>
      <c r="Y23" s="2" t="str">
        <f t="shared" si="3"/>
        <v>Unique</v>
      </c>
      <c r="AA23" s="2" t="str">
        <f t="shared" si="4"/>
        <v>Invalid</v>
      </c>
      <c r="AB23" s="2" t="str">
        <f t="shared" si="5"/>
        <v>valid</v>
      </c>
      <c r="AC23">
        <f t="shared" si="6"/>
        <v>-0.23</v>
      </c>
      <c r="AD23">
        <f t="shared" si="7"/>
        <v>3432.6348000000003</v>
      </c>
      <c r="AE23">
        <f t="shared" si="8"/>
        <v>1394.9248000000002</v>
      </c>
      <c r="AF23">
        <f t="shared" si="9"/>
        <v>0.40637145553613807</v>
      </c>
      <c r="AG23" t="str">
        <f t="shared" si="10"/>
        <v>January</v>
      </c>
      <c r="AH23">
        <f t="shared" si="11"/>
        <v>2025</v>
      </c>
      <c r="AI23" t="str">
        <f t="shared" si="12"/>
        <v>Invalid</v>
      </c>
    </row>
    <row r="24" spans="1:35" ht="15.75" customHeight="1">
      <c r="A24" s="3" t="s">
        <v>202</v>
      </c>
      <c r="B24" s="3" t="s">
        <v>203</v>
      </c>
      <c r="C24" s="3" t="s">
        <v>204</v>
      </c>
      <c r="D24" s="3" t="str">
        <f t="shared" si="0"/>
        <v>21-Jan-2025</v>
      </c>
      <c r="E24" s="3" t="str">
        <f t="shared" si="1"/>
        <v>19-Jan-2025</v>
      </c>
      <c r="F24" s="3">
        <f t="shared" si="2"/>
        <v>2</v>
      </c>
      <c r="G24" s="3" t="s">
        <v>205</v>
      </c>
      <c r="H24" s="3" t="s">
        <v>48</v>
      </c>
      <c r="I24" s="3" t="s">
        <v>34</v>
      </c>
      <c r="J24" s="3" t="s">
        <v>70</v>
      </c>
      <c r="K24" s="3" t="s">
        <v>71</v>
      </c>
      <c r="L24" s="3" t="s">
        <v>72</v>
      </c>
      <c r="M24" s="3" t="s">
        <v>38</v>
      </c>
      <c r="N24" s="3" t="s">
        <v>206</v>
      </c>
      <c r="O24" s="3" t="s">
        <v>207</v>
      </c>
      <c r="P24" s="3" t="s">
        <v>75</v>
      </c>
      <c r="Q24" s="3">
        <v>8</v>
      </c>
      <c r="R24" s="3">
        <v>1219.3399999999999</v>
      </c>
      <c r="S24" s="3">
        <v>0.15</v>
      </c>
      <c r="T24" s="3">
        <v>8291.51</v>
      </c>
      <c r="U24" s="3">
        <v>6685.03</v>
      </c>
      <c r="V24" s="3">
        <v>1606.48</v>
      </c>
      <c r="W24" s="3" t="s">
        <v>208</v>
      </c>
      <c r="X24" s="3" t="s">
        <v>133</v>
      </c>
      <c r="Y24" s="2" t="str">
        <f t="shared" si="3"/>
        <v>Unique</v>
      </c>
      <c r="AA24" s="2" t="str">
        <f t="shared" si="4"/>
        <v>Clean</v>
      </c>
      <c r="AB24" s="2" t="str">
        <f t="shared" si="5"/>
        <v>valid</v>
      </c>
      <c r="AC24">
        <f t="shared" si="6"/>
        <v>0.15</v>
      </c>
      <c r="AD24">
        <f t="shared" si="7"/>
        <v>8291.5119999999988</v>
      </c>
      <c r="AE24">
        <f t="shared" si="8"/>
        <v>1606.4819999999991</v>
      </c>
      <c r="AF24">
        <f t="shared" si="9"/>
        <v>0.19375018693816029</v>
      </c>
      <c r="AG24" t="str">
        <f t="shared" si="10"/>
        <v>January</v>
      </c>
      <c r="AH24">
        <f t="shared" si="11"/>
        <v>2025</v>
      </c>
      <c r="AI24" t="str">
        <f t="shared" si="12"/>
        <v>Warning</v>
      </c>
    </row>
    <row r="25" spans="1:35" ht="15.75" customHeight="1">
      <c r="A25" s="3" t="s">
        <v>209</v>
      </c>
      <c r="B25" s="3" t="s">
        <v>77</v>
      </c>
      <c r="C25" s="3" t="s">
        <v>210</v>
      </c>
      <c r="D25" s="3" t="str">
        <f t="shared" si="0"/>
        <v>31-Aug-2025</v>
      </c>
      <c r="E25" s="3" t="str">
        <f t="shared" si="1"/>
        <v>29-Aug-2025</v>
      </c>
      <c r="F25" s="3">
        <f t="shared" si="2"/>
        <v>2</v>
      </c>
      <c r="G25" s="3" t="s">
        <v>211</v>
      </c>
      <c r="H25" s="3" t="s">
        <v>156</v>
      </c>
      <c r="I25" s="3" t="s">
        <v>123</v>
      </c>
      <c r="J25" s="3" t="s">
        <v>50</v>
      </c>
      <c r="K25" s="3" t="s">
        <v>194</v>
      </c>
      <c r="L25" s="3" t="s">
        <v>195</v>
      </c>
      <c r="M25" s="3" t="s">
        <v>53</v>
      </c>
      <c r="N25" s="3" t="s">
        <v>212</v>
      </c>
      <c r="O25" s="3" t="s">
        <v>213</v>
      </c>
      <c r="P25" s="3" t="s">
        <v>64</v>
      </c>
      <c r="Q25" s="3">
        <v>4</v>
      </c>
      <c r="R25" s="3">
        <v>1958.01</v>
      </c>
      <c r="S25" s="3">
        <v>0.2</v>
      </c>
      <c r="T25" s="3">
        <v>6265.63</v>
      </c>
      <c r="U25" s="3">
        <v>4321.8599999999997</v>
      </c>
      <c r="V25" s="3">
        <v>1943.77</v>
      </c>
      <c r="W25" s="3" t="s">
        <v>42</v>
      </c>
      <c r="X25" s="3" t="s">
        <v>43</v>
      </c>
      <c r="Y25" s="2" t="str">
        <f t="shared" si="3"/>
        <v>Unique</v>
      </c>
      <c r="AA25" s="2" t="str">
        <f t="shared" si="4"/>
        <v>Clean</v>
      </c>
      <c r="AB25" s="2" t="str">
        <f t="shared" si="5"/>
        <v>valid</v>
      </c>
      <c r="AC25">
        <f t="shared" si="6"/>
        <v>0.2</v>
      </c>
      <c r="AD25">
        <f t="shared" si="7"/>
        <v>6265.6320000000005</v>
      </c>
      <c r="AE25">
        <f t="shared" si="8"/>
        <v>1943.7720000000008</v>
      </c>
      <c r="AF25">
        <f t="shared" si="9"/>
        <v>0.31022760353624351</v>
      </c>
      <c r="AG25" t="str">
        <f t="shared" si="10"/>
        <v>August</v>
      </c>
      <c r="AH25">
        <f t="shared" si="11"/>
        <v>2025</v>
      </c>
      <c r="AI25" t="str">
        <f t="shared" si="12"/>
        <v>Clean</v>
      </c>
    </row>
    <row r="26" spans="1:35" ht="15.75" customHeight="1">
      <c r="A26" s="3" t="s">
        <v>214</v>
      </c>
      <c r="B26" s="3" t="s">
        <v>215</v>
      </c>
      <c r="C26" s="3" t="s">
        <v>216</v>
      </c>
      <c r="D26" s="3" t="str">
        <f t="shared" si="0"/>
        <v>03-Jan-2024</v>
      </c>
      <c r="E26" s="3" t="str">
        <f t="shared" si="1"/>
        <v>04-Mar-2024</v>
      </c>
      <c r="F26" s="3">
        <f t="shared" si="2"/>
        <v>-61</v>
      </c>
      <c r="G26" s="3" t="s">
        <v>217</v>
      </c>
      <c r="H26" s="3" t="s">
        <v>218</v>
      </c>
      <c r="I26" s="3" t="s">
        <v>34</v>
      </c>
      <c r="J26" s="3" t="s">
        <v>35</v>
      </c>
      <c r="K26" s="3" t="s">
        <v>162</v>
      </c>
      <c r="L26" s="3" t="s">
        <v>163</v>
      </c>
      <c r="M26" s="3" t="s">
        <v>38</v>
      </c>
      <c r="N26" s="3" t="s">
        <v>62</v>
      </c>
      <c r="O26" s="3" t="s">
        <v>219</v>
      </c>
      <c r="P26" s="3" t="s">
        <v>75</v>
      </c>
      <c r="Q26" s="3">
        <v>4</v>
      </c>
      <c r="R26" s="3">
        <v>4492.9399999999996</v>
      </c>
      <c r="S26" s="3">
        <v>0.25</v>
      </c>
      <c r="T26" s="3">
        <v>13478.82</v>
      </c>
      <c r="U26" s="3">
        <v>10937.35</v>
      </c>
      <c r="V26" s="3">
        <v>2541.4699999999998</v>
      </c>
      <c r="W26" s="3" t="s">
        <v>145</v>
      </c>
      <c r="X26" s="3" t="s">
        <v>86</v>
      </c>
      <c r="Y26" s="2" t="str">
        <f t="shared" si="3"/>
        <v>Unique</v>
      </c>
      <c r="AA26" s="2" t="str">
        <f t="shared" si="4"/>
        <v>Clean</v>
      </c>
      <c r="AB26" s="2" t="str">
        <f t="shared" si="5"/>
        <v>Invalid</v>
      </c>
      <c r="AC26">
        <f t="shared" si="6"/>
        <v>0.25</v>
      </c>
      <c r="AD26">
        <f t="shared" si="7"/>
        <v>13478.82</v>
      </c>
      <c r="AE26">
        <f t="shared" si="8"/>
        <v>2541.4699999999993</v>
      </c>
      <c r="AF26">
        <f t="shared" si="9"/>
        <v>0.18855285551702591</v>
      </c>
      <c r="AG26" t="str">
        <f t="shared" si="10"/>
        <v>March</v>
      </c>
      <c r="AH26">
        <f t="shared" si="11"/>
        <v>2024</v>
      </c>
      <c r="AI26" t="str">
        <f t="shared" si="12"/>
        <v>Warning</v>
      </c>
    </row>
    <row r="27" spans="1:35" ht="15.75" customHeight="1">
      <c r="A27" s="3" t="s">
        <v>220</v>
      </c>
      <c r="B27" s="3" t="s">
        <v>221</v>
      </c>
      <c r="C27" s="3" t="s">
        <v>222</v>
      </c>
      <c r="D27" s="3" t="str">
        <f t="shared" si="0"/>
        <v>19-Oct-2024</v>
      </c>
      <c r="E27" s="3" t="str">
        <f t="shared" si="1"/>
        <v>11-Oct-2024</v>
      </c>
      <c r="F27" s="3">
        <f t="shared" si="2"/>
        <v>8</v>
      </c>
      <c r="G27" s="3" t="s">
        <v>223</v>
      </c>
      <c r="H27" s="3" t="s">
        <v>69</v>
      </c>
      <c r="I27" s="3" t="s">
        <v>116</v>
      </c>
      <c r="J27" s="3" t="s">
        <v>50</v>
      </c>
      <c r="K27" s="3" t="s">
        <v>224</v>
      </c>
      <c r="L27" s="3" t="s">
        <v>225</v>
      </c>
      <c r="M27" s="3" t="s">
        <v>94</v>
      </c>
      <c r="N27" s="3" t="s">
        <v>95</v>
      </c>
      <c r="O27" s="3" t="s">
        <v>226</v>
      </c>
      <c r="P27" s="3" t="s">
        <v>64</v>
      </c>
      <c r="Q27" s="3">
        <v>2</v>
      </c>
      <c r="R27" s="3">
        <v>4315.2</v>
      </c>
      <c r="S27" s="3">
        <v>0.15</v>
      </c>
      <c r="T27" s="3">
        <v>7335.84</v>
      </c>
      <c r="U27" s="3">
        <v>4968.41</v>
      </c>
      <c r="V27" s="3">
        <v>2367.4299999999998</v>
      </c>
      <c r="W27" s="3" t="s">
        <v>42</v>
      </c>
      <c r="X27" s="3" t="s">
        <v>43</v>
      </c>
      <c r="Y27" s="2" t="str">
        <f t="shared" si="3"/>
        <v>Unique</v>
      </c>
      <c r="AA27" s="2" t="str">
        <f t="shared" si="4"/>
        <v>Clean</v>
      </c>
      <c r="AB27" s="2" t="str">
        <f t="shared" si="5"/>
        <v>valid</v>
      </c>
      <c r="AC27">
        <f t="shared" si="6"/>
        <v>0.15</v>
      </c>
      <c r="AD27">
        <f t="shared" si="7"/>
        <v>7335.8399999999992</v>
      </c>
      <c r="AE27">
        <f t="shared" si="8"/>
        <v>2367.4299999999994</v>
      </c>
      <c r="AF27">
        <f t="shared" si="9"/>
        <v>0.32272105171323251</v>
      </c>
      <c r="AG27" t="str">
        <f t="shared" si="10"/>
        <v>October</v>
      </c>
      <c r="AH27">
        <f t="shared" si="11"/>
        <v>2024</v>
      </c>
      <c r="AI27" t="str">
        <f t="shared" si="12"/>
        <v>Clean</v>
      </c>
    </row>
    <row r="28" spans="1:35" ht="15.75" customHeight="1">
      <c r="A28" s="3" t="s">
        <v>227</v>
      </c>
      <c r="B28" s="3" t="s">
        <v>228</v>
      </c>
      <c r="C28" s="3" t="s">
        <v>229</v>
      </c>
      <c r="D28" s="3" t="str">
        <f t="shared" si="0"/>
        <v>23-Nov-2024</v>
      </c>
      <c r="E28" s="3" t="str">
        <f t="shared" si="1"/>
        <v>23-Nov-2024</v>
      </c>
      <c r="F28" s="3">
        <f t="shared" si="2"/>
        <v>0</v>
      </c>
      <c r="G28" s="3" t="s">
        <v>230</v>
      </c>
      <c r="H28" s="3" t="s">
        <v>218</v>
      </c>
      <c r="I28" s="3" t="s">
        <v>116</v>
      </c>
      <c r="J28" s="3" t="s">
        <v>35</v>
      </c>
      <c r="K28" s="3" t="s">
        <v>182</v>
      </c>
      <c r="L28" s="3" t="s">
        <v>183</v>
      </c>
      <c r="M28" s="3" t="s">
        <v>94</v>
      </c>
      <c r="N28" s="3" t="s">
        <v>231</v>
      </c>
      <c r="O28" s="3" t="s">
        <v>232</v>
      </c>
      <c r="P28" s="3" t="s">
        <v>75</v>
      </c>
      <c r="Q28" s="3">
        <v>4</v>
      </c>
      <c r="R28" s="3">
        <v>716.13</v>
      </c>
      <c r="S28" s="3">
        <v>0.1</v>
      </c>
      <c r="T28" s="3">
        <v>2578.0700000000002</v>
      </c>
      <c r="U28" s="3">
        <v>1527.55</v>
      </c>
      <c r="V28" s="3">
        <v>1050.52</v>
      </c>
      <c r="W28" s="3" t="s">
        <v>42</v>
      </c>
      <c r="X28" s="3" t="s">
        <v>133</v>
      </c>
      <c r="Y28" s="2" t="str">
        <f t="shared" si="3"/>
        <v>Unique</v>
      </c>
      <c r="AA28" s="2" t="str">
        <f t="shared" si="4"/>
        <v>Clean</v>
      </c>
      <c r="AB28" s="2" t="str">
        <f t="shared" si="5"/>
        <v>valid</v>
      </c>
      <c r="AC28">
        <f t="shared" si="6"/>
        <v>0.1</v>
      </c>
      <c r="AD28">
        <f t="shared" si="7"/>
        <v>2578.0680000000002</v>
      </c>
      <c r="AE28">
        <f t="shared" si="8"/>
        <v>1050.5180000000003</v>
      </c>
      <c r="AF28">
        <f t="shared" si="9"/>
        <v>0.40748265755596835</v>
      </c>
      <c r="AG28" t="str">
        <f t="shared" si="10"/>
        <v>November</v>
      </c>
      <c r="AH28">
        <f t="shared" si="11"/>
        <v>2024</v>
      </c>
      <c r="AI28" t="str">
        <f t="shared" si="12"/>
        <v>Clean</v>
      </c>
    </row>
    <row r="29" spans="1:35" ht="15.75" customHeight="1">
      <c r="A29" s="3" t="s">
        <v>233</v>
      </c>
      <c r="B29" s="3" t="s">
        <v>234</v>
      </c>
      <c r="C29" s="3" t="s">
        <v>235</v>
      </c>
      <c r="D29" s="3" t="str">
        <f t="shared" si="0"/>
        <v>05-Oct-2025</v>
      </c>
      <c r="E29" s="3" t="str">
        <f t="shared" si="1"/>
        <v>29-Sep-2025</v>
      </c>
      <c r="F29" s="3">
        <f t="shared" si="2"/>
        <v>6</v>
      </c>
      <c r="G29" s="3" t="s">
        <v>236</v>
      </c>
      <c r="H29" s="3" t="s">
        <v>69</v>
      </c>
      <c r="I29" s="3" t="s">
        <v>49</v>
      </c>
      <c r="J29" s="3" t="s">
        <v>70</v>
      </c>
      <c r="K29" s="3" t="s">
        <v>237</v>
      </c>
      <c r="L29" s="3" t="s">
        <v>238</v>
      </c>
      <c r="M29" s="3" t="s">
        <v>38</v>
      </c>
      <c r="N29" s="3" t="s">
        <v>39</v>
      </c>
      <c r="O29" s="3" t="s">
        <v>239</v>
      </c>
      <c r="P29" s="3" t="s">
        <v>41</v>
      </c>
      <c r="Q29" s="3">
        <v>5</v>
      </c>
      <c r="R29" s="3">
        <v>1806.51</v>
      </c>
      <c r="S29" s="3">
        <v>0.25</v>
      </c>
      <c r="T29" s="3">
        <v>6774.41</v>
      </c>
      <c r="U29" s="3">
        <v>4710.3599999999997</v>
      </c>
      <c r="V29" s="3">
        <v>2064.0500000000002</v>
      </c>
      <c r="W29" s="3" t="s">
        <v>208</v>
      </c>
      <c r="X29" s="3" t="s">
        <v>133</v>
      </c>
      <c r="Y29" s="2" t="str">
        <f t="shared" si="3"/>
        <v>Unique</v>
      </c>
      <c r="AA29" s="2" t="str">
        <f t="shared" si="4"/>
        <v>Clean</v>
      </c>
      <c r="AB29" s="2" t="str">
        <f t="shared" si="5"/>
        <v>valid</v>
      </c>
      <c r="AC29">
        <f t="shared" si="6"/>
        <v>0.25</v>
      </c>
      <c r="AD29">
        <f t="shared" si="7"/>
        <v>6774.4124999999995</v>
      </c>
      <c r="AE29">
        <f t="shared" si="8"/>
        <v>2064.0524999999998</v>
      </c>
      <c r="AF29">
        <f t="shared" si="9"/>
        <v>0.30468361647596748</v>
      </c>
      <c r="AG29" t="str">
        <f t="shared" si="10"/>
        <v>September</v>
      </c>
      <c r="AH29">
        <f t="shared" si="11"/>
        <v>2025</v>
      </c>
      <c r="AI29" t="str">
        <f t="shared" si="12"/>
        <v>Warning</v>
      </c>
    </row>
    <row r="30" spans="1:35" ht="15.75" customHeight="1">
      <c r="A30" s="3" t="s">
        <v>240</v>
      </c>
      <c r="B30" s="3" t="s">
        <v>221</v>
      </c>
      <c r="C30" s="3" t="s">
        <v>241</v>
      </c>
      <c r="D30" s="3" t="str">
        <f t="shared" si="0"/>
        <v>18-Oct-2024</v>
      </c>
      <c r="E30" s="3" t="str">
        <f t="shared" si="1"/>
        <v>11-Oct-2024</v>
      </c>
      <c r="F30" s="3">
        <f t="shared" si="2"/>
        <v>7</v>
      </c>
      <c r="G30" s="3" t="s">
        <v>242</v>
      </c>
      <c r="H30" s="3" t="s">
        <v>80</v>
      </c>
      <c r="I30" s="3" t="s">
        <v>123</v>
      </c>
      <c r="J30" s="3" t="s">
        <v>81</v>
      </c>
      <c r="K30" s="3" t="s">
        <v>243</v>
      </c>
      <c r="L30" s="3" t="s">
        <v>244</v>
      </c>
      <c r="M30" s="3" t="s">
        <v>94</v>
      </c>
      <c r="N30" s="3" t="s">
        <v>231</v>
      </c>
      <c r="O30" s="3" t="s">
        <v>245</v>
      </c>
      <c r="P30" s="3" t="s">
        <v>41</v>
      </c>
      <c r="Q30" s="3">
        <v>2</v>
      </c>
      <c r="R30" s="3">
        <v>1942.22</v>
      </c>
      <c r="S30" s="3">
        <v>0.25</v>
      </c>
      <c r="T30" s="3">
        <v>2913.33</v>
      </c>
      <c r="U30" s="3">
        <v>2122.33</v>
      </c>
      <c r="V30" s="3">
        <v>791</v>
      </c>
      <c r="W30" s="3" t="s">
        <v>132</v>
      </c>
      <c r="X30" s="3" t="s">
        <v>86</v>
      </c>
      <c r="Y30" s="2" t="str">
        <f t="shared" si="3"/>
        <v>Unique</v>
      </c>
      <c r="AA30" s="2" t="str">
        <f t="shared" si="4"/>
        <v>Clean</v>
      </c>
      <c r="AB30" s="2" t="str">
        <f t="shared" si="5"/>
        <v>valid</v>
      </c>
      <c r="AC30">
        <f t="shared" si="6"/>
        <v>0.25</v>
      </c>
      <c r="AD30">
        <f t="shared" si="7"/>
        <v>2913.33</v>
      </c>
      <c r="AE30">
        <f t="shared" si="8"/>
        <v>791</v>
      </c>
      <c r="AF30">
        <f t="shared" si="9"/>
        <v>0.27151060813570727</v>
      </c>
      <c r="AG30" t="str">
        <f t="shared" si="10"/>
        <v>October</v>
      </c>
      <c r="AH30">
        <f t="shared" si="11"/>
        <v>2024</v>
      </c>
      <c r="AI30" t="str">
        <f t="shared" si="12"/>
        <v>Warning</v>
      </c>
    </row>
    <row r="31" spans="1:35" ht="15.75" customHeight="1">
      <c r="A31" s="3" t="s">
        <v>246</v>
      </c>
      <c r="B31" s="3" t="s">
        <v>247</v>
      </c>
      <c r="C31" s="3" t="s">
        <v>248</v>
      </c>
      <c r="D31" s="3" t="str">
        <f t="shared" si="0"/>
        <v>13-Aug-2025</v>
      </c>
      <c r="E31" s="3" t="str">
        <f t="shared" si="1"/>
        <v>13-Aug-2025</v>
      </c>
      <c r="F31" s="3">
        <f t="shared" si="2"/>
        <v>0</v>
      </c>
      <c r="G31" s="3" t="s">
        <v>249</v>
      </c>
      <c r="H31" s="3" t="s">
        <v>188</v>
      </c>
      <c r="I31" s="3" t="s">
        <v>123</v>
      </c>
      <c r="J31" s="3" t="s">
        <v>70</v>
      </c>
      <c r="K31" s="3" t="s">
        <v>250</v>
      </c>
      <c r="L31" s="3" t="s">
        <v>251</v>
      </c>
      <c r="M31" s="3" t="s">
        <v>94</v>
      </c>
      <c r="N31" s="3" t="s">
        <v>231</v>
      </c>
      <c r="O31" s="3" t="s">
        <v>252</v>
      </c>
      <c r="P31" s="3" t="s">
        <v>75</v>
      </c>
      <c r="Q31" s="3">
        <v>1</v>
      </c>
      <c r="R31" s="3">
        <v>256.01</v>
      </c>
      <c r="S31" s="3">
        <v>0.15</v>
      </c>
      <c r="T31" s="3">
        <v>217.61</v>
      </c>
      <c r="U31" s="3">
        <v>119.77</v>
      </c>
      <c r="V31" s="3">
        <v>97.84</v>
      </c>
      <c r="W31" s="3" t="s">
        <v>42</v>
      </c>
      <c r="X31" s="3" t="s">
        <v>43</v>
      </c>
      <c r="Y31" s="2" t="str">
        <f t="shared" si="3"/>
        <v>Unique</v>
      </c>
      <c r="AA31" s="2" t="str">
        <f t="shared" si="4"/>
        <v>Clean</v>
      </c>
      <c r="AB31" s="2" t="str">
        <f t="shared" si="5"/>
        <v>valid</v>
      </c>
      <c r="AC31">
        <f t="shared" si="6"/>
        <v>0.15</v>
      </c>
      <c r="AD31">
        <f t="shared" si="7"/>
        <v>217.60849999999999</v>
      </c>
      <c r="AE31">
        <f t="shared" si="8"/>
        <v>97.838499999999996</v>
      </c>
      <c r="AF31">
        <f t="shared" si="9"/>
        <v>0.44960789675035673</v>
      </c>
      <c r="AG31" t="str">
        <f t="shared" si="10"/>
        <v>August</v>
      </c>
      <c r="AH31">
        <f t="shared" si="11"/>
        <v>2025</v>
      </c>
      <c r="AI31" t="str">
        <f t="shared" si="12"/>
        <v>Clean</v>
      </c>
    </row>
    <row r="32" spans="1:35" ht="15.75" customHeight="1">
      <c r="A32" s="3" t="s">
        <v>253</v>
      </c>
      <c r="B32" s="3" t="s">
        <v>254</v>
      </c>
      <c r="C32" s="3" t="s">
        <v>255</v>
      </c>
      <c r="D32" s="3" t="str">
        <f t="shared" si="0"/>
        <v>02-Dec-2024</v>
      </c>
      <c r="E32" s="3" t="str">
        <f t="shared" si="1"/>
        <v>09-Feb-2024</v>
      </c>
      <c r="F32" s="3">
        <f t="shared" si="2"/>
        <v>297</v>
      </c>
      <c r="G32" s="3" t="s">
        <v>256</v>
      </c>
      <c r="H32" s="3" t="s">
        <v>80</v>
      </c>
      <c r="I32" s="3" t="s">
        <v>116</v>
      </c>
      <c r="J32" s="3" t="s">
        <v>81</v>
      </c>
      <c r="K32" s="3" t="s">
        <v>257</v>
      </c>
      <c r="L32" s="3" t="s">
        <v>258</v>
      </c>
      <c r="M32" s="3" t="s">
        <v>38</v>
      </c>
      <c r="N32" s="3" t="s">
        <v>117</v>
      </c>
      <c r="O32" s="3" t="s">
        <v>259</v>
      </c>
      <c r="P32" s="3" t="s">
        <v>64</v>
      </c>
      <c r="Q32" s="3">
        <v>1</v>
      </c>
      <c r="R32" s="3">
        <v>3421.77</v>
      </c>
      <c r="S32" s="3">
        <v>0.1</v>
      </c>
      <c r="T32" s="3">
        <v>3079.59</v>
      </c>
      <c r="U32" s="3">
        <v>2001.89</v>
      </c>
      <c r="V32" s="3">
        <v>1077.7</v>
      </c>
      <c r="W32" s="3" t="s">
        <v>42</v>
      </c>
      <c r="X32" s="3" t="s">
        <v>43</v>
      </c>
      <c r="Y32" s="2" t="str">
        <f t="shared" si="3"/>
        <v>Unique</v>
      </c>
      <c r="AA32" s="2" t="str">
        <f t="shared" si="4"/>
        <v>Clean</v>
      </c>
      <c r="AB32" s="2" t="str">
        <f t="shared" si="5"/>
        <v>valid</v>
      </c>
      <c r="AC32">
        <f t="shared" si="6"/>
        <v>0.1</v>
      </c>
      <c r="AD32">
        <f t="shared" si="7"/>
        <v>3079.5929999999998</v>
      </c>
      <c r="AE32">
        <f t="shared" si="8"/>
        <v>1077.7029999999997</v>
      </c>
      <c r="AF32">
        <f t="shared" si="9"/>
        <v>0.34994981479695525</v>
      </c>
      <c r="AG32" t="str">
        <f t="shared" si="10"/>
        <v>February</v>
      </c>
      <c r="AH32">
        <f t="shared" si="11"/>
        <v>2024</v>
      </c>
      <c r="AI32" t="str">
        <f t="shared" si="12"/>
        <v>Clean</v>
      </c>
    </row>
    <row r="33" spans="1:35" ht="15.75" customHeight="1">
      <c r="A33" s="3" t="s">
        <v>260</v>
      </c>
      <c r="B33" s="3" t="s">
        <v>261</v>
      </c>
      <c r="C33" s="3" t="s">
        <v>262</v>
      </c>
      <c r="D33" s="3" t="str">
        <f t="shared" si="0"/>
        <v>19-Jun-2025</v>
      </c>
      <c r="E33" s="3" t="str">
        <f t="shared" si="1"/>
        <v>15-Jun-2025</v>
      </c>
      <c r="F33" s="3">
        <f t="shared" si="2"/>
        <v>4</v>
      </c>
      <c r="G33" s="3" t="s">
        <v>263</v>
      </c>
      <c r="H33" s="3" t="s">
        <v>33</v>
      </c>
      <c r="I33" s="3" t="s">
        <v>49</v>
      </c>
      <c r="J33" s="3" t="s">
        <v>81</v>
      </c>
      <c r="K33" s="3" t="s">
        <v>92</v>
      </c>
      <c r="L33" s="3" t="s">
        <v>93</v>
      </c>
      <c r="M33" s="3" t="s">
        <v>38</v>
      </c>
      <c r="N33" s="3" t="s">
        <v>39</v>
      </c>
      <c r="O33" s="3" t="s">
        <v>264</v>
      </c>
      <c r="P33" s="3" t="s">
        <v>41</v>
      </c>
      <c r="Q33" s="3">
        <v>9</v>
      </c>
      <c r="R33" s="3">
        <v>3092.55</v>
      </c>
      <c r="S33" s="3">
        <v>0</v>
      </c>
      <c r="T33" s="3">
        <v>27832.95</v>
      </c>
      <c r="U33" s="3">
        <v>17769.75</v>
      </c>
      <c r="V33" s="3">
        <v>10063.200000000001</v>
      </c>
      <c r="W33" s="3" t="s">
        <v>208</v>
      </c>
      <c r="X33" s="3" t="s">
        <v>133</v>
      </c>
      <c r="Y33" s="2" t="str">
        <f t="shared" si="3"/>
        <v>Unique</v>
      </c>
      <c r="AA33" s="2" t="str">
        <f t="shared" si="4"/>
        <v>Clean</v>
      </c>
      <c r="AB33" s="2" t="str">
        <f t="shared" si="5"/>
        <v>valid</v>
      </c>
      <c r="AC33">
        <f t="shared" si="6"/>
        <v>0</v>
      </c>
      <c r="AD33">
        <f t="shared" si="7"/>
        <v>27832.95</v>
      </c>
      <c r="AE33">
        <f t="shared" si="8"/>
        <v>10063.200000000001</v>
      </c>
      <c r="AF33">
        <f t="shared" si="9"/>
        <v>0.36155707533696574</v>
      </c>
      <c r="AG33" t="str">
        <f t="shared" si="10"/>
        <v>June</v>
      </c>
      <c r="AH33">
        <f t="shared" si="11"/>
        <v>2025</v>
      </c>
      <c r="AI33" t="str">
        <f t="shared" si="12"/>
        <v>Warning</v>
      </c>
    </row>
    <row r="34" spans="1:35" ht="15.75" customHeight="1">
      <c r="A34" s="3" t="s">
        <v>265</v>
      </c>
      <c r="B34" s="3" t="s">
        <v>266</v>
      </c>
      <c r="C34" s="3" t="s">
        <v>267</v>
      </c>
      <c r="D34" s="3" t="str">
        <f t="shared" si="0"/>
        <v>26-Nov-2024</v>
      </c>
      <c r="E34" s="3" t="str">
        <f t="shared" si="1"/>
        <v>22-Nov-2024</v>
      </c>
      <c r="F34" s="3">
        <f t="shared" si="2"/>
        <v>4</v>
      </c>
      <c r="G34" s="3" t="s">
        <v>268</v>
      </c>
      <c r="H34" s="3" t="s">
        <v>170</v>
      </c>
      <c r="I34" s="3" t="s">
        <v>116</v>
      </c>
      <c r="J34" s="3" t="s">
        <v>70</v>
      </c>
      <c r="K34" s="3" t="s">
        <v>108</v>
      </c>
      <c r="L34" s="3" t="s">
        <v>109</v>
      </c>
      <c r="M34" s="3" t="s">
        <v>94</v>
      </c>
      <c r="N34" s="3" t="s">
        <v>231</v>
      </c>
      <c r="O34" s="3" t="s">
        <v>269</v>
      </c>
      <c r="P34" s="3" t="s">
        <v>41</v>
      </c>
      <c r="Q34" s="3">
        <v>3</v>
      </c>
      <c r="R34" s="3">
        <v>4001.25</v>
      </c>
      <c r="S34" s="3">
        <v>0</v>
      </c>
      <c r="T34" s="3">
        <v>9002.81</v>
      </c>
      <c r="U34" s="3">
        <v>7529.92</v>
      </c>
      <c r="V34" s="3">
        <v>1472.89</v>
      </c>
      <c r="W34" s="3" t="s">
        <v>42</v>
      </c>
      <c r="X34" s="3" t="s">
        <v>43</v>
      </c>
      <c r="Y34" s="4" t="str">
        <f t="shared" si="3"/>
        <v>Unique</v>
      </c>
      <c r="AA34" s="2" t="str">
        <f t="shared" si="4"/>
        <v>Clean</v>
      </c>
      <c r="AB34" s="2" t="str">
        <f t="shared" si="5"/>
        <v>valid</v>
      </c>
      <c r="AC34">
        <f t="shared" si="6"/>
        <v>0</v>
      </c>
      <c r="AD34">
        <f t="shared" si="7"/>
        <v>12003.75</v>
      </c>
      <c r="AE34">
        <f t="shared" si="8"/>
        <v>4473.83</v>
      </c>
      <c r="AF34">
        <f t="shared" si="9"/>
        <v>0.37270269707383108</v>
      </c>
      <c r="AG34" t="str">
        <f t="shared" si="10"/>
        <v>November</v>
      </c>
      <c r="AH34">
        <f t="shared" si="11"/>
        <v>2024</v>
      </c>
      <c r="AI34" t="str">
        <f t="shared" si="12"/>
        <v>Clean</v>
      </c>
    </row>
    <row r="35" spans="1:35" ht="15.75" customHeight="1">
      <c r="A35" s="3" t="s">
        <v>270</v>
      </c>
      <c r="B35" s="3" t="s">
        <v>271</v>
      </c>
      <c r="C35" s="3" t="s">
        <v>272</v>
      </c>
      <c r="D35" s="3" t="str">
        <f t="shared" si="0"/>
        <v>27-Jul-2024</v>
      </c>
      <c r="E35" s="3" t="str">
        <f t="shared" si="1"/>
        <v>22-Jul-2024</v>
      </c>
      <c r="F35" s="3">
        <f t="shared" si="2"/>
        <v>5</v>
      </c>
      <c r="G35" s="3" t="s">
        <v>273</v>
      </c>
      <c r="H35" s="3" t="s">
        <v>150</v>
      </c>
      <c r="I35" s="3" t="s">
        <v>123</v>
      </c>
      <c r="J35" s="3" t="s">
        <v>81</v>
      </c>
      <c r="K35" s="3" t="s">
        <v>257</v>
      </c>
      <c r="L35" s="3" t="s">
        <v>258</v>
      </c>
      <c r="M35" s="3" t="s">
        <v>53</v>
      </c>
      <c r="N35" s="3" t="s">
        <v>54</v>
      </c>
      <c r="O35" s="3" t="s">
        <v>274</v>
      </c>
      <c r="P35" s="3" t="s">
        <v>56</v>
      </c>
      <c r="Q35" s="3">
        <v>7</v>
      </c>
      <c r="R35" s="3">
        <v>492.41</v>
      </c>
      <c r="S35" s="3">
        <v>0.25</v>
      </c>
      <c r="T35" s="3">
        <v>2585.15</v>
      </c>
      <c r="U35" s="3">
        <v>2070.73</v>
      </c>
      <c r="V35" s="3">
        <v>514.41999999999996</v>
      </c>
      <c r="W35" s="3" t="s">
        <v>42</v>
      </c>
      <c r="X35" s="3" t="s">
        <v>43</v>
      </c>
      <c r="Y35" s="2" t="str">
        <f t="shared" si="3"/>
        <v>Unique</v>
      </c>
      <c r="AA35" s="2" t="str">
        <f t="shared" si="4"/>
        <v>Clean</v>
      </c>
      <c r="AB35" s="2" t="str">
        <f t="shared" si="5"/>
        <v>valid</v>
      </c>
      <c r="AC35">
        <f t="shared" si="6"/>
        <v>0.25</v>
      </c>
      <c r="AD35">
        <f t="shared" si="7"/>
        <v>2585.1525000000001</v>
      </c>
      <c r="AE35">
        <f t="shared" si="8"/>
        <v>514.42250000000013</v>
      </c>
      <c r="AF35">
        <f t="shared" si="9"/>
        <v>0.19899116203009304</v>
      </c>
      <c r="AG35" t="str">
        <f t="shared" si="10"/>
        <v>July</v>
      </c>
      <c r="AH35">
        <f t="shared" si="11"/>
        <v>2024</v>
      </c>
      <c r="AI35" t="str">
        <f t="shared" si="12"/>
        <v>Clean</v>
      </c>
    </row>
    <row r="36" spans="1:35" ht="15.75" customHeight="1">
      <c r="A36" s="3" t="s">
        <v>275</v>
      </c>
      <c r="B36" s="3" t="s">
        <v>276</v>
      </c>
      <c r="C36" s="3" t="s">
        <v>277</v>
      </c>
      <c r="D36" s="3" t="str">
        <f t="shared" si="0"/>
        <v>05-Feb-2025</v>
      </c>
      <c r="E36" s="3" t="str">
        <f t="shared" si="1"/>
        <v>31-Jan-2025</v>
      </c>
      <c r="F36" s="3">
        <f t="shared" si="2"/>
        <v>5</v>
      </c>
      <c r="G36" s="3" t="s">
        <v>278</v>
      </c>
      <c r="H36" s="3" t="s">
        <v>150</v>
      </c>
      <c r="I36" s="3" t="s">
        <v>123</v>
      </c>
      <c r="J36" s="3" t="s">
        <v>50</v>
      </c>
      <c r="K36" s="3" t="s">
        <v>129</v>
      </c>
      <c r="L36" s="3" t="s">
        <v>130</v>
      </c>
      <c r="M36" s="3" t="s">
        <v>53</v>
      </c>
      <c r="N36" s="3" t="s">
        <v>84</v>
      </c>
      <c r="O36" s="3" t="s">
        <v>279</v>
      </c>
      <c r="P36" s="3" t="s">
        <v>280</v>
      </c>
      <c r="Q36" s="3">
        <v>2</v>
      </c>
      <c r="R36" s="3">
        <v>4159.6899999999996</v>
      </c>
      <c r="S36" s="3">
        <v>0.2</v>
      </c>
      <c r="T36" s="3">
        <v>6655.5</v>
      </c>
      <c r="U36" s="3">
        <v>4340.21</v>
      </c>
      <c r="V36" s="3">
        <v>2607.3200000000002</v>
      </c>
      <c r="W36" s="3" t="s">
        <v>42</v>
      </c>
      <c r="X36" s="3" t="s">
        <v>43</v>
      </c>
      <c r="Y36" s="2" t="str">
        <f t="shared" si="3"/>
        <v>Unique</v>
      </c>
      <c r="AA36" s="2" t="str">
        <f t="shared" si="4"/>
        <v>Clean</v>
      </c>
      <c r="AB36" s="2" t="str">
        <f t="shared" si="5"/>
        <v>valid</v>
      </c>
      <c r="AC36">
        <f t="shared" si="6"/>
        <v>0.2</v>
      </c>
      <c r="AD36">
        <f t="shared" si="7"/>
        <v>6655.5039999999999</v>
      </c>
      <c r="AE36">
        <f t="shared" si="8"/>
        <v>2315.2939999999999</v>
      </c>
      <c r="AF36">
        <f t="shared" si="9"/>
        <v>0.34787658455317583</v>
      </c>
      <c r="AG36" t="str">
        <f t="shared" si="10"/>
        <v>January</v>
      </c>
      <c r="AH36">
        <f t="shared" si="11"/>
        <v>2025</v>
      </c>
      <c r="AI36" t="str">
        <f t="shared" si="12"/>
        <v>Clean</v>
      </c>
    </row>
    <row r="37" spans="1:35" ht="15.75" customHeight="1">
      <c r="A37" s="3" t="s">
        <v>281</v>
      </c>
      <c r="B37" s="3" t="s">
        <v>282</v>
      </c>
      <c r="C37" s="3" t="s">
        <v>283</v>
      </c>
      <c r="D37" s="3" t="str">
        <f t="shared" si="0"/>
        <v>29-May-2024</v>
      </c>
      <c r="E37" s="3" t="str">
        <f t="shared" si="1"/>
        <v>29-May-2024</v>
      </c>
      <c r="F37" s="3">
        <f t="shared" si="2"/>
        <v>0</v>
      </c>
      <c r="G37" s="3" t="s">
        <v>284</v>
      </c>
      <c r="H37" s="3" t="s">
        <v>176</v>
      </c>
      <c r="I37" s="3" t="s">
        <v>49</v>
      </c>
      <c r="J37" s="3" t="s">
        <v>81</v>
      </c>
      <c r="K37" s="3" t="s">
        <v>243</v>
      </c>
      <c r="L37" s="3" t="s">
        <v>244</v>
      </c>
      <c r="M37" s="3" t="s">
        <v>53</v>
      </c>
      <c r="N37" s="3" t="s">
        <v>212</v>
      </c>
      <c r="O37" s="3" t="s">
        <v>285</v>
      </c>
      <c r="P37" s="3" t="s">
        <v>41</v>
      </c>
      <c r="Q37" s="3">
        <v>8</v>
      </c>
      <c r="R37" s="3">
        <v>2507.12</v>
      </c>
      <c r="S37" s="3">
        <v>0.05</v>
      </c>
      <c r="T37" s="3">
        <v>19054.11</v>
      </c>
      <c r="U37" s="3">
        <v>15313.83</v>
      </c>
      <c r="V37" s="3">
        <v>3740.28</v>
      </c>
      <c r="W37" s="3" t="s">
        <v>145</v>
      </c>
      <c r="X37" s="3" t="s">
        <v>133</v>
      </c>
      <c r="Y37" s="2" t="str">
        <f t="shared" si="3"/>
        <v>Unique</v>
      </c>
      <c r="AA37" s="2" t="str">
        <f t="shared" si="4"/>
        <v>Clean</v>
      </c>
      <c r="AB37" s="2" t="str">
        <f t="shared" si="5"/>
        <v>valid</v>
      </c>
      <c r="AC37">
        <f t="shared" si="6"/>
        <v>0.05</v>
      </c>
      <c r="AD37">
        <f t="shared" si="7"/>
        <v>19054.111999999997</v>
      </c>
      <c r="AE37">
        <f t="shared" si="8"/>
        <v>3740.2819999999974</v>
      </c>
      <c r="AF37">
        <f t="shared" si="9"/>
        <v>0.19629789097492437</v>
      </c>
      <c r="AG37" t="str">
        <f t="shared" si="10"/>
        <v>May</v>
      </c>
      <c r="AH37">
        <f t="shared" si="11"/>
        <v>2024</v>
      </c>
      <c r="AI37" t="str">
        <f t="shared" si="12"/>
        <v>Clean</v>
      </c>
    </row>
    <row r="38" spans="1:35" ht="15.75" customHeight="1">
      <c r="A38" s="3" t="s">
        <v>286</v>
      </c>
      <c r="B38" s="3" t="s">
        <v>287</v>
      </c>
      <c r="C38" s="3" t="s">
        <v>288</v>
      </c>
      <c r="D38" s="3" t="str">
        <f t="shared" si="0"/>
        <v>28-Oct-2024</v>
      </c>
      <c r="E38" s="3" t="str">
        <f t="shared" si="1"/>
        <v>25-Oct-2024</v>
      </c>
      <c r="F38" s="3">
        <f t="shared" si="2"/>
        <v>3</v>
      </c>
      <c r="G38" s="3" t="s">
        <v>289</v>
      </c>
      <c r="H38" s="3" t="s">
        <v>188</v>
      </c>
      <c r="I38" s="3" t="s">
        <v>116</v>
      </c>
      <c r="J38" s="3" t="s">
        <v>81</v>
      </c>
      <c r="K38" s="3" t="s">
        <v>82</v>
      </c>
      <c r="L38" s="3" t="s">
        <v>83</v>
      </c>
      <c r="M38" s="3" t="s">
        <v>53</v>
      </c>
      <c r="N38" s="3" t="s">
        <v>212</v>
      </c>
      <c r="O38" s="3" t="s">
        <v>290</v>
      </c>
      <c r="P38" s="3" t="s">
        <v>41</v>
      </c>
      <c r="Q38" s="3">
        <v>3</v>
      </c>
      <c r="R38" s="3">
        <v>3126.47</v>
      </c>
      <c r="S38" s="3">
        <v>0</v>
      </c>
      <c r="T38" s="3">
        <v>9379.41</v>
      </c>
      <c r="U38" s="3">
        <v>6670.85</v>
      </c>
      <c r="V38" s="3">
        <v>2708.56</v>
      </c>
      <c r="W38" s="3" t="s">
        <v>42</v>
      </c>
      <c r="X38" s="3" t="s">
        <v>133</v>
      </c>
      <c r="Y38" s="2" t="str">
        <f t="shared" si="3"/>
        <v>Unique</v>
      </c>
      <c r="AA38" s="2" t="str">
        <f t="shared" si="4"/>
        <v>Clean</v>
      </c>
      <c r="AB38" s="2" t="str">
        <f t="shared" si="5"/>
        <v>valid</v>
      </c>
      <c r="AC38">
        <f t="shared" si="6"/>
        <v>0</v>
      </c>
      <c r="AD38">
        <f t="shared" si="7"/>
        <v>9379.41</v>
      </c>
      <c r="AE38">
        <f t="shared" si="8"/>
        <v>2708.5599999999995</v>
      </c>
      <c r="AF38">
        <f t="shared" si="9"/>
        <v>0.28877722585962223</v>
      </c>
      <c r="AG38" t="str">
        <f t="shared" si="10"/>
        <v>October</v>
      </c>
      <c r="AH38">
        <f t="shared" si="11"/>
        <v>2024</v>
      </c>
      <c r="AI38" t="str">
        <f t="shared" si="12"/>
        <v>Clean</v>
      </c>
    </row>
    <row r="39" spans="1:35" ht="15.75" customHeight="1">
      <c r="A39" s="3" t="s">
        <v>291</v>
      </c>
      <c r="B39" s="3" t="s">
        <v>292</v>
      </c>
      <c r="C39" s="3" t="s">
        <v>292</v>
      </c>
      <c r="D39" s="3" t="str">
        <f t="shared" si="0"/>
        <v>29-Jul-2025</v>
      </c>
      <c r="E39" s="3" t="str">
        <f t="shared" si="1"/>
        <v>29-Jul-2025</v>
      </c>
      <c r="F39" s="3">
        <f t="shared" si="2"/>
        <v>0</v>
      </c>
      <c r="G39" s="3" t="s">
        <v>293</v>
      </c>
      <c r="H39" s="3" t="s">
        <v>218</v>
      </c>
      <c r="I39" s="3" t="s">
        <v>34</v>
      </c>
      <c r="J39" s="3" t="s">
        <v>81</v>
      </c>
      <c r="K39" s="3" t="s">
        <v>82</v>
      </c>
      <c r="L39" s="3" t="s">
        <v>83</v>
      </c>
      <c r="M39" s="3" t="s">
        <v>94</v>
      </c>
      <c r="N39" s="3" t="s">
        <v>102</v>
      </c>
      <c r="O39" s="3" t="s">
        <v>294</v>
      </c>
      <c r="P39" s="3" t="s">
        <v>75</v>
      </c>
      <c r="Q39" s="3">
        <v>4</v>
      </c>
      <c r="R39" s="3">
        <v>1327.54</v>
      </c>
      <c r="S39" s="3">
        <v>0.2</v>
      </c>
      <c r="T39" s="3">
        <v>4248.13</v>
      </c>
      <c r="U39" s="3">
        <v>3321.09</v>
      </c>
      <c r="V39" s="3">
        <v>927.04</v>
      </c>
      <c r="W39" s="3" t="s">
        <v>42</v>
      </c>
      <c r="X39" s="3" t="s">
        <v>43</v>
      </c>
      <c r="Y39" s="2" t="str">
        <f t="shared" si="3"/>
        <v>Unique</v>
      </c>
      <c r="AA39" s="2" t="str">
        <f t="shared" si="4"/>
        <v>Clean</v>
      </c>
      <c r="AB39" s="2" t="str">
        <f t="shared" si="5"/>
        <v>valid</v>
      </c>
      <c r="AC39">
        <f t="shared" si="6"/>
        <v>0.2</v>
      </c>
      <c r="AD39">
        <f t="shared" si="7"/>
        <v>4248.1279999999997</v>
      </c>
      <c r="AE39">
        <f t="shared" si="8"/>
        <v>927.03799999999956</v>
      </c>
      <c r="AF39">
        <f t="shared" si="9"/>
        <v>0.21822270892025844</v>
      </c>
      <c r="AG39" t="str">
        <f t="shared" si="10"/>
        <v>July</v>
      </c>
      <c r="AH39">
        <f t="shared" si="11"/>
        <v>2025</v>
      </c>
      <c r="AI39" t="str">
        <f t="shared" si="12"/>
        <v>Clean</v>
      </c>
    </row>
    <row r="40" spans="1:35" ht="15.75" customHeight="1">
      <c r="A40" s="3" t="s">
        <v>295</v>
      </c>
      <c r="B40" s="3" t="s">
        <v>296</v>
      </c>
      <c r="C40" s="3" t="s">
        <v>297</v>
      </c>
      <c r="D40" s="3" t="str">
        <f t="shared" si="0"/>
        <v>22-Jun-2024</v>
      </c>
      <c r="E40" s="3" t="str">
        <f t="shared" si="1"/>
        <v>17-Jun-2024</v>
      </c>
      <c r="F40" s="3">
        <f t="shared" si="2"/>
        <v>5</v>
      </c>
      <c r="G40" s="3" t="s">
        <v>298</v>
      </c>
      <c r="H40" s="3" t="s">
        <v>170</v>
      </c>
      <c r="I40" s="3" t="s">
        <v>116</v>
      </c>
      <c r="J40" s="3" t="s">
        <v>81</v>
      </c>
      <c r="K40" s="3" t="s">
        <v>243</v>
      </c>
      <c r="L40" s="3" t="s">
        <v>244</v>
      </c>
      <c r="M40" s="3" t="s">
        <v>94</v>
      </c>
      <c r="N40" s="3" t="s">
        <v>231</v>
      </c>
      <c r="O40" s="3" t="s">
        <v>299</v>
      </c>
      <c r="P40" s="3" t="s">
        <v>64</v>
      </c>
      <c r="Q40" s="3">
        <v>7</v>
      </c>
      <c r="R40" s="3">
        <v>2210.6799999999998</v>
      </c>
      <c r="S40" s="3">
        <v>0.1</v>
      </c>
      <c r="T40" s="3">
        <v>13927.28</v>
      </c>
      <c r="U40" s="3">
        <v>10504.87</v>
      </c>
      <c r="V40" s="3">
        <v>3422.41</v>
      </c>
      <c r="W40" s="3" t="s">
        <v>42</v>
      </c>
      <c r="X40" s="3" t="s">
        <v>43</v>
      </c>
      <c r="Y40" s="2" t="str">
        <f t="shared" si="3"/>
        <v>Unique</v>
      </c>
      <c r="AA40" s="2" t="str">
        <f t="shared" si="4"/>
        <v>Clean</v>
      </c>
      <c r="AB40" s="2" t="str">
        <f t="shared" si="5"/>
        <v>valid</v>
      </c>
      <c r="AC40">
        <f t="shared" si="6"/>
        <v>0.1</v>
      </c>
      <c r="AD40">
        <f t="shared" si="7"/>
        <v>13927.284</v>
      </c>
      <c r="AE40">
        <f t="shared" si="8"/>
        <v>3422.4139999999989</v>
      </c>
      <c r="AF40">
        <f t="shared" si="9"/>
        <v>0.24573448778670692</v>
      </c>
      <c r="AG40" t="str">
        <f t="shared" si="10"/>
        <v>June</v>
      </c>
      <c r="AH40">
        <f t="shared" si="11"/>
        <v>2024</v>
      </c>
      <c r="AI40" t="str">
        <f t="shared" si="12"/>
        <v>Clean</v>
      </c>
    </row>
    <row r="41" spans="1:35" ht="15.75" customHeight="1">
      <c r="A41" s="3" t="s">
        <v>300</v>
      </c>
      <c r="B41" s="3" t="s">
        <v>301</v>
      </c>
      <c r="C41" s="3" t="s">
        <v>302</v>
      </c>
      <c r="D41" s="3" t="str">
        <f t="shared" si="0"/>
        <v>11-Dec-2024</v>
      </c>
      <c r="E41" s="3" t="str">
        <f t="shared" si="1"/>
        <v>12-Nov-2024</v>
      </c>
      <c r="F41" s="3">
        <f t="shared" si="2"/>
        <v>29</v>
      </c>
      <c r="G41" s="3" t="s">
        <v>303</v>
      </c>
      <c r="H41" s="3" t="s">
        <v>48</v>
      </c>
      <c r="I41" s="3" t="s">
        <v>49</v>
      </c>
      <c r="J41" s="3" t="s">
        <v>81</v>
      </c>
      <c r="K41" s="3" t="s">
        <v>92</v>
      </c>
      <c r="L41" s="3" t="s">
        <v>93</v>
      </c>
      <c r="M41" s="3" t="s">
        <v>94</v>
      </c>
      <c r="N41" s="3" t="s">
        <v>102</v>
      </c>
      <c r="O41" s="3" t="s">
        <v>304</v>
      </c>
      <c r="P41" s="3" t="s">
        <v>64</v>
      </c>
      <c r="Q41" s="3">
        <v>4</v>
      </c>
      <c r="R41" s="3">
        <v>1370.92</v>
      </c>
      <c r="S41" s="3">
        <v>0.1</v>
      </c>
      <c r="T41" s="3">
        <v>4935.3100000000004</v>
      </c>
      <c r="U41" s="3">
        <v>3374.77</v>
      </c>
      <c r="V41" s="3">
        <v>1560.54</v>
      </c>
      <c r="W41" s="3" t="s">
        <v>145</v>
      </c>
      <c r="X41" s="3" t="s">
        <v>133</v>
      </c>
      <c r="Y41" s="2" t="str">
        <f t="shared" si="3"/>
        <v>Unique</v>
      </c>
      <c r="AA41" s="2" t="str">
        <f t="shared" si="4"/>
        <v>Clean</v>
      </c>
      <c r="AB41" s="2" t="str">
        <f t="shared" si="5"/>
        <v>valid</v>
      </c>
      <c r="AC41">
        <f t="shared" si="6"/>
        <v>0.1</v>
      </c>
      <c r="AD41">
        <f t="shared" si="7"/>
        <v>4935.3120000000008</v>
      </c>
      <c r="AE41">
        <f t="shared" si="8"/>
        <v>1560.5420000000008</v>
      </c>
      <c r="AF41">
        <f t="shared" si="9"/>
        <v>0.31619925954022776</v>
      </c>
      <c r="AG41" t="str">
        <f t="shared" si="10"/>
        <v>November</v>
      </c>
      <c r="AH41">
        <f t="shared" si="11"/>
        <v>2024</v>
      </c>
      <c r="AI41" t="str">
        <f t="shared" si="12"/>
        <v>Clean</v>
      </c>
    </row>
    <row r="42" spans="1:35" ht="15.75" customHeight="1">
      <c r="A42" s="3" t="s">
        <v>305</v>
      </c>
      <c r="B42" s="3" t="s">
        <v>306</v>
      </c>
      <c r="C42" s="3" t="s">
        <v>307</v>
      </c>
      <c r="D42" s="3" t="str">
        <f t="shared" si="0"/>
        <v>16-Oct-2024</v>
      </c>
      <c r="E42" s="3" t="str">
        <f t="shared" si="1"/>
        <v>10-Oct-2024</v>
      </c>
      <c r="F42" s="3">
        <f t="shared" si="2"/>
        <v>6</v>
      </c>
      <c r="G42" s="3" t="s">
        <v>308</v>
      </c>
      <c r="H42" s="3" t="s">
        <v>61</v>
      </c>
      <c r="I42" s="3" t="s">
        <v>123</v>
      </c>
      <c r="J42" s="3" t="s">
        <v>81</v>
      </c>
      <c r="K42" s="3" t="s">
        <v>36</v>
      </c>
      <c r="L42" s="3" t="s">
        <v>143</v>
      </c>
      <c r="M42" s="3" t="s">
        <v>94</v>
      </c>
      <c r="N42" s="3" t="s">
        <v>102</v>
      </c>
      <c r="O42" s="3" t="s">
        <v>309</v>
      </c>
      <c r="P42" s="3" t="s">
        <v>75</v>
      </c>
      <c r="Q42" s="3">
        <v>7</v>
      </c>
      <c r="R42" s="3">
        <v>2509.27</v>
      </c>
      <c r="S42" s="3">
        <v>0.2</v>
      </c>
      <c r="T42" s="3">
        <v>14051.91</v>
      </c>
      <c r="U42" s="3">
        <v>11990.37</v>
      </c>
      <c r="V42" s="3">
        <v>2061.54</v>
      </c>
      <c r="W42" s="3" t="s">
        <v>42</v>
      </c>
      <c r="X42" s="3" t="s">
        <v>43</v>
      </c>
      <c r="Y42" s="2" t="str">
        <f t="shared" si="3"/>
        <v>Unique</v>
      </c>
      <c r="AA42" s="2" t="str">
        <f t="shared" si="4"/>
        <v>Clean</v>
      </c>
      <c r="AB42" s="2" t="str">
        <f t="shared" si="5"/>
        <v>valid</v>
      </c>
      <c r="AC42">
        <f t="shared" si="6"/>
        <v>0.2</v>
      </c>
      <c r="AD42">
        <f t="shared" si="7"/>
        <v>14051.912</v>
      </c>
      <c r="AE42">
        <f t="shared" si="8"/>
        <v>2061.5419999999995</v>
      </c>
      <c r="AF42">
        <f t="shared" si="9"/>
        <v>0.14670900301681361</v>
      </c>
      <c r="AG42" t="str">
        <f t="shared" si="10"/>
        <v>October</v>
      </c>
      <c r="AH42">
        <f t="shared" si="11"/>
        <v>2024</v>
      </c>
      <c r="AI42" t="str">
        <f t="shared" si="12"/>
        <v>Clean</v>
      </c>
    </row>
    <row r="43" spans="1:35" ht="15.75" customHeight="1">
      <c r="A43" s="3" t="s">
        <v>310</v>
      </c>
      <c r="B43" s="3" t="s">
        <v>311</v>
      </c>
      <c r="C43" s="3" t="s">
        <v>312</v>
      </c>
      <c r="D43" s="3" t="str">
        <f t="shared" si="0"/>
        <v>17-Mar-2024</v>
      </c>
      <c r="E43" s="3" t="str">
        <f t="shared" si="1"/>
        <v>03-Dec-2024</v>
      </c>
      <c r="F43" s="3">
        <f t="shared" si="2"/>
        <v>-261</v>
      </c>
      <c r="G43" s="3" t="s">
        <v>313</v>
      </c>
      <c r="H43" s="3" t="s">
        <v>170</v>
      </c>
      <c r="I43" s="3" t="s">
        <v>49</v>
      </c>
      <c r="J43" s="3" t="s">
        <v>50</v>
      </c>
      <c r="K43" s="3" t="s">
        <v>51</v>
      </c>
      <c r="L43" s="3" t="s">
        <v>52</v>
      </c>
      <c r="M43" s="3" t="s">
        <v>53</v>
      </c>
      <c r="N43" s="3" t="s">
        <v>212</v>
      </c>
      <c r="O43" s="3" t="s">
        <v>314</v>
      </c>
      <c r="P43" s="3" t="s">
        <v>56</v>
      </c>
      <c r="Q43" s="3">
        <v>8</v>
      </c>
      <c r="R43" s="3">
        <v>855.81</v>
      </c>
      <c r="S43" s="3">
        <v>0</v>
      </c>
      <c r="T43" s="3">
        <v>6846.48</v>
      </c>
      <c r="U43" s="3">
        <v>4239.8900000000003</v>
      </c>
      <c r="V43" s="3">
        <v>2606.59</v>
      </c>
      <c r="W43" s="3" t="s">
        <v>145</v>
      </c>
      <c r="X43" s="3" t="s">
        <v>86</v>
      </c>
      <c r="Y43" s="2" t="str">
        <f t="shared" si="3"/>
        <v>Unique</v>
      </c>
      <c r="AA43" s="2" t="str">
        <f t="shared" si="4"/>
        <v>Clean</v>
      </c>
      <c r="AB43" s="2" t="str">
        <f t="shared" si="5"/>
        <v>Invalid</v>
      </c>
      <c r="AC43">
        <f t="shared" si="6"/>
        <v>0</v>
      </c>
      <c r="AD43">
        <f t="shared" si="7"/>
        <v>6846.48</v>
      </c>
      <c r="AE43">
        <f t="shared" si="8"/>
        <v>2606.5899999999992</v>
      </c>
      <c r="AF43">
        <f t="shared" si="9"/>
        <v>0.38071972750961069</v>
      </c>
      <c r="AG43" t="str">
        <f t="shared" si="10"/>
        <v>December</v>
      </c>
      <c r="AH43">
        <f t="shared" si="11"/>
        <v>2024</v>
      </c>
      <c r="AI43" t="str">
        <f t="shared" si="12"/>
        <v>Warning</v>
      </c>
    </row>
    <row r="44" spans="1:35" ht="15.75" customHeight="1">
      <c r="A44" s="3" t="s">
        <v>315</v>
      </c>
      <c r="B44" s="3" t="s">
        <v>316</v>
      </c>
      <c r="C44" s="3" t="s">
        <v>317</v>
      </c>
      <c r="D44" s="3" t="str">
        <f t="shared" si="0"/>
        <v>15-Oct-2025</v>
      </c>
      <c r="E44" s="3" t="str">
        <f t="shared" si="1"/>
        <v>10-Oct-2025</v>
      </c>
      <c r="F44" s="3">
        <f t="shared" si="2"/>
        <v>5</v>
      </c>
      <c r="G44" s="3" t="s">
        <v>318</v>
      </c>
      <c r="H44" s="3" t="s">
        <v>69</v>
      </c>
      <c r="I44" s="3" t="s">
        <v>116</v>
      </c>
      <c r="J44" s="3" t="s">
        <v>50</v>
      </c>
      <c r="K44" s="3" t="s">
        <v>319</v>
      </c>
      <c r="L44" s="3" t="s">
        <v>320</v>
      </c>
      <c r="M44" s="3" t="s">
        <v>94</v>
      </c>
      <c r="N44" s="3" t="s">
        <v>231</v>
      </c>
      <c r="O44" s="3" t="s">
        <v>321</v>
      </c>
      <c r="P44" s="3" t="s">
        <v>75</v>
      </c>
      <c r="Q44" s="3">
        <v>8</v>
      </c>
      <c r="R44" s="3">
        <v>979.87</v>
      </c>
      <c r="S44" s="3">
        <v>0.05</v>
      </c>
      <c r="T44" s="3">
        <v>7447.01</v>
      </c>
      <c r="U44" s="3">
        <v>4496.22</v>
      </c>
      <c r="V44" s="3">
        <v>2950.79</v>
      </c>
      <c r="W44" s="3" t="s">
        <v>42</v>
      </c>
      <c r="X44" s="3" t="s">
        <v>43</v>
      </c>
      <c r="Y44" s="2" t="str">
        <f t="shared" si="3"/>
        <v>Unique</v>
      </c>
      <c r="AA44" s="2" t="str">
        <f t="shared" si="4"/>
        <v>Clean</v>
      </c>
      <c r="AB44" s="2" t="str">
        <f t="shared" si="5"/>
        <v>valid</v>
      </c>
      <c r="AC44">
        <f t="shared" si="6"/>
        <v>0.05</v>
      </c>
      <c r="AD44">
        <f t="shared" si="7"/>
        <v>7447.0119999999997</v>
      </c>
      <c r="AE44">
        <f t="shared" si="8"/>
        <v>2950.7919999999995</v>
      </c>
      <c r="AF44">
        <f t="shared" si="9"/>
        <v>0.39623838393170302</v>
      </c>
      <c r="AG44" t="str">
        <f t="shared" si="10"/>
        <v>October</v>
      </c>
      <c r="AH44">
        <f t="shared" si="11"/>
        <v>2025</v>
      </c>
      <c r="AI44" t="str">
        <f t="shared" si="12"/>
        <v>Clean</v>
      </c>
    </row>
    <row r="45" spans="1:35" ht="15.75" customHeight="1">
      <c r="A45" s="3" t="s">
        <v>322</v>
      </c>
      <c r="B45" s="3" t="s">
        <v>323</v>
      </c>
      <c r="C45" s="3" t="s">
        <v>324</v>
      </c>
      <c r="D45" s="3" t="str">
        <f t="shared" si="0"/>
        <v>14-Jul-2024</v>
      </c>
      <c r="E45" s="3" t="str">
        <f t="shared" si="1"/>
        <v>07-Aug-2024</v>
      </c>
      <c r="F45" s="3">
        <f t="shared" si="2"/>
        <v>-24</v>
      </c>
      <c r="G45" s="3" t="s">
        <v>325</v>
      </c>
      <c r="H45" s="3" t="s">
        <v>150</v>
      </c>
      <c r="I45" s="3" t="s">
        <v>49</v>
      </c>
      <c r="J45" s="3" t="s">
        <v>50</v>
      </c>
      <c r="K45" s="3" t="s">
        <v>51</v>
      </c>
      <c r="L45" s="3" t="s">
        <v>52</v>
      </c>
      <c r="M45" s="3" t="s">
        <v>53</v>
      </c>
      <c r="N45" s="3" t="s">
        <v>73</v>
      </c>
      <c r="O45" s="3" t="s">
        <v>326</v>
      </c>
      <c r="P45" s="3" t="s">
        <v>56</v>
      </c>
      <c r="Q45" s="3">
        <v>3</v>
      </c>
      <c r="R45" s="3">
        <v>1010.23</v>
      </c>
      <c r="S45" s="3">
        <v>0</v>
      </c>
      <c r="T45" s="3">
        <v>3030.69</v>
      </c>
      <c r="U45" s="3">
        <v>1721.08</v>
      </c>
      <c r="V45" s="3">
        <v>1309.6099999999999</v>
      </c>
      <c r="W45" s="3" t="s">
        <v>42</v>
      </c>
      <c r="X45" s="3" t="s">
        <v>43</v>
      </c>
      <c r="Y45" s="2" t="str">
        <f t="shared" si="3"/>
        <v>Unique</v>
      </c>
      <c r="AA45" s="2" t="str">
        <f t="shared" si="4"/>
        <v>Clean</v>
      </c>
      <c r="AB45" s="2" t="str">
        <f t="shared" si="5"/>
        <v>Invalid</v>
      </c>
      <c r="AC45">
        <f t="shared" si="6"/>
        <v>0</v>
      </c>
      <c r="AD45">
        <f t="shared" si="7"/>
        <v>3030.69</v>
      </c>
      <c r="AE45">
        <f t="shared" si="8"/>
        <v>1309.6100000000001</v>
      </c>
      <c r="AF45">
        <f t="shared" si="9"/>
        <v>0.43211611877163292</v>
      </c>
      <c r="AG45" t="str">
        <f t="shared" si="10"/>
        <v>August</v>
      </c>
      <c r="AH45">
        <f t="shared" si="11"/>
        <v>2024</v>
      </c>
      <c r="AI45" t="str">
        <f t="shared" si="12"/>
        <v>Clean</v>
      </c>
    </row>
    <row r="46" spans="1:35" ht="15.75" customHeight="1">
      <c r="A46" s="3" t="s">
        <v>327</v>
      </c>
      <c r="B46" s="3" t="s">
        <v>328</v>
      </c>
      <c r="C46" s="3" t="s">
        <v>329</v>
      </c>
      <c r="D46" s="3" t="str">
        <f t="shared" si="0"/>
        <v>25-Jun-2024</v>
      </c>
      <c r="E46" s="3" t="str">
        <f t="shared" si="1"/>
        <v>22-Jun-2024</v>
      </c>
      <c r="F46" s="3">
        <f t="shared" si="2"/>
        <v>3</v>
      </c>
      <c r="G46" s="3" t="s">
        <v>330</v>
      </c>
      <c r="H46" s="3" t="s">
        <v>188</v>
      </c>
      <c r="I46" s="3" t="s">
        <v>49</v>
      </c>
      <c r="J46" s="3" t="s">
        <v>35</v>
      </c>
      <c r="K46" s="3" t="s">
        <v>331</v>
      </c>
      <c r="L46" s="3" t="s">
        <v>332</v>
      </c>
      <c r="M46" s="3" t="s">
        <v>53</v>
      </c>
      <c r="N46" s="3" t="s">
        <v>84</v>
      </c>
      <c r="O46" s="3" t="s">
        <v>333</v>
      </c>
      <c r="P46" s="3" t="s">
        <v>75</v>
      </c>
      <c r="Q46" s="3">
        <v>9</v>
      </c>
      <c r="R46" s="3">
        <v>3329.77</v>
      </c>
      <c r="S46" s="3">
        <v>0.1</v>
      </c>
      <c r="T46" s="3">
        <v>26971.14</v>
      </c>
      <c r="U46" s="3">
        <v>17376.2</v>
      </c>
      <c r="V46" s="3">
        <v>9594.94</v>
      </c>
      <c r="W46" s="3" t="s">
        <v>42</v>
      </c>
      <c r="X46" s="3" t="s">
        <v>43</v>
      </c>
      <c r="Y46" s="2" t="str">
        <f t="shared" si="3"/>
        <v>Unique</v>
      </c>
      <c r="AA46" s="2" t="str">
        <f t="shared" si="4"/>
        <v>Clean</v>
      </c>
      <c r="AB46" s="2" t="str">
        <f t="shared" si="5"/>
        <v>valid</v>
      </c>
      <c r="AC46">
        <f t="shared" si="6"/>
        <v>0.1</v>
      </c>
      <c r="AD46">
        <f t="shared" si="7"/>
        <v>26971.137000000002</v>
      </c>
      <c r="AE46">
        <f t="shared" si="8"/>
        <v>9594.9370000000017</v>
      </c>
      <c r="AF46">
        <f t="shared" si="9"/>
        <v>0.35574833200394929</v>
      </c>
      <c r="AG46" t="str">
        <f t="shared" si="10"/>
        <v>June</v>
      </c>
      <c r="AH46">
        <f t="shared" si="11"/>
        <v>2024</v>
      </c>
      <c r="AI46" t="str">
        <f t="shared" si="12"/>
        <v>Clean</v>
      </c>
    </row>
    <row r="47" spans="1:35" ht="15.75" customHeight="1">
      <c r="A47" s="3" t="s">
        <v>334</v>
      </c>
      <c r="B47" s="3" t="s">
        <v>335</v>
      </c>
      <c r="C47" s="3" t="s">
        <v>336</v>
      </c>
      <c r="D47" s="3" t="str">
        <f t="shared" si="0"/>
        <v>24-Jan-2024</v>
      </c>
      <c r="E47" s="3" t="str">
        <f t="shared" si="1"/>
        <v>18-Jan-2024</v>
      </c>
      <c r="F47" s="3">
        <f t="shared" si="2"/>
        <v>6</v>
      </c>
      <c r="G47" s="3" t="s">
        <v>337</v>
      </c>
      <c r="H47" s="3" t="s">
        <v>61</v>
      </c>
      <c r="I47" s="3" t="s">
        <v>123</v>
      </c>
      <c r="J47" s="3" t="s">
        <v>50</v>
      </c>
      <c r="K47" s="3" t="s">
        <v>194</v>
      </c>
      <c r="L47" s="3" t="s">
        <v>195</v>
      </c>
      <c r="M47" s="3" t="s">
        <v>38</v>
      </c>
      <c r="N47" s="3" t="s">
        <v>62</v>
      </c>
      <c r="O47" s="3" t="s">
        <v>338</v>
      </c>
      <c r="P47" s="3" t="s">
        <v>41</v>
      </c>
      <c r="Q47" s="3">
        <v>8</v>
      </c>
      <c r="R47" s="3">
        <v>3927.82</v>
      </c>
      <c r="S47" s="3">
        <v>0.05</v>
      </c>
      <c r="T47" s="3">
        <v>29851.43</v>
      </c>
      <c r="U47" s="3">
        <v>17487.48</v>
      </c>
      <c r="V47" s="3">
        <v>12363.95</v>
      </c>
      <c r="W47" s="3" t="s">
        <v>145</v>
      </c>
      <c r="X47" s="3" t="s">
        <v>133</v>
      </c>
      <c r="Y47" s="2" t="str">
        <f t="shared" si="3"/>
        <v>Unique</v>
      </c>
      <c r="AA47" s="2" t="str">
        <f t="shared" si="4"/>
        <v>Clean</v>
      </c>
      <c r="AB47" s="2" t="str">
        <f t="shared" si="5"/>
        <v>valid</v>
      </c>
      <c r="AC47">
        <f t="shared" si="6"/>
        <v>0.05</v>
      </c>
      <c r="AD47">
        <f t="shared" si="7"/>
        <v>29851.432000000001</v>
      </c>
      <c r="AE47">
        <f t="shared" si="8"/>
        <v>12363.952000000001</v>
      </c>
      <c r="AF47">
        <f t="shared" si="9"/>
        <v>0.41418287739094062</v>
      </c>
      <c r="AG47" t="str">
        <f t="shared" si="10"/>
        <v>January</v>
      </c>
      <c r="AH47">
        <f t="shared" si="11"/>
        <v>2024</v>
      </c>
      <c r="AI47" t="str">
        <f t="shared" si="12"/>
        <v>Clean</v>
      </c>
    </row>
    <row r="48" spans="1:35" ht="15.75" customHeight="1">
      <c r="A48" s="3" t="s">
        <v>339</v>
      </c>
      <c r="B48" s="3" t="s">
        <v>340</v>
      </c>
      <c r="C48" s="3" t="s">
        <v>340</v>
      </c>
      <c r="D48" s="3" t="str">
        <f t="shared" si="0"/>
        <v>19-Jul-2024</v>
      </c>
      <c r="E48" s="3" t="str">
        <f t="shared" si="1"/>
        <v>19-Jul-2024</v>
      </c>
      <c r="F48" s="3">
        <f t="shared" si="2"/>
        <v>0</v>
      </c>
      <c r="G48" s="3" t="s">
        <v>341</v>
      </c>
      <c r="H48" s="3" t="s">
        <v>80</v>
      </c>
      <c r="I48" s="3" t="s">
        <v>49</v>
      </c>
      <c r="J48" s="3" t="s">
        <v>70</v>
      </c>
      <c r="K48" s="3" t="s">
        <v>250</v>
      </c>
      <c r="L48" s="3" t="s">
        <v>251</v>
      </c>
      <c r="M48" s="3" t="s">
        <v>53</v>
      </c>
      <c r="N48" s="3" t="s">
        <v>212</v>
      </c>
      <c r="O48" s="3" t="s">
        <v>342</v>
      </c>
      <c r="P48" s="3" t="s">
        <v>75</v>
      </c>
      <c r="Q48" s="3">
        <v>9</v>
      </c>
      <c r="R48" s="3">
        <v>2386.79</v>
      </c>
      <c r="S48" s="3">
        <v>0.25</v>
      </c>
      <c r="T48" s="3">
        <v>16110.83</v>
      </c>
      <c r="U48" s="3">
        <v>10680.03</v>
      </c>
      <c r="V48" s="3">
        <v>5430.8</v>
      </c>
      <c r="W48" s="3" t="s">
        <v>132</v>
      </c>
      <c r="X48" s="3" t="s">
        <v>133</v>
      </c>
      <c r="Y48" s="2" t="str">
        <f t="shared" si="3"/>
        <v>Unique</v>
      </c>
      <c r="AA48" s="2" t="str">
        <f t="shared" si="4"/>
        <v>Clean</v>
      </c>
      <c r="AB48" s="2" t="str">
        <f t="shared" si="5"/>
        <v>valid</v>
      </c>
      <c r="AC48">
        <f t="shared" si="6"/>
        <v>0.25</v>
      </c>
      <c r="AD48">
        <f t="shared" si="7"/>
        <v>16110.8325</v>
      </c>
      <c r="AE48">
        <f t="shared" si="8"/>
        <v>5430.8024999999998</v>
      </c>
      <c r="AF48">
        <f t="shared" si="9"/>
        <v>0.33709012243780695</v>
      </c>
      <c r="AG48" t="str">
        <f t="shared" si="10"/>
        <v>July</v>
      </c>
      <c r="AH48">
        <f t="shared" si="11"/>
        <v>2024</v>
      </c>
      <c r="AI48" t="str">
        <f t="shared" si="12"/>
        <v>Clean</v>
      </c>
    </row>
    <row r="49" spans="1:35" ht="15.75" customHeight="1">
      <c r="A49" s="3" t="s">
        <v>343</v>
      </c>
      <c r="B49" s="3" t="s">
        <v>344</v>
      </c>
      <c r="C49" s="3" t="s">
        <v>345</v>
      </c>
      <c r="D49" s="3" t="str">
        <f t="shared" si="0"/>
        <v>12-Aug-2024</v>
      </c>
      <c r="E49" s="3" t="str">
        <f t="shared" si="1"/>
        <v>12-Aug-2024</v>
      </c>
      <c r="F49" s="3">
        <f t="shared" si="2"/>
        <v>0</v>
      </c>
      <c r="G49" s="3" t="s">
        <v>346</v>
      </c>
      <c r="H49" s="3" t="s">
        <v>156</v>
      </c>
      <c r="I49" s="3" t="s">
        <v>116</v>
      </c>
      <c r="J49" s="3" t="s">
        <v>70</v>
      </c>
      <c r="K49" s="3" t="s">
        <v>347</v>
      </c>
      <c r="L49" s="3" t="s">
        <v>348</v>
      </c>
      <c r="M49" s="3" t="s">
        <v>38</v>
      </c>
      <c r="N49" s="3" t="s">
        <v>164</v>
      </c>
      <c r="O49" s="3" t="s">
        <v>349</v>
      </c>
      <c r="P49" s="3" t="s">
        <v>75</v>
      </c>
      <c r="Q49" s="3">
        <v>8</v>
      </c>
      <c r="R49" s="3">
        <v>2445.31</v>
      </c>
      <c r="S49" s="3">
        <v>0.1</v>
      </c>
      <c r="T49" s="3">
        <v>17606.23</v>
      </c>
      <c r="U49" s="3">
        <v>12438.96</v>
      </c>
      <c r="V49" s="3">
        <v>5167.2700000000004</v>
      </c>
      <c r="W49" s="3" t="s">
        <v>42</v>
      </c>
      <c r="X49" s="3" t="s">
        <v>43</v>
      </c>
      <c r="Y49" s="2" t="str">
        <f t="shared" si="3"/>
        <v>Unique</v>
      </c>
      <c r="AA49" s="2" t="str">
        <f t="shared" si="4"/>
        <v>Clean</v>
      </c>
      <c r="AB49" s="2" t="str">
        <f t="shared" si="5"/>
        <v>valid</v>
      </c>
      <c r="AC49">
        <f t="shared" si="6"/>
        <v>0.1</v>
      </c>
      <c r="AD49">
        <f t="shared" si="7"/>
        <v>17606.232</v>
      </c>
      <c r="AE49">
        <f t="shared" si="8"/>
        <v>5167.2720000000008</v>
      </c>
      <c r="AF49">
        <f t="shared" si="9"/>
        <v>0.29349107747756592</v>
      </c>
      <c r="AG49" t="str">
        <f t="shared" si="10"/>
        <v>August</v>
      </c>
      <c r="AH49">
        <f t="shared" si="11"/>
        <v>2024</v>
      </c>
      <c r="AI49" t="str">
        <f t="shared" si="12"/>
        <v>Clean</v>
      </c>
    </row>
    <row r="50" spans="1:35" ht="15.75" customHeight="1">
      <c r="A50" s="3" t="s">
        <v>350</v>
      </c>
      <c r="B50" s="3" t="s">
        <v>351</v>
      </c>
      <c r="C50" s="3" t="s">
        <v>352</v>
      </c>
      <c r="D50" s="3" t="str">
        <f t="shared" si="0"/>
        <v>05-Feb-2025</v>
      </c>
      <c r="E50" s="3" t="str">
        <f t="shared" si="1"/>
        <v>30-Jan-2025</v>
      </c>
      <c r="F50" s="3">
        <f t="shared" si="2"/>
        <v>6</v>
      </c>
      <c r="G50" s="3" t="s">
        <v>353</v>
      </c>
      <c r="H50" s="3" t="s">
        <v>101</v>
      </c>
      <c r="I50" s="3" t="s">
        <v>116</v>
      </c>
      <c r="J50" s="3" t="s">
        <v>81</v>
      </c>
      <c r="K50" s="3" t="s">
        <v>82</v>
      </c>
      <c r="L50" s="3" t="s">
        <v>83</v>
      </c>
      <c r="M50" s="3" t="s">
        <v>53</v>
      </c>
      <c r="N50" s="3" t="s">
        <v>84</v>
      </c>
      <c r="O50" s="3" t="s">
        <v>354</v>
      </c>
      <c r="P50" s="3" t="s">
        <v>41</v>
      </c>
      <c r="Q50" s="3">
        <v>7</v>
      </c>
      <c r="R50" s="3">
        <v>4063.66</v>
      </c>
      <c r="S50" s="3">
        <v>0</v>
      </c>
      <c r="T50" s="3">
        <v>28445.62</v>
      </c>
      <c r="U50" s="3">
        <v>20938.59</v>
      </c>
      <c r="V50" s="3">
        <v>7507.03</v>
      </c>
      <c r="W50" s="3" t="s">
        <v>42</v>
      </c>
      <c r="X50" s="3" t="s">
        <v>43</v>
      </c>
      <c r="Y50" s="2" t="str">
        <f t="shared" si="3"/>
        <v>Unique</v>
      </c>
      <c r="AA50" s="2" t="str">
        <f t="shared" si="4"/>
        <v>Clean</v>
      </c>
      <c r="AB50" s="2" t="str">
        <f t="shared" si="5"/>
        <v>valid</v>
      </c>
      <c r="AC50">
        <f t="shared" si="6"/>
        <v>0</v>
      </c>
      <c r="AD50">
        <f t="shared" si="7"/>
        <v>28445.62</v>
      </c>
      <c r="AE50">
        <f t="shared" si="8"/>
        <v>7507.0299999999988</v>
      </c>
      <c r="AF50">
        <f t="shared" si="9"/>
        <v>0.26390811660986818</v>
      </c>
      <c r="AG50" t="str">
        <f t="shared" si="10"/>
        <v>January</v>
      </c>
      <c r="AH50">
        <f t="shared" si="11"/>
        <v>2025</v>
      </c>
      <c r="AI50" t="str">
        <f t="shared" si="12"/>
        <v>Clean</v>
      </c>
    </row>
    <row r="51" spans="1:35" ht="15.75" customHeight="1">
      <c r="A51" s="3" t="s">
        <v>355</v>
      </c>
      <c r="B51" s="3" t="s">
        <v>356</v>
      </c>
      <c r="C51" s="3" t="s">
        <v>357</v>
      </c>
      <c r="D51" s="3" t="str">
        <f t="shared" si="0"/>
        <v>13-Apr-2024</v>
      </c>
      <c r="E51" s="3" t="str">
        <f t="shared" si="1"/>
        <v>06-Apr-2024</v>
      </c>
      <c r="F51" s="3">
        <f t="shared" si="2"/>
        <v>7</v>
      </c>
      <c r="G51" s="3" t="s">
        <v>358</v>
      </c>
      <c r="H51" s="3" t="s">
        <v>170</v>
      </c>
      <c r="I51" s="3" t="s">
        <v>123</v>
      </c>
      <c r="J51" s="3" t="s">
        <v>35</v>
      </c>
      <c r="K51" s="3" t="s">
        <v>182</v>
      </c>
      <c r="L51" s="3" t="s">
        <v>183</v>
      </c>
      <c r="M51" s="3" t="s">
        <v>94</v>
      </c>
      <c r="N51" s="3" t="s">
        <v>102</v>
      </c>
      <c r="O51" s="3" t="s">
        <v>359</v>
      </c>
      <c r="P51" s="3" t="s">
        <v>41</v>
      </c>
      <c r="Q51" s="3">
        <v>9</v>
      </c>
      <c r="R51" s="3">
        <v>792.11</v>
      </c>
      <c r="S51" s="3">
        <v>0.05</v>
      </c>
      <c r="T51" s="3">
        <v>6772.54</v>
      </c>
      <c r="U51" s="3">
        <v>5755.46</v>
      </c>
      <c r="V51" s="3">
        <v>1017.08</v>
      </c>
      <c r="W51" s="3" t="s">
        <v>42</v>
      </c>
      <c r="X51" s="3" t="s">
        <v>43</v>
      </c>
      <c r="Y51" s="2" t="str">
        <f t="shared" si="3"/>
        <v>Unique</v>
      </c>
      <c r="AA51" s="2" t="str">
        <f t="shared" si="4"/>
        <v>Clean</v>
      </c>
      <c r="AB51" s="2" t="str">
        <f t="shared" si="5"/>
        <v>valid</v>
      </c>
      <c r="AC51">
        <f t="shared" si="6"/>
        <v>0.05</v>
      </c>
      <c r="AD51">
        <f t="shared" si="7"/>
        <v>6772.5404999999992</v>
      </c>
      <c r="AE51">
        <f t="shared" si="8"/>
        <v>1017.0804999999991</v>
      </c>
      <c r="AF51">
        <f t="shared" si="9"/>
        <v>0.15017710119267641</v>
      </c>
      <c r="AG51" t="str">
        <f t="shared" si="10"/>
        <v>April</v>
      </c>
      <c r="AH51">
        <f t="shared" si="11"/>
        <v>2024</v>
      </c>
      <c r="AI51" t="str">
        <f t="shared" si="12"/>
        <v>Clean</v>
      </c>
    </row>
    <row r="52" spans="1:35" ht="15.75" customHeight="1">
      <c r="A52" s="3" t="s">
        <v>360</v>
      </c>
      <c r="B52" s="3" t="s">
        <v>361</v>
      </c>
      <c r="C52" s="3" t="s">
        <v>362</v>
      </c>
      <c r="D52" s="3" t="str">
        <f t="shared" si="0"/>
        <v>19-May-2025</v>
      </c>
      <c r="E52" s="3" t="str">
        <f t="shared" si="1"/>
        <v>05-Nov-2025</v>
      </c>
      <c r="F52" s="3">
        <f t="shared" si="2"/>
        <v>-170</v>
      </c>
      <c r="G52" s="3" t="s">
        <v>363</v>
      </c>
      <c r="H52" s="3" t="s">
        <v>176</v>
      </c>
      <c r="I52" s="3" t="s">
        <v>34</v>
      </c>
      <c r="J52" s="3" t="s">
        <v>50</v>
      </c>
      <c r="K52" s="3" t="s">
        <v>129</v>
      </c>
      <c r="L52" s="3" t="s">
        <v>130</v>
      </c>
      <c r="M52" s="3" t="s">
        <v>94</v>
      </c>
      <c r="N52" s="3" t="s">
        <v>102</v>
      </c>
      <c r="O52" s="3" t="s">
        <v>364</v>
      </c>
      <c r="P52" s="3" t="s">
        <v>75</v>
      </c>
      <c r="Q52" s="3">
        <v>1</v>
      </c>
      <c r="R52" s="3">
        <v>2382.8000000000002</v>
      </c>
      <c r="S52" s="3">
        <v>0.15</v>
      </c>
      <c r="T52" s="3">
        <v>2025.38</v>
      </c>
      <c r="U52" s="3">
        <v>1140.6500000000001</v>
      </c>
      <c r="V52" s="3">
        <v>884.73</v>
      </c>
      <c r="W52" s="3" t="s">
        <v>42</v>
      </c>
      <c r="X52" s="3" t="s">
        <v>43</v>
      </c>
      <c r="Y52" s="2" t="str">
        <f t="shared" si="3"/>
        <v>Unique</v>
      </c>
      <c r="AA52" s="2" t="str">
        <f t="shared" si="4"/>
        <v>Clean</v>
      </c>
      <c r="AB52" s="2" t="str">
        <f t="shared" si="5"/>
        <v>Invalid</v>
      </c>
      <c r="AC52">
        <f t="shared" si="6"/>
        <v>0.15</v>
      </c>
      <c r="AD52">
        <f t="shared" si="7"/>
        <v>2025.38</v>
      </c>
      <c r="AE52">
        <f t="shared" si="8"/>
        <v>884.73</v>
      </c>
      <c r="AF52">
        <f t="shared" si="9"/>
        <v>0.43682173221815163</v>
      </c>
      <c r="AG52" t="str">
        <f t="shared" si="10"/>
        <v>November</v>
      </c>
      <c r="AH52">
        <f t="shared" si="11"/>
        <v>2025</v>
      </c>
      <c r="AI52" t="str">
        <f t="shared" si="12"/>
        <v>Clean</v>
      </c>
    </row>
    <row r="53" spans="1:35" ht="15.75" customHeight="1">
      <c r="A53" s="3" t="s">
        <v>365</v>
      </c>
      <c r="B53" s="3" t="s">
        <v>366</v>
      </c>
      <c r="C53" s="3" t="s">
        <v>367</v>
      </c>
      <c r="D53" s="3" t="str">
        <f t="shared" si="0"/>
        <v>29-Apr-2024</v>
      </c>
      <c r="E53" s="3" t="str">
        <f t="shared" si="1"/>
        <v>24-Apr-2024</v>
      </c>
      <c r="F53" s="3">
        <f t="shared" si="2"/>
        <v>5</v>
      </c>
      <c r="G53" s="3" t="s">
        <v>368</v>
      </c>
      <c r="H53" s="3" t="s">
        <v>369</v>
      </c>
      <c r="I53" s="3" t="s">
        <v>116</v>
      </c>
      <c r="J53" s="3" t="s">
        <v>70</v>
      </c>
      <c r="K53" s="3" t="s">
        <v>71</v>
      </c>
      <c r="L53" s="3" t="s">
        <v>72</v>
      </c>
      <c r="M53" s="3" t="s">
        <v>38</v>
      </c>
      <c r="N53" s="3" t="s">
        <v>62</v>
      </c>
      <c r="O53" s="3" t="s">
        <v>370</v>
      </c>
      <c r="P53" s="3" t="s">
        <v>75</v>
      </c>
      <c r="Q53" s="3">
        <v>6</v>
      </c>
      <c r="R53" s="3">
        <v>1528.08</v>
      </c>
      <c r="S53" s="3">
        <v>0</v>
      </c>
      <c r="T53" s="3">
        <v>9168.48</v>
      </c>
      <c r="U53" s="3">
        <v>7439.77</v>
      </c>
      <c r="V53" s="3">
        <v>1728.71</v>
      </c>
      <c r="W53" s="3" t="s">
        <v>42</v>
      </c>
      <c r="X53" s="3" t="s">
        <v>43</v>
      </c>
      <c r="Y53" s="2" t="str">
        <f t="shared" si="3"/>
        <v>Unique</v>
      </c>
      <c r="AA53" s="2" t="str">
        <f t="shared" si="4"/>
        <v>Clean</v>
      </c>
      <c r="AB53" s="2" t="str">
        <f t="shared" si="5"/>
        <v>valid</v>
      </c>
      <c r="AC53">
        <f t="shared" si="6"/>
        <v>0</v>
      </c>
      <c r="AD53">
        <f t="shared" si="7"/>
        <v>9168.48</v>
      </c>
      <c r="AE53">
        <f t="shared" si="8"/>
        <v>1728.7099999999991</v>
      </c>
      <c r="AF53">
        <f t="shared" si="9"/>
        <v>0.18854924698532355</v>
      </c>
      <c r="AG53" t="str">
        <f t="shared" si="10"/>
        <v>April</v>
      </c>
      <c r="AH53">
        <f t="shared" si="11"/>
        <v>2024</v>
      </c>
      <c r="AI53" t="str">
        <f t="shared" si="12"/>
        <v>Clean</v>
      </c>
    </row>
    <row r="54" spans="1:35" ht="15.75" customHeight="1">
      <c r="A54" s="3" t="s">
        <v>371</v>
      </c>
      <c r="B54" s="3" t="s">
        <v>372</v>
      </c>
      <c r="C54" s="3" t="s">
        <v>373</v>
      </c>
      <c r="D54" s="3" t="str">
        <f t="shared" si="0"/>
        <v>28-Oct-2024</v>
      </c>
      <c r="E54" s="3" t="str">
        <f t="shared" si="1"/>
        <v>26-Oct-2024</v>
      </c>
      <c r="F54" s="3">
        <f t="shared" si="2"/>
        <v>2</v>
      </c>
      <c r="G54" s="3" t="s">
        <v>374</v>
      </c>
      <c r="H54" s="3" t="s">
        <v>375</v>
      </c>
      <c r="I54" s="3" t="s">
        <v>49</v>
      </c>
      <c r="J54" s="3" t="s">
        <v>35</v>
      </c>
      <c r="K54" s="3" t="s">
        <v>36</v>
      </c>
      <c r="L54" s="3" t="s">
        <v>37</v>
      </c>
      <c r="M54" s="3" t="s">
        <v>53</v>
      </c>
      <c r="N54" s="3" t="s">
        <v>84</v>
      </c>
      <c r="O54" s="3" t="s">
        <v>376</v>
      </c>
      <c r="P54" s="3" t="s">
        <v>64</v>
      </c>
      <c r="Q54" s="3">
        <v>9</v>
      </c>
      <c r="R54" s="3">
        <v>1399.63</v>
      </c>
      <c r="S54" s="3">
        <v>0</v>
      </c>
      <c r="T54" s="3">
        <v>12596.67</v>
      </c>
      <c r="U54" s="3">
        <v>10603.29</v>
      </c>
      <c r="V54" s="3">
        <v>1993.38</v>
      </c>
      <c r="W54" s="3" t="s">
        <v>208</v>
      </c>
      <c r="X54" s="3" t="s">
        <v>86</v>
      </c>
      <c r="Y54" s="2" t="str">
        <f t="shared" si="3"/>
        <v>Unique</v>
      </c>
      <c r="AA54" s="2" t="str">
        <f t="shared" si="4"/>
        <v>Clean</v>
      </c>
      <c r="AB54" s="2" t="str">
        <f t="shared" si="5"/>
        <v>valid</v>
      </c>
      <c r="AC54">
        <f t="shared" si="6"/>
        <v>0</v>
      </c>
      <c r="AD54">
        <f t="shared" si="7"/>
        <v>12596.670000000002</v>
      </c>
      <c r="AE54">
        <f t="shared" si="8"/>
        <v>1993.380000000001</v>
      </c>
      <c r="AF54">
        <f t="shared" si="9"/>
        <v>0.15824658421630483</v>
      </c>
      <c r="AG54" t="str">
        <f t="shared" si="10"/>
        <v>October</v>
      </c>
      <c r="AH54">
        <f t="shared" si="11"/>
        <v>2024</v>
      </c>
      <c r="AI54" t="str">
        <f t="shared" si="12"/>
        <v>Warning</v>
      </c>
    </row>
    <row r="55" spans="1:35" ht="15.75" customHeight="1">
      <c r="A55" s="3" t="s">
        <v>377</v>
      </c>
      <c r="B55" s="3" t="s">
        <v>378</v>
      </c>
      <c r="C55" s="3" t="s">
        <v>379</v>
      </c>
      <c r="D55" s="3" t="str">
        <f t="shared" si="0"/>
        <v>31-Mar-2025</v>
      </c>
      <c r="E55" s="3" t="str">
        <f t="shared" si="1"/>
        <v>31-Mar-2025</v>
      </c>
      <c r="F55" s="3">
        <f t="shared" si="2"/>
        <v>0</v>
      </c>
      <c r="G55" s="3" t="s">
        <v>380</v>
      </c>
      <c r="H55" s="3" t="s">
        <v>375</v>
      </c>
      <c r="I55" s="3" t="s">
        <v>123</v>
      </c>
      <c r="J55" s="3" t="s">
        <v>81</v>
      </c>
      <c r="K55" s="3" t="s">
        <v>243</v>
      </c>
      <c r="L55" s="3" t="s">
        <v>244</v>
      </c>
      <c r="M55" s="3" t="s">
        <v>38</v>
      </c>
      <c r="N55" s="3" t="s">
        <v>164</v>
      </c>
      <c r="O55" s="3" t="s">
        <v>381</v>
      </c>
      <c r="P55" s="3" t="s">
        <v>64</v>
      </c>
      <c r="Q55" s="3">
        <v>5</v>
      </c>
      <c r="R55" s="3">
        <v>1207.47</v>
      </c>
      <c r="S55" s="3">
        <v>0.15</v>
      </c>
      <c r="T55" s="3">
        <v>5131.75</v>
      </c>
      <c r="U55" s="3">
        <v>2838.68</v>
      </c>
      <c r="V55" s="3">
        <v>2293.0700000000002</v>
      </c>
      <c r="W55" s="3" t="s">
        <v>42</v>
      </c>
      <c r="X55" s="3" t="s">
        <v>43</v>
      </c>
      <c r="Y55" s="2" t="str">
        <f t="shared" si="3"/>
        <v>Unique</v>
      </c>
      <c r="AA55" s="2" t="str">
        <f t="shared" si="4"/>
        <v>Clean</v>
      </c>
      <c r="AB55" s="2" t="str">
        <f t="shared" si="5"/>
        <v>valid</v>
      </c>
      <c r="AC55">
        <f t="shared" si="6"/>
        <v>0.15</v>
      </c>
      <c r="AD55">
        <f t="shared" si="7"/>
        <v>5131.7475000000004</v>
      </c>
      <c r="AE55">
        <f t="shared" si="8"/>
        <v>2293.0675000000006</v>
      </c>
      <c r="AF55">
        <f t="shared" si="9"/>
        <v>0.44683950252813498</v>
      </c>
      <c r="AG55" t="str">
        <f t="shared" si="10"/>
        <v>March</v>
      </c>
      <c r="AH55">
        <f t="shared" si="11"/>
        <v>2025</v>
      </c>
      <c r="AI55" t="str">
        <f t="shared" si="12"/>
        <v>Clean</v>
      </c>
    </row>
    <row r="56" spans="1:35" ht="15.75" customHeight="1">
      <c r="A56" s="3" t="s">
        <v>382</v>
      </c>
      <c r="B56" s="3" t="s">
        <v>383</v>
      </c>
      <c r="C56" s="3" t="s">
        <v>384</v>
      </c>
      <c r="D56" s="3" t="str">
        <f t="shared" si="0"/>
        <v>02-Jun-2025</v>
      </c>
      <c r="E56" s="3" t="str">
        <f t="shared" si="1"/>
        <v>30-May-2025</v>
      </c>
      <c r="F56" s="3">
        <f t="shared" si="2"/>
        <v>3</v>
      </c>
      <c r="G56" s="3" t="s">
        <v>385</v>
      </c>
      <c r="H56" s="3" t="s">
        <v>69</v>
      </c>
      <c r="I56" s="3" t="s">
        <v>116</v>
      </c>
      <c r="J56" s="3" t="s">
        <v>70</v>
      </c>
      <c r="K56" s="3" t="s">
        <v>347</v>
      </c>
      <c r="L56" s="3" t="s">
        <v>348</v>
      </c>
      <c r="M56" s="3" t="s">
        <v>38</v>
      </c>
      <c r="N56" s="3" t="s">
        <v>117</v>
      </c>
      <c r="O56" s="3" t="s">
        <v>386</v>
      </c>
      <c r="P56" s="3" t="s">
        <v>56</v>
      </c>
      <c r="Q56" s="3">
        <v>8</v>
      </c>
      <c r="R56" s="3">
        <v>474.37</v>
      </c>
      <c r="S56" s="3">
        <v>0.1</v>
      </c>
      <c r="T56" s="3">
        <v>3415.46</v>
      </c>
      <c r="U56" s="3">
        <v>1993.23</v>
      </c>
      <c r="V56" s="3">
        <v>1422.23</v>
      </c>
      <c r="W56" s="3" t="s">
        <v>208</v>
      </c>
      <c r="X56" s="3" t="s">
        <v>86</v>
      </c>
      <c r="Y56" s="2" t="str">
        <f t="shared" si="3"/>
        <v>Unique</v>
      </c>
      <c r="AA56" s="2" t="str">
        <f t="shared" si="4"/>
        <v>Clean</v>
      </c>
      <c r="AB56" s="2" t="str">
        <f t="shared" si="5"/>
        <v>valid</v>
      </c>
      <c r="AC56">
        <f t="shared" si="6"/>
        <v>0.1</v>
      </c>
      <c r="AD56">
        <f t="shared" si="7"/>
        <v>3415.4639999999999</v>
      </c>
      <c r="AE56">
        <f t="shared" si="8"/>
        <v>1422.2339999999999</v>
      </c>
      <c r="AF56">
        <f t="shared" si="9"/>
        <v>0.4164101861416194</v>
      </c>
      <c r="AG56" t="str">
        <f t="shared" si="10"/>
        <v>May</v>
      </c>
      <c r="AH56">
        <f t="shared" si="11"/>
        <v>2025</v>
      </c>
      <c r="AI56" t="str">
        <f t="shared" si="12"/>
        <v>Warning</v>
      </c>
    </row>
    <row r="57" spans="1:35" ht="15.75" customHeight="1">
      <c r="A57" s="3" t="s">
        <v>387</v>
      </c>
      <c r="B57" s="3" t="s">
        <v>388</v>
      </c>
      <c r="C57" s="3" t="s">
        <v>389</v>
      </c>
      <c r="D57" s="3" t="str">
        <f t="shared" si="0"/>
        <v>03-Jul-2025</v>
      </c>
      <c r="E57" s="3" t="str">
        <f t="shared" si="1"/>
        <v>01-Jul-2025</v>
      </c>
      <c r="F57" s="3">
        <f t="shared" si="2"/>
        <v>2</v>
      </c>
      <c r="G57" s="3" t="s">
        <v>390</v>
      </c>
      <c r="H57" s="3" t="s">
        <v>48</v>
      </c>
      <c r="I57" s="3" t="s">
        <v>49</v>
      </c>
      <c r="J57" s="3" t="s">
        <v>70</v>
      </c>
      <c r="K57" s="3" t="s">
        <v>108</v>
      </c>
      <c r="L57" s="3" t="s">
        <v>109</v>
      </c>
      <c r="M57" s="3" t="s">
        <v>94</v>
      </c>
      <c r="N57" s="3" t="s">
        <v>391</v>
      </c>
      <c r="O57" s="3" t="s">
        <v>392</v>
      </c>
      <c r="P57" s="3" t="s">
        <v>56</v>
      </c>
      <c r="Q57" s="3">
        <v>3</v>
      </c>
      <c r="R57" s="3">
        <v>1516.24</v>
      </c>
      <c r="S57" s="3">
        <v>0.25</v>
      </c>
      <c r="T57" s="3">
        <v>3411.54</v>
      </c>
      <c r="U57" s="3">
        <v>2803.13</v>
      </c>
      <c r="V57" s="3">
        <v>608.41</v>
      </c>
      <c r="W57" s="3" t="s">
        <v>42</v>
      </c>
      <c r="X57" s="3" t="s">
        <v>43</v>
      </c>
      <c r="Y57" s="2" t="str">
        <f t="shared" si="3"/>
        <v>Unique</v>
      </c>
      <c r="AA57" s="2" t="str">
        <f t="shared" si="4"/>
        <v>Clean</v>
      </c>
      <c r="AB57" s="2" t="str">
        <f t="shared" si="5"/>
        <v>valid</v>
      </c>
      <c r="AC57">
        <f t="shared" si="6"/>
        <v>0.25</v>
      </c>
      <c r="AD57">
        <f t="shared" si="7"/>
        <v>3411.54</v>
      </c>
      <c r="AE57">
        <f t="shared" si="8"/>
        <v>608.40999999999985</v>
      </c>
      <c r="AF57">
        <f t="shared" si="9"/>
        <v>0.17833881472883209</v>
      </c>
      <c r="AG57" t="str">
        <f t="shared" si="10"/>
        <v>July</v>
      </c>
      <c r="AH57">
        <f t="shared" si="11"/>
        <v>2025</v>
      </c>
      <c r="AI57" t="str">
        <f t="shared" si="12"/>
        <v>Clean</v>
      </c>
    </row>
    <row r="58" spans="1:35" ht="15.75" customHeight="1">
      <c r="A58" s="3" t="s">
        <v>393</v>
      </c>
      <c r="B58" s="3" t="s">
        <v>394</v>
      </c>
      <c r="C58" s="3" t="s">
        <v>395</v>
      </c>
      <c r="D58" s="3" t="str">
        <f t="shared" si="0"/>
        <v>06-Jan-2025</v>
      </c>
      <c r="E58" s="3" t="str">
        <f t="shared" si="1"/>
        <v>05-Jan-2025</v>
      </c>
      <c r="F58" s="3">
        <f t="shared" si="2"/>
        <v>1</v>
      </c>
      <c r="G58" s="3" t="s">
        <v>396</v>
      </c>
      <c r="H58" s="3" t="s">
        <v>33</v>
      </c>
      <c r="I58" s="3" t="s">
        <v>34</v>
      </c>
      <c r="J58" s="3" t="s">
        <v>70</v>
      </c>
      <c r="K58" s="3" t="s">
        <v>237</v>
      </c>
      <c r="L58" s="3" t="s">
        <v>238</v>
      </c>
      <c r="M58" s="3" t="s">
        <v>38</v>
      </c>
      <c r="N58" s="3" t="s">
        <v>206</v>
      </c>
      <c r="O58" s="3" t="s">
        <v>397</v>
      </c>
      <c r="P58" s="3" t="s">
        <v>41</v>
      </c>
      <c r="Q58" s="3">
        <v>3</v>
      </c>
      <c r="R58" s="3">
        <v>3155.61</v>
      </c>
      <c r="S58" s="3">
        <v>0</v>
      </c>
      <c r="T58" s="3">
        <v>9466.83</v>
      </c>
      <c r="U58" s="3">
        <v>6557.83</v>
      </c>
      <c r="V58" s="3">
        <v>2909</v>
      </c>
      <c r="W58" s="3" t="s">
        <v>132</v>
      </c>
      <c r="X58" s="3" t="s">
        <v>86</v>
      </c>
      <c r="Y58" s="2" t="str">
        <f t="shared" si="3"/>
        <v>Unique</v>
      </c>
      <c r="AA58" s="2" t="str">
        <f t="shared" si="4"/>
        <v>Clean</v>
      </c>
      <c r="AB58" s="2" t="str">
        <f t="shared" si="5"/>
        <v>valid</v>
      </c>
      <c r="AC58">
        <f t="shared" si="6"/>
        <v>0</v>
      </c>
      <c r="AD58">
        <f t="shared" si="7"/>
        <v>9466.83</v>
      </c>
      <c r="AE58">
        <f t="shared" si="8"/>
        <v>2909</v>
      </c>
      <c r="AF58">
        <f t="shared" si="9"/>
        <v>0.30728343067320318</v>
      </c>
      <c r="AG58" t="str">
        <f t="shared" si="10"/>
        <v>January</v>
      </c>
      <c r="AH58">
        <f t="shared" si="11"/>
        <v>2025</v>
      </c>
      <c r="AI58" t="str">
        <f t="shared" si="12"/>
        <v>Warning</v>
      </c>
    </row>
    <row r="59" spans="1:35" ht="15.75" customHeight="1">
      <c r="A59" s="3" t="s">
        <v>398</v>
      </c>
      <c r="B59" s="3" t="s">
        <v>399</v>
      </c>
      <c r="C59" s="3" t="s">
        <v>400</v>
      </c>
      <c r="D59" s="3" t="str">
        <f t="shared" si="0"/>
        <v>15-Feb-2024</v>
      </c>
      <c r="E59" s="3" t="str">
        <f t="shared" si="1"/>
        <v>07-Feb-2024</v>
      </c>
      <c r="F59" s="3">
        <f t="shared" si="2"/>
        <v>8</v>
      </c>
      <c r="G59" s="3" t="s">
        <v>401</v>
      </c>
      <c r="H59" s="3" t="s">
        <v>150</v>
      </c>
      <c r="I59" s="3" t="s">
        <v>34</v>
      </c>
      <c r="J59" s="3" t="s">
        <v>81</v>
      </c>
      <c r="K59" s="3" t="s">
        <v>257</v>
      </c>
      <c r="L59" s="3" t="s">
        <v>258</v>
      </c>
      <c r="M59" s="3" t="s">
        <v>53</v>
      </c>
      <c r="N59" s="3" t="s">
        <v>84</v>
      </c>
      <c r="O59" s="3" t="s">
        <v>402</v>
      </c>
      <c r="P59" s="3" t="s">
        <v>56</v>
      </c>
      <c r="Q59" s="3">
        <v>5</v>
      </c>
      <c r="R59" s="3">
        <v>255.87</v>
      </c>
      <c r="S59" s="3">
        <v>0</v>
      </c>
      <c r="T59" s="3">
        <v>1279.3499999999999</v>
      </c>
      <c r="U59" s="3">
        <v>1091.54</v>
      </c>
      <c r="V59" s="3">
        <v>187.81</v>
      </c>
      <c r="W59" s="3" t="s">
        <v>42</v>
      </c>
      <c r="X59" s="3" t="s">
        <v>43</v>
      </c>
      <c r="Y59" s="2" t="str">
        <f t="shared" si="3"/>
        <v>Unique</v>
      </c>
      <c r="AA59" s="2" t="str">
        <f t="shared" si="4"/>
        <v>Clean</v>
      </c>
      <c r="AB59" s="2" t="str">
        <f t="shared" si="5"/>
        <v>valid</v>
      </c>
      <c r="AC59">
        <f t="shared" si="6"/>
        <v>0</v>
      </c>
      <c r="AD59">
        <f t="shared" si="7"/>
        <v>1279.3499999999999</v>
      </c>
      <c r="AE59">
        <f t="shared" si="8"/>
        <v>187.80999999999995</v>
      </c>
      <c r="AF59">
        <f t="shared" si="9"/>
        <v>0.14680110993864068</v>
      </c>
      <c r="AG59" t="str">
        <f t="shared" si="10"/>
        <v>February</v>
      </c>
      <c r="AH59">
        <f t="shared" si="11"/>
        <v>2024</v>
      </c>
      <c r="AI59" t="str">
        <f t="shared" si="12"/>
        <v>Clean</v>
      </c>
    </row>
    <row r="60" spans="1:35" ht="15.75" customHeight="1">
      <c r="A60" s="3" t="s">
        <v>403</v>
      </c>
      <c r="B60" s="3" t="s">
        <v>404</v>
      </c>
      <c r="C60" s="3" t="s">
        <v>405</v>
      </c>
      <c r="D60" s="3" t="str">
        <f t="shared" si="0"/>
        <v>07-Sep-2024</v>
      </c>
      <c r="E60" s="3" t="str">
        <f t="shared" si="1"/>
        <v>01-Sep-2024</v>
      </c>
      <c r="F60" s="3">
        <f t="shared" si="2"/>
        <v>6</v>
      </c>
      <c r="G60" s="3" t="s">
        <v>406</v>
      </c>
      <c r="H60" s="3" t="s">
        <v>61</v>
      </c>
      <c r="I60" s="3" t="s">
        <v>123</v>
      </c>
      <c r="J60" s="3" t="s">
        <v>35</v>
      </c>
      <c r="K60" s="3" t="s">
        <v>36</v>
      </c>
      <c r="L60" s="3" t="s">
        <v>37</v>
      </c>
      <c r="M60" s="3" t="s">
        <v>38</v>
      </c>
      <c r="N60" s="3" t="s">
        <v>164</v>
      </c>
      <c r="O60" s="3" t="s">
        <v>407</v>
      </c>
      <c r="P60" s="3" t="s">
        <v>280</v>
      </c>
      <c r="Q60" s="3">
        <v>9</v>
      </c>
      <c r="R60" s="3">
        <v>1389.48</v>
      </c>
      <c r="S60" s="3">
        <v>0.1</v>
      </c>
      <c r="T60" s="3">
        <v>11254.79</v>
      </c>
      <c r="U60" s="3">
        <v>6578.06</v>
      </c>
      <c r="V60" s="3">
        <v>4676.7299999999996</v>
      </c>
      <c r="W60" s="3" t="s">
        <v>145</v>
      </c>
      <c r="X60" s="3" t="s">
        <v>133</v>
      </c>
      <c r="Y60" s="2" t="str">
        <f t="shared" si="3"/>
        <v>Unique</v>
      </c>
      <c r="AA60" s="2" t="str">
        <f t="shared" si="4"/>
        <v>Clean</v>
      </c>
      <c r="AB60" s="2" t="str">
        <f t="shared" si="5"/>
        <v>valid</v>
      </c>
      <c r="AC60">
        <f t="shared" si="6"/>
        <v>0.1</v>
      </c>
      <c r="AD60">
        <f t="shared" si="7"/>
        <v>11254.788</v>
      </c>
      <c r="AE60">
        <f t="shared" si="8"/>
        <v>4676.7280000000001</v>
      </c>
      <c r="AF60">
        <f t="shared" si="9"/>
        <v>0.41553230500654476</v>
      </c>
      <c r="AG60" t="str">
        <f t="shared" si="10"/>
        <v>September</v>
      </c>
      <c r="AH60">
        <f t="shared" si="11"/>
        <v>2024</v>
      </c>
      <c r="AI60" t="str">
        <f t="shared" si="12"/>
        <v>Clean</v>
      </c>
    </row>
    <row r="61" spans="1:35" ht="15.75" customHeight="1">
      <c r="A61" s="3" t="s">
        <v>408</v>
      </c>
      <c r="B61" s="3" t="s">
        <v>409</v>
      </c>
      <c r="C61" s="3" t="s">
        <v>410</v>
      </c>
      <c r="D61" s="3" t="str">
        <f t="shared" si="0"/>
        <v>25-Jul-2024</v>
      </c>
      <c r="E61" s="3" t="str">
        <f t="shared" si="1"/>
        <v>20-Jul-2024</v>
      </c>
      <c r="F61" s="3">
        <f t="shared" si="2"/>
        <v>5</v>
      </c>
      <c r="G61" s="3" t="s">
        <v>411</v>
      </c>
      <c r="H61" s="3" t="s">
        <v>150</v>
      </c>
      <c r="I61" s="3" t="s">
        <v>116</v>
      </c>
      <c r="J61" s="3" t="s">
        <v>50</v>
      </c>
      <c r="K61" s="3" t="s">
        <v>224</v>
      </c>
      <c r="L61" s="3" t="s">
        <v>225</v>
      </c>
      <c r="M61" s="3" t="s">
        <v>38</v>
      </c>
      <c r="N61" s="3" t="s">
        <v>117</v>
      </c>
      <c r="O61" s="3" t="s">
        <v>412</v>
      </c>
      <c r="P61" s="3" t="s">
        <v>56</v>
      </c>
      <c r="Q61" s="3">
        <v>5</v>
      </c>
      <c r="R61" s="3">
        <v>4133.8500000000004</v>
      </c>
      <c r="S61" s="3">
        <v>0.2</v>
      </c>
      <c r="T61" s="3">
        <v>16535.400000000001</v>
      </c>
      <c r="U61" s="3">
        <v>12990.21</v>
      </c>
      <c r="V61" s="3">
        <v>3545.19</v>
      </c>
      <c r="W61" s="3" t="s">
        <v>42</v>
      </c>
      <c r="X61" s="3" t="s">
        <v>86</v>
      </c>
      <c r="Y61" s="2" t="str">
        <f t="shared" si="3"/>
        <v>Unique</v>
      </c>
      <c r="AA61" s="2" t="str">
        <f t="shared" si="4"/>
        <v>Clean</v>
      </c>
      <c r="AB61" s="2" t="str">
        <f t="shared" si="5"/>
        <v>valid</v>
      </c>
      <c r="AC61">
        <f t="shared" si="6"/>
        <v>0.2</v>
      </c>
      <c r="AD61">
        <f t="shared" si="7"/>
        <v>16535.400000000001</v>
      </c>
      <c r="AE61">
        <f t="shared" si="8"/>
        <v>3545.1900000000023</v>
      </c>
      <c r="AF61">
        <f t="shared" si="9"/>
        <v>0.21440001451431487</v>
      </c>
      <c r="AG61" t="str">
        <f t="shared" si="10"/>
        <v>July</v>
      </c>
      <c r="AH61">
        <f t="shared" si="11"/>
        <v>2024</v>
      </c>
      <c r="AI61" t="str">
        <f t="shared" si="12"/>
        <v>Warning</v>
      </c>
    </row>
    <row r="62" spans="1:35" ht="15.75" customHeight="1">
      <c r="A62" s="3" t="s">
        <v>413</v>
      </c>
      <c r="B62" s="3" t="s">
        <v>414</v>
      </c>
      <c r="C62" s="3" t="s">
        <v>415</v>
      </c>
      <c r="D62" s="3" t="str">
        <f t="shared" si="0"/>
        <v>19-Jul-2024</v>
      </c>
      <c r="E62" s="3" t="str">
        <f t="shared" si="1"/>
        <v>13-Jul-2024</v>
      </c>
      <c r="F62" s="3">
        <f t="shared" si="2"/>
        <v>6</v>
      </c>
      <c r="G62" s="3" t="s">
        <v>416</v>
      </c>
      <c r="H62" s="3" t="s">
        <v>80</v>
      </c>
      <c r="I62" s="3" t="s">
        <v>116</v>
      </c>
      <c r="J62" s="3" t="s">
        <v>50</v>
      </c>
      <c r="K62" s="3" t="s">
        <v>224</v>
      </c>
      <c r="L62" s="3" t="s">
        <v>225</v>
      </c>
      <c r="M62" s="3" t="s">
        <v>38</v>
      </c>
      <c r="N62" s="3" t="s">
        <v>117</v>
      </c>
      <c r="O62" s="3" t="s">
        <v>417</v>
      </c>
      <c r="P62" s="3" t="s">
        <v>56</v>
      </c>
      <c r="Q62" s="3">
        <v>3</v>
      </c>
      <c r="R62" s="3">
        <v>275.76</v>
      </c>
      <c r="S62" s="3">
        <v>0.2</v>
      </c>
      <c r="T62" s="3">
        <v>661.82</v>
      </c>
      <c r="U62" s="3">
        <v>481.47</v>
      </c>
      <c r="V62" s="3">
        <v>180.35</v>
      </c>
      <c r="W62" s="3" t="s">
        <v>132</v>
      </c>
      <c r="X62" s="3" t="s">
        <v>86</v>
      </c>
      <c r="Y62" s="2" t="str">
        <f t="shared" si="3"/>
        <v>Unique</v>
      </c>
      <c r="AA62" s="2" t="str">
        <f t="shared" si="4"/>
        <v>Clean</v>
      </c>
      <c r="AB62" s="2" t="str">
        <f t="shared" si="5"/>
        <v>valid</v>
      </c>
      <c r="AC62">
        <f t="shared" si="6"/>
        <v>0.2</v>
      </c>
      <c r="AD62">
        <f t="shared" si="7"/>
        <v>661.82400000000007</v>
      </c>
      <c r="AE62">
        <f t="shared" si="8"/>
        <v>180.35400000000004</v>
      </c>
      <c r="AF62">
        <f t="shared" si="9"/>
        <v>0.27251051639106472</v>
      </c>
      <c r="AG62" t="str">
        <f t="shared" si="10"/>
        <v>July</v>
      </c>
      <c r="AH62">
        <f t="shared" si="11"/>
        <v>2024</v>
      </c>
      <c r="AI62" t="str">
        <f t="shared" si="12"/>
        <v>Warning</v>
      </c>
    </row>
    <row r="63" spans="1:35" ht="15.75" customHeight="1">
      <c r="A63" s="3" t="s">
        <v>418</v>
      </c>
      <c r="B63" s="3" t="s">
        <v>419</v>
      </c>
      <c r="C63" s="3" t="s">
        <v>420</v>
      </c>
      <c r="D63" s="3" t="str">
        <f t="shared" si="0"/>
        <v>16-Apr-2024</v>
      </c>
      <c r="E63" s="3" t="str">
        <f t="shared" si="1"/>
        <v>16-Apr-2024</v>
      </c>
      <c r="F63" s="3">
        <f t="shared" si="2"/>
        <v>0</v>
      </c>
      <c r="G63" s="3" t="s">
        <v>421</v>
      </c>
      <c r="H63" s="3" t="s">
        <v>91</v>
      </c>
      <c r="I63" s="3" t="s">
        <v>123</v>
      </c>
      <c r="J63" s="3" t="s">
        <v>50</v>
      </c>
      <c r="K63" s="3" t="s">
        <v>194</v>
      </c>
      <c r="L63" s="3" t="s">
        <v>195</v>
      </c>
      <c r="M63" s="3" t="s">
        <v>53</v>
      </c>
      <c r="N63" s="3" t="s">
        <v>212</v>
      </c>
      <c r="O63" s="3" t="s">
        <v>422</v>
      </c>
      <c r="P63" s="3" t="s">
        <v>75</v>
      </c>
      <c r="Q63" s="3">
        <v>1</v>
      </c>
      <c r="R63" s="3">
        <v>949.59</v>
      </c>
      <c r="S63" s="3">
        <v>0</v>
      </c>
      <c r="T63" s="3">
        <v>949.59</v>
      </c>
      <c r="U63" s="3">
        <v>751.25</v>
      </c>
      <c r="V63" s="3">
        <v>198.34</v>
      </c>
      <c r="W63" s="3" t="s">
        <v>42</v>
      </c>
      <c r="X63" s="3" t="s">
        <v>43</v>
      </c>
      <c r="Y63" s="2" t="str">
        <f t="shared" si="3"/>
        <v>Unique</v>
      </c>
      <c r="AA63" s="2" t="str">
        <f t="shared" si="4"/>
        <v>Clean</v>
      </c>
      <c r="AB63" s="2" t="str">
        <f t="shared" si="5"/>
        <v>valid</v>
      </c>
      <c r="AC63">
        <f t="shared" si="6"/>
        <v>0</v>
      </c>
      <c r="AD63">
        <f t="shared" si="7"/>
        <v>949.59</v>
      </c>
      <c r="AE63">
        <f t="shared" si="8"/>
        <v>198.34000000000003</v>
      </c>
      <c r="AF63">
        <f t="shared" si="9"/>
        <v>0.20886909087079689</v>
      </c>
      <c r="AG63" t="str">
        <f t="shared" si="10"/>
        <v>April</v>
      </c>
      <c r="AH63">
        <f t="shared" si="11"/>
        <v>2024</v>
      </c>
      <c r="AI63" t="str">
        <f t="shared" si="12"/>
        <v>Clean</v>
      </c>
    </row>
    <row r="64" spans="1:35" ht="15.75" customHeight="1">
      <c r="A64" s="3" t="s">
        <v>423</v>
      </c>
      <c r="B64" s="3" t="s">
        <v>424</v>
      </c>
      <c r="C64" s="3" t="s">
        <v>425</v>
      </c>
      <c r="D64" s="3" t="str">
        <f t="shared" si="0"/>
        <v>02-Nov-2024</v>
      </c>
      <c r="E64" s="3" t="str">
        <f t="shared" si="1"/>
        <v>30-Oct-2024</v>
      </c>
      <c r="F64" s="3">
        <f t="shared" si="2"/>
        <v>3</v>
      </c>
      <c r="G64" s="3" t="s">
        <v>426</v>
      </c>
      <c r="H64" s="3" t="s">
        <v>176</v>
      </c>
      <c r="I64" s="3" t="s">
        <v>123</v>
      </c>
      <c r="J64" s="3" t="s">
        <v>35</v>
      </c>
      <c r="K64" s="3" t="s">
        <v>36</v>
      </c>
      <c r="L64" s="3" t="s">
        <v>37</v>
      </c>
      <c r="M64" s="3" t="s">
        <v>94</v>
      </c>
      <c r="N64" s="3" t="s">
        <v>231</v>
      </c>
      <c r="O64" s="3" t="s">
        <v>427</v>
      </c>
      <c r="P64" s="3" t="s">
        <v>75</v>
      </c>
      <c r="Q64" s="3">
        <v>9</v>
      </c>
      <c r="R64" s="3">
        <v>3042.29</v>
      </c>
      <c r="S64" s="3">
        <v>0.2</v>
      </c>
      <c r="T64" s="3">
        <v>21904.49</v>
      </c>
      <c r="U64" s="3">
        <v>13570.55</v>
      </c>
      <c r="V64" s="3">
        <v>8333.94</v>
      </c>
      <c r="W64" s="3" t="s">
        <v>42</v>
      </c>
      <c r="X64" s="3" t="s">
        <v>43</v>
      </c>
      <c r="Y64" s="2" t="str">
        <f t="shared" si="3"/>
        <v>Unique</v>
      </c>
      <c r="AA64" s="2" t="str">
        <f t="shared" si="4"/>
        <v>Clean</v>
      </c>
      <c r="AB64" s="2" t="str">
        <f t="shared" si="5"/>
        <v>valid</v>
      </c>
      <c r="AC64">
        <f t="shared" si="6"/>
        <v>0.2</v>
      </c>
      <c r="AD64">
        <f t="shared" si="7"/>
        <v>21904.488000000001</v>
      </c>
      <c r="AE64">
        <f t="shared" si="8"/>
        <v>8333.9380000000019</v>
      </c>
      <c r="AF64">
        <f t="shared" si="9"/>
        <v>0.38046714445003244</v>
      </c>
      <c r="AG64" t="str">
        <f t="shared" si="10"/>
        <v>October</v>
      </c>
      <c r="AH64">
        <f t="shared" si="11"/>
        <v>2024</v>
      </c>
      <c r="AI64" t="str">
        <f t="shared" si="12"/>
        <v>Clean</v>
      </c>
    </row>
    <row r="65" spans="1:35" ht="15.75" customHeight="1">
      <c r="A65" s="3" t="s">
        <v>428</v>
      </c>
      <c r="B65" s="3" t="s">
        <v>429</v>
      </c>
      <c r="C65" s="3" t="s">
        <v>430</v>
      </c>
      <c r="D65" s="3" t="str">
        <f t="shared" si="0"/>
        <v>01-Feb-2024</v>
      </c>
      <c r="E65" s="3" t="str">
        <f t="shared" si="1"/>
        <v>25-Jan-2024</v>
      </c>
      <c r="F65" s="3">
        <f t="shared" si="2"/>
        <v>7</v>
      </c>
      <c r="G65" s="3" t="s">
        <v>431</v>
      </c>
      <c r="H65" s="3" t="s">
        <v>176</v>
      </c>
      <c r="I65" s="3" t="s">
        <v>123</v>
      </c>
      <c r="J65" s="3" t="s">
        <v>35</v>
      </c>
      <c r="K65" s="3" t="s">
        <v>331</v>
      </c>
      <c r="L65" s="3" t="s">
        <v>332</v>
      </c>
      <c r="M65" s="3" t="s">
        <v>38</v>
      </c>
      <c r="N65" s="3" t="s">
        <v>206</v>
      </c>
      <c r="O65" s="3" t="s">
        <v>432</v>
      </c>
      <c r="P65" s="3" t="s">
        <v>56</v>
      </c>
      <c r="Q65" s="3">
        <v>2</v>
      </c>
      <c r="R65" s="3">
        <v>2832.77</v>
      </c>
      <c r="S65" s="3">
        <v>0.15</v>
      </c>
      <c r="T65" s="3">
        <v>4815.71</v>
      </c>
      <c r="U65" s="3">
        <v>3027.75</v>
      </c>
      <c r="V65" s="3">
        <v>1917.47</v>
      </c>
      <c r="W65" s="3" t="s">
        <v>42</v>
      </c>
      <c r="X65" s="3" t="s">
        <v>43</v>
      </c>
      <c r="Y65" s="2" t="str">
        <f t="shared" si="3"/>
        <v>Unique</v>
      </c>
      <c r="AA65" s="2" t="str">
        <f t="shared" si="4"/>
        <v>Clean</v>
      </c>
      <c r="AB65" s="2" t="str">
        <f t="shared" si="5"/>
        <v>valid</v>
      </c>
      <c r="AC65">
        <f t="shared" si="6"/>
        <v>0.15</v>
      </c>
      <c r="AD65">
        <f t="shared" si="7"/>
        <v>4815.7089999999998</v>
      </c>
      <c r="AE65">
        <f t="shared" si="8"/>
        <v>1787.9589999999998</v>
      </c>
      <c r="AF65">
        <f t="shared" si="9"/>
        <v>0.37127637903369992</v>
      </c>
      <c r="AG65" t="str">
        <f t="shared" si="10"/>
        <v>January</v>
      </c>
      <c r="AH65">
        <f t="shared" si="11"/>
        <v>2024</v>
      </c>
      <c r="AI65" t="str">
        <f t="shared" si="12"/>
        <v>Clean</v>
      </c>
    </row>
    <row r="66" spans="1:35" ht="15.75" customHeight="1">
      <c r="A66" s="3" t="s">
        <v>433</v>
      </c>
      <c r="B66" s="3" t="s">
        <v>434</v>
      </c>
      <c r="C66" s="3" t="s">
        <v>435</v>
      </c>
      <c r="D66" s="3" t="str">
        <f t="shared" si="0"/>
        <v>29-Dec-2024</v>
      </c>
      <c r="E66" s="3" t="str">
        <f t="shared" si="1"/>
        <v>23-Dec-2024</v>
      </c>
      <c r="F66" s="3">
        <f t="shared" si="2"/>
        <v>6</v>
      </c>
      <c r="G66" s="3" t="s">
        <v>436</v>
      </c>
      <c r="H66" s="3" t="s">
        <v>170</v>
      </c>
      <c r="I66" s="3" t="s">
        <v>116</v>
      </c>
      <c r="J66" s="3" t="s">
        <v>50</v>
      </c>
      <c r="K66" s="3" t="s">
        <v>319</v>
      </c>
      <c r="L66" s="3" t="s">
        <v>320</v>
      </c>
      <c r="M66" s="3" t="s">
        <v>38</v>
      </c>
      <c r="N66" s="3" t="s">
        <v>39</v>
      </c>
      <c r="O66" s="3" t="s">
        <v>437</v>
      </c>
      <c r="P66" s="3" t="s">
        <v>64</v>
      </c>
      <c r="Q66" s="3">
        <v>7</v>
      </c>
      <c r="R66" s="3">
        <v>447.84</v>
      </c>
      <c r="S66" s="3">
        <v>0</v>
      </c>
      <c r="T66" s="3">
        <v>3134.88</v>
      </c>
      <c r="U66" s="3">
        <v>2367.63</v>
      </c>
      <c r="V66" s="3">
        <v>767.25</v>
      </c>
      <c r="W66" s="3" t="s">
        <v>132</v>
      </c>
      <c r="X66" s="3" t="s">
        <v>133</v>
      </c>
      <c r="Y66" s="2" t="str">
        <f t="shared" si="3"/>
        <v>Unique</v>
      </c>
      <c r="AA66" s="2" t="str">
        <f t="shared" si="4"/>
        <v>Clean</v>
      </c>
      <c r="AB66" s="2" t="str">
        <f t="shared" si="5"/>
        <v>valid</v>
      </c>
      <c r="AC66">
        <f t="shared" si="6"/>
        <v>0</v>
      </c>
      <c r="AD66">
        <f t="shared" si="7"/>
        <v>3134.8799999999997</v>
      </c>
      <c r="AE66">
        <f t="shared" si="8"/>
        <v>767.24999999999955</v>
      </c>
      <c r="AF66">
        <f t="shared" si="9"/>
        <v>0.24474621038125849</v>
      </c>
      <c r="AG66" t="str">
        <f t="shared" si="10"/>
        <v>December</v>
      </c>
      <c r="AH66">
        <f t="shared" si="11"/>
        <v>2024</v>
      </c>
      <c r="AI66" t="str">
        <f t="shared" si="12"/>
        <v>Clean</v>
      </c>
    </row>
    <row r="67" spans="1:35" ht="15.75" customHeight="1">
      <c r="A67" s="3" t="s">
        <v>438</v>
      </c>
      <c r="B67" s="3" t="s">
        <v>439</v>
      </c>
      <c r="C67" s="3" t="s">
        <v>440</v>
      </c>
      <c r="D67" s="3" t="str">
        <f t="shared" si="0"/>
        <v>27-Apr-2024</v>
      </c>
      <c r="E67" s="3" t="str">
        <f t="shared" si="1"/>
        <v>22-Apr-2024</v>
      </c>
      <c r="F67" s="3">
        <f t="shared" si="2"/>
        <v>5</v>
      </c>
      <c r="G67" s="3" t="s">
        <v>441</v>
      </c>
      <c r="H67" s="3" t="s">
        <v>48</v>
      </c>
      <c r="I67" s="3" t="s">
        <v>123</v>
      </c>
      <c r="J67" s="3" t="s">
        <v>81</v>
      </c>
      <c r="K67" s="3" t="s">
        <v>82</v>
      </c>
      <c r="L67" s="3" t="s">
        <v>83</v>
      </c>
      <c r="M67" s="3" t="s">
        <v>38</v>
      </c>
      <c r="N67" s="3" t="s">
        <v>39</v>
      </c>
      <c r="O67" s="3" t="s">
        <v>442</v>
      </c>
      <c r="P67" s="3" t="s">
        <v>41</v>
      </c>
      <c r="Q67" s="3">
        <v>1</v>
      </c>
      <c r="R67" s="3">
        <v>4280.1899999999996</v>
      </c>
      <c r="S67" s="3">
        <v>0.05</v>
      </c>
      <c r="T67" s="3">
        <v>4066.18</v>
      </c>
      <c r="U67" s="3">
        <v>2628.92</v>
      </c>
      <c r="V67" s="3">
        <v>1437.26</v>
      </c>
      <c r="W67" s="3" t="s">
        <v>42</v>
      </c>
      <c r="X67" s="3" t="s">
        <v>43</v>
      </c>
      <c r="Y67" s="2" t="str">
        <f t="shared" si="3"/>
        <v>Unique</v>
      </c>
      <c r="AA67" s="2" t="str">
        <f t="shared" si="4"/>
        <v>Clean</v>
      </c>
      <c r="AB67" s="2" t="str">
        <f t="shared" si="5"/>
        <v>valid</v>
      </c>
      <c r="AC67">
        <f t="shared" ref="AC67:AC130" si="13">IF(S67="",0,IF(S67&gt;1,S67/100,S67))</f>
        <v>0.05</v>
      </c>
      <c r="AD67">
        <f t="shared" ref="AD67:AD130" si="14">Q67*R67*(1-AC67)</f>
        <v>4066.1804999999995</v>
      </c>
      <c r="AE67">
        <f t="shared" ref="AE67:AE130" si="15">AD67-U67</f>
        <v>1437.2604999999994</v>
      </c>
      <c r="AF67">
        <f t="shared" ref="AF67:AF130" si="16">AE67/AD67</f>
        <v>0.35346696980126674</v>
      </c>
      <c r="AG67" t="str">
        <f t="shared" ref="AG67:AG130" si="17">TEXT(E67,"mmmm")</f>
        <v>April</v>
      </c>
      <c r="AH67">
        <f t="shared" ref="AH67:AH130" si="18">YEAR(E67)</f>
        <v>2024</v>
      </c>
      <c r="AI67" t="str">
        <f t="shared" ref="AI67:AI130" si="19">IF(OR(AC67&lt;0,AC67&gt;0.5,F67="Invalid Shipping Record"),"Invalid",
IF(OR(X67="Cancelled",W67="Failed"),"Warning","Clean"))</f>
        <v>Clean</v>
      </c>
    </row>
    <row r="68" spans="1:35" ht="15.75" customHeight="1">
      <c r="A68" s="3" t="s">
        <v>443</v>
      </c>
      <c r="B68" s="3" t="s">
        <v>444</v>
      </c>
      <c r="C68" s="3" t="s">
        <v>445</v>
      </c>
      <c r="D68" s="3" t="str">
        <f t="shared" si="0"/>
        <v>01-Sep-2025</v>
      </c>
      <c r="E68" s="3" t="str">
        <f t="shared" si="1"/>
        <v>28-Aug-2025</v>
      </c>
      <c r="F68" s="3">
        <f t="shared" si="2"/>
        <v>4</v>
      </c>
      <c r="G68" s="3" t="s">
        <v>446</v>
      </c>
      <c r="H68" s="3" t="s">
        <v>33</v>
      </c>
      <c r="I68" s="3" t="s">
        <v>49</v>
      </c>
      <c r="J68" s="3" t="s">
        <v>70</v>
      </c>
      <c r="K68" s="3" t="s">
        <v>347</v>
      </c>
      <c r="L68" s="3" t="s">
        <v>348</v>
      </c>
      <c r="M68" s="3" t="s">
        <v>94</v>
      </c>
      <c r="N68" s="3" t="s">
        <v>95</v>
      </c>
      <c r="O68" s="3" t="s">
        <v>447</v>
      </c>
      <c r="P68" s="3" t="s">
        <v>56</v>
      </c>
      <c r="Q68" s="3">
        <v>7</v>
      </c>
      <c r="R68" s="3">
        <v>1057.46</v>
      </c>
      <c r="S68" s="3">
        <v>0.05</v>
      </c>
      <c r="T68" s="3">
        <v>7032.11</v>
      </c>
      <c r="U68" s="3">
        <v>4610.34</v>
      </c>
      <c r="V68" s="3">
        <v>2421.77</v>
      </c>
      <c r="W68" s="3" t="s">
        <v>42</v>
      </c>
      <c r="X68" s="3" t="s">
        <v>43</v>
      </c>
      <c r="Y68" s="2" t="str">
        <f t="shared" si="3"/>
        <v>Unique</v>
      </c>
      <c r="AA68" s="2" t="str">
        <f t="shared" si="4"/>
        <v>Clean</v>
      </c>
      <c r="AB68" s="2" t="str">
        <f t="shared" si="5"/>
        <v>valid</v>
      </c>
      <c r="AC68">
        <f t="shared" si="13"/>
        <v>0.05</v>
      </c>
      <c r="AD68">
        <f t="shared" si="14"/>
        <v>7032.1089999999995</v>
      </c>
      <c r="AE68">
        <f t="shared" si="15"/>
        <v>2421.7689999999993</v>
      </c>
      <c r="AF68">
        <f t="shared" si="16"/>
        <v>0.34438729547565311</v>
      </c>
      <c r="AG68" t="str">
        <f t="shared" si="17"/>
        <v>August</v>
      </c>
      <c r="AH68">
        <f t="shared" si="18"/>
        <v>2025</v>
      </c>
      <c r="AI68" t="str">
        <f t="shared" si="19"/>
        <v>Clean</v>
      </c>
    </row>
    <row r="69" spans="1:35" ht="15.75" customHeight="1">
      <c r="A69" s="3" t="s">
        <v>448</v>
      </c>
      <c r="B69" s="3" t="s">
        <v>449</v>
      </c>
      <c r="C69" s="3" t="s">
        <v>450</v>
      </c>
      <c r="D69" s="3" t="str">
        <f t="shared" si="0"/>
        <v>07-Feb-2025</v>
      </c>
      <c r="E69" s="3" t="str">
        <f t="shared" si="1"/>
        <v>03-Feb-2025</v>
      </c>
      <c r="F69" s="3">
        <f t="shared" si="2"/>
        <v>4</v>
      </c>
      <c r="G69" s="3" t="s">
        <v>451</v>
      </c>
      <c r="H69" s="3" t="s">
        <v>375</v>
      </c>
      <c r="I69" s="3" t="s">
        <v>34</v>
      </c>
      <c r="J69" s="3" t="s">
        <v>35</v>
      </c>
      <c r="K69" s="3" t="s">
        <v>331</v>
      </c>
      <c r="L69" s="3" t="s">
        <v>332</v>
      </c>
      <c r="M69" s="3" t="s">
        <v>38</v>
      </c>
      <c r="N69" s="3" t="s">
        <v>39</v>
      </c>
      <c r="O69" s="3" t="s">
        <v>452</v>
      </c>
      <c r="P69" s="3" t="s">
        <v>64</v>
      </c>
      <c r="Q69" s="3">
        <v>7</v>
      </c>
      <c r="R69" s="3">
        <v>3609.34</v>
      </c>
      <c r="S69" s="3">
        <v>0.05</v>
      </c>
      <c r="T69" s="3">
        <v>24002.11</v>
      </c>
      <c r="U69" s="3">
        <v>18707.57</v>
      </c>
      <c r="V69" s="3">
        <v>5294.54</v>
      </c>
      <c r="W69" s="3" t="s">
        <v>42</v>
      </c>
      <c r="X69" s="3" t="s">
        <v>43</v>
      </c>
      <c r="Y69" s="2" t="str">
        <f t="shared" si="3"/>
        <v>Unique</v>
      </c>
      <c r="AA69" s="2" t="str">
        <f t="shared" si="4"/>
        <v>Clean</v>
      </c>
      <c r="AB69" s="2" t="str">
        <f t="shared" si="5"/>
        <v>valid</v>
      </c>
      <c r="AC69">
        <f t="shared" si="13"/>
        <v>0.05</v>
      </c>
      <c r="AD69">
        <f t="shared" si="14"/>
        <v>24002.111000000001</v>
      </c>
      <c r="AE69">
        <f t="shared" si="15"/>
        <v>5294.5410000000011</v>
      </c>
      <c r="AF69">
        <f t="shared" si="16"/>
        <v>0.2205864725815159</v>
      </c>
      <c r="AG69" t="str">
        <f t="shared" si="17"/>
        <v>February</v>
      </c>
      <c r="AH69">
        <f t="shared" si="18"/>
        <v>2025</v>
      </c>
      <c r="AI69" t="str">
        <f t="shared" si="19"/>
        <v>Clean</v>
      </c>
    </row>
    <row r="70" spans="1:35" ht="15.75" customHeight="1">
      <c r="A70" s="3" t="s">
        <v>453</v>
      </c>
      <c r="B70" s="3" t="s">
        <v>113</v>
      </c>
      <c r="C70" s="3" t="s">
        <v>454</v>
      </c>
      <c r="D70" s="3" t="str">
        <f t="shared" si="0"/>
        <v>13-Nov-2024</v>
      </c>
      <c r="E70" s="3" t="str">
        <f t="shared" si="1"/>
        <v>11-Oct-2024</v>
      </c>
      <c r="F70" s="3">
        <f t="shared" si="2"/>
        <v>33</v>
      </c>
      <c r="G70" s="3" t="s">
        <v>455</v>
      </c>
      <c r="H70" s="3" t="s">
        <v>61</v>
      </c>
      <c r="I70" s="3" t="s">
        <v>116</v>
      </c>
      <c r="J70" s="3" t="s">
        <v>50</v>
      </c>
      <c r="K70" s="3" t="s">
        <v>319</v>
      </c>
      <c r="L70" s="3" t="s">
        <v>320</v>
      </c>
      <c r="M70" s="3" t="s">
        <v>38</v>
      </c>
      <c r="N70" s="3" t="s">
        <v>164</v>
      </c>
      <c r="O70" s="3" t="s">
        <v>456</v>
      </c>
      <c r="P70" s="3" t="s">
        <v>41</v>
      </c>
      <c r="Q70" s="3">
        <v>9</v>
      </c>
      <c r="R70" s="3">
        <v>2211.12</v>
      </c>
      <c r="S70" s="3">
        <v>0</v>
      </c>
      <c r="T70" s="3">
        <v>19900.080000000002</v>
      </c>
      <c r="U70" s="3">
        <v>10962.66</v>
      </c>
      <c r="V70" s="3">
        <v>8937.42</v>
      </c>
      <c r="W70" s="3" t="s">
        <v>208</v>
      </c>
      <c r="X70" s="3" t="s">
        <v>133</v>
      </c>
      <c r="Y70" s="2" t="str">
        <f t="shared" si="3"/>
        <v>Unique</v>
      </c>
      <c r="AA70" s="2" t="str">
        <f t="shared" si="4"/>
        <v>Clean</v>
      </c>
      <c r="AB70" s="2" t="str">
        <f t="shared" si="5"/>
        <v>valid</v>
      </c>
      <c r="AC70">
        <f t="shared" si="13"/>
        <v>0</v>
      </c>
      <c r="AD70">
        <f t="shared" si="14"/>
        <v>19900.079999999998</v>
      </c>
      <c r="AE70">
        <f t="shared" si="15"/>
        <v>8937.4199999999983</v>
      </c>
      <c r="AF70">
        <f t="shared" si="16"/>
        <v>0.44911477742803041</v>
      </c>
      <c r="AG70" t="str">
        <f t="shared" si="17"/>
        <v>October</v>
      </c>
      <c r="AH70">
        <f t="shared" si="18"/>
        <v>2024</v>
      </c>
      <c r="AI70" t="str">
        <f t="shared" si="19"/>
        <v>Warning</v>
      </c>
    </row>
    <row r="71" spans="1:35" ht="15.75" customHeight="1">
      <c r="A71" s="3" t="s">
        <v>457</v>
      </c>
      <c r="B71" s="3" t="s">
        <v>458</v>
      </c>
      <c r="C71" s="3" t="s">
        <v>459</v>
      </c>
      <c r="D71" s="3" t="str">
        <f t="shared" si="0"/>
        <v>14-Apr-2024</v>
      </c>
      <c r="E71" s="3" t="str">
        <f t="shared" si="1"/>
        <v>09-Apr-2024</v>
      </c>
      <c r="F71" s="3">
        <f t="shared" si="2"/>
        <v>5</v>
      </c>
      <c r="G71" s="3" t="s">
        <v>460</v>
      </c>
      <c r="H71" s="3" t="s">
        <v>101</v>
      </c>
      <c r="I71" s="3" t="s">
        <v>49</v>
      </c>
      <c r="J71" s="3" t="s">
        <v>81</v>
      </c>
      <c r="K71" s="3" t="s">
        <v>243</v>
      </c>
      <c r="L71" s="3" t="s">
        <v>244</v>
      </c>
      <c r="M71" s="3" t="s">
        <v>94</v>
      </c>
      <c r="N71" s="3" t="s">
        <v>391</v>
      </c>
      <c r="O71" s="3" t="s">
        <v>461</v>
      </c>
      <c r="P71" s="3" t="s">
        <v>56</v>
      </c>
      <c r="Q71" s="3">
        <v>7</v>
      </c>
      <c r="R71" s="3">
        <v>3417.09</v>
      </c>
      <c r="S71" s="3">
        <v>0.1</v>
      </c>
      <c r="T71" s="3">
        <v>21527.67</v>
      </c>
      <c r="U71" s="3">
        <v>18287.580000000002</v>
      </c>
      <c r="V71" s="3">
        <v>3240.09</v>
      </c>
      <c r="W71" s="3" t="s">
        <v>132</v>
      </c>
      <c r="X71" s="3" t="s">
        <v>133</v>
      </c>
      <c r="Y71" s="2" t="str">
        <f t="shared" si="3"/>
        <v>Unique</v>
      </c>
      <c r="AA71" s="2" t="str">
        <f t="shared" si="4"/>
        <v>Clean</v>
      </c>
      <c r="AB71" s="2" t="str">
        <f t="shared" si="5"/>
        <v>valid</v>
      </c>
      <c r="AC71">
        <f t="shared" si="13"/>
        <v>0.1</v>
      </c>
      <c r="AD71">
        <f t="shared" si="14"/>
        <v>21527.667000000001</v>
      </c>
      <c r="AE71">
        <f t="shared" si="15"/>
        <v>3240.0869999999995</v>
      </c>
      <c r="AF71">
        <f t="shared" si="16"/>
        <v>0.15050804158202555</v>
      </c>
      <c r="AG71" t="str">
        <f t="shared" si="17"/>
        <v>April</v>
      </c>
      <c r="AH71">
        <f t="shared" si="18"/>
        <v>2024</v>
      </c>
      <c r="AI71" t="str">
        <f t="shared" si="19"/>
        <v>Clean</v>
      </c>
    </row>
    <row r="72" spans="1:35" ht="15.75" customHeight="1">
      <c r="A72" s="3" t="s">
        <v>462</v>
      </c>
      <c r="B72" s="3" t="s">
        <v>463</v>
      </c>
      <c r="C72" s="3" t="s">
        <v>464</v>
      </c>
      <c r="D72" s="3" t="str">
        <f t="shared" si="0"/>
        <v>27-Aug-2025</v>
      </c>
      <c r="E72" s="3" t="str">
        <f t="shared" si="1"/>
        <v>22-Aug-2025</v>
      </c>
      <c r="F72" s="3">
        <f t="shared" si="2"/>
        <v>5</v>
      </c>
      <c r="G72" s="3" t="s">
        <v>465</v>
      </c>
      <c r="H72" s="3" t="s">
        <v>33</v>
      </c>
      <c r="I72" s="3" t="s">
        <v>116</v>
      </c>
      <c r="J72" s="3" t="s">
        <v>70</v>
      </c>
      <c r="K72" s="3" t="s">
        <v>108</v>
      </c>
      <c r="L72" s="3" t="s">
        <v>109</v>
      </c>
      <c r="M72" s="3" t="s">
        <v>94</v>
      </c>
      <c r="N72" s="3" t="s">
        <v>231</v>
      </c>
      <c r="O72" s="3" t="s">
        <v>466</v>
      </c>
      <c r="P72" s="3" t="s">
        <v>64</v>
      </c>
      <c r="Q72" s="3">
        <v>2</v>
      </c>
      <c r="R72" s="3">
        <v>905.87</v>
      </c>
      <c r="S72" s="3">
        <v>0.15</v>
      </c>
      <c r="T72" s="3">
        <v>1539.98</v>
      </c>
      <c r="U72" s="3">
        <v>1070.2</v>
      </c>
      <c r="V72" s="3">
        <v>469.78</v>
      </c>
      <c r="W72" s="3" t="s">
        <v>42</v>
      </c>
      <c r="X72" s="3" t="s">
        <v>43</v>
      </c>
      <c r="Y72" s="2" t="str">
        <f t="shared" si="3"/>
        <v>Unique</v>
      </c>
      <c r="AA72" s="2" t="str">
        <f t="shared" si="4"/>
        <v>Clean</v>
      </c>
      <c r="AB72" s="2" t="str">
        <f t="shared" si="5"/>
        <v>valid</v>
      </c>
      <c r="AC72">
        <f t="shared" si="13"/>
        <v>0.15</v>
      </c>
      <c r="AD72">
        <f t="shared" si="14"/>
        <v>1539.979</v>
      </c>
      <c r="AE72">
        <f t="shared" si="15"/>
        <v>469.779</v>
      </c>
      <c r="AF72">
        <f t="shared" si="16"/>
        <v>0.30505545854846072</v>
      </c>
      <c r="AG72" t="str">
        <f t="shared" si="17"/>
        <v>August</v>
      </c>
      <c r="AH72">
        <f t="shared" si="18"/>
        <v>2025</v>
      </c>
      <c r="AI72" t="str">
        <f t="shared" si="19"/>
        <v>Clean</v>
      </c>
    </row>
    <row r="73" spans="1:35" ht="15.75" customHeight="1">
      <c r="A73" s="3" t="s">
        <v>467</v>
      </c>
      <c r="B73" s="3" t="s">
        <v>99</v>
      </c>
      <c r="C73" s="3" t="s">
        <v>468</v>
      </c>
      <c r="D73" s="3" t="str">
        <f t="shared" si="0"/>
        <v>23-Apr-2025</v>
      </c>
      <c r="E73" s="3" t="str">
        <f t="shared" si="1"/>
        <v>16-Apr-2025</v>
      </c>
      <c r="F73" s="3">
        <f t="shared" si="2"/>
        <v>7</v>
      </c>
      <c r="G73" s="3" t="s">
        <v>469</v>
      </c>
      <c r="H73" s="3" t="s">
        <v>48</v>
      </c>
      <c r="I73" s="3" t="s">
        <v>49</v>
      </c>
      <c r="J73" s="3" t="s">
        <v>81</v>
      </c>
      <c r="K73" s="3" t="s">
        <v>257</v>
      </c>
      <c r="L73" s="3" t="s">
        <v>258</v>
      </c>
      <c r="M73" s="3" t="s">
        <v>94</v>
      </c>
      <c r="N73" s="3" t="s">
        <v>391</v>
      </c>
      <c r="O73" s="3" t="s">
        <v>470</v>
      </c>
      <c r="P73" s="3" t="s">
        <v>75</v>
      </c>
      <c r="Q73" s="3">
        <v>6</v>
      </c>
      <c r="R73" s="3">
        <v>2027.32</v>
      </c>
      <c r="S73" s="3">
        <v>0.1</v>
      </c>
      <c r="T73" s="3">
        <v>10947.53</v>
      </c>
      <c r="U73" s="3">
        <v>6447.36</v>
      </c>
      <c r="V73" s="3">
        <v>4500.17</v>
      </c>
      <c r="W73" s="3" t="s">
        <v>42</v>
      </c>
      <c r="X73" s="3" t="s">
        <v>43</v>
      </c>
      <c r="Y73" s="2" t="str">
        <f t="shared" si="3"/>
        <v>Unique</v>
      </c>
      <c r="AA73" s="2" t="str">
        <f t="shared" si="4"/>
        <v>Clean</v>
      </c>
      <c r="AB73" s="2" t="str">
        <f t="shared" si="5"/>
        <v>valid</v>
      </c>
      <c r="AC73">
        <f t="shared" si="13"/>
        <v>0.1</v>
      </c>
      <c r="AD73">
        <f t="shared" si="14"/>
        <v>10947.528</v>
      </c>
      <c r="AE73">
        <f t="shared" si="15"/>
        <v>4500.1680000000006</v>
      </c>
      <c r="AF73">
        <f t="shared" si="16"/>
        <v>0.41106704636882413</v>
      </c>
      <c r="AG73" t="str">
        <f t="shared" si="17"/>
        <v>April</v>
      </c>
      <c r="AH73">
        <f t="shared" si="18"/>
        <v>2025</v>
      </c>
      <c r="AI73" t="str">
        <f t="shared" si="19"/>
        <v>Clean</v>
      </c>
    </row>
    <row r="74" spans="1:35" ht="15.75" customHeight="1">
      <c r="A74" s="3" t="s">
        <v>471</v>
      </c>
      <c r="B74" s="3" t="s">
        <v>472</v>
      </c>
      <c r="C74" s="3" t="s">
        <v>473</v>
      </c>
      <c r="D74" s="3" t="str">
        <f t="shared" si="0"/>
        <v>07-Feb-2024</v>
      </c>
      <c r="E74" s="3" t="str">
        <f t="shared" si="1"/>
        <v>11-Feb-2024</v>
      </c>
      <c r="F74" s="3">
        <f t="shared" si="2"/>
        <v>-4</v>
      </c>
      <c r="G74" s="3" t="s">
        <v>474</v>
      </c>
      <c r="H74" s="3" t="s">
        <v>33</v>
      </c>
      <c r="I74" s="3" t="s">
        <v>123</v>
      </c>
      <c r="J74" s="3" t="s">
        <v>70</v>
      </c>
      <c r="K74" s="3" t="s">
        <v>347</v>
      </c>
      <c r="L74" s="3" t="s">
        <v>348</v>
      </c>
      <c r="M74" s="3" t="s">
        <v>53</v>
      </c>
      <c r="N74" s="3" t="s">
        <v>54</v>
      </c>
      <c r="O74" s="3" t="s">
        <v>475</v>
      </c>
      <c r="P74" s="3" t="s">
        <v>64</v>
      </c>
      <c r="Q74" s="3">
        <v>7</v>
      </c>
      <c r="R74" s="3">
        <v>2287.4699999999998</v>
      </c>
      <c r="S74" s="3">
        <v>0.15</v>
      </c>
      <c r="T74" s="3">
        <v>13610.45</v>
      </c>
      <c r="U74" s="3">
        <v>10039.049999999999</v>
      </c>
      <c r="V74" s="3">
        <v>3571.4</v>
      </c>
      <c r="W74" s="3" t="s">
        <v>42</v>
      </c>
      <c r="X74" s="3" t="s">
        <v>43</v>
      </c>
      <c r="Y74" s="2" t="str">
        <f t="shared" si="3"/>
        <v>Unique</v>
      </c>
      <c r="AA74" s="2" t="str">
        <f t="shared" si="4"/>
        <v>Clean</v>
      </c>
      <c r="AB74" s="2" t="str">
        <f t="shared" si="5"/>
        <v>Invalid</v>
      </c>
      <c r="AC74">
        <f t="shared" si="13"/>
        <v>0.15</v>
      </c>
      <c r="AD74">
        <f t="shared" si="14"/>
        <v>13610.446499999998</v>
      </c>
      <c r="AE74">
        <f t="shared" si="15"/>
        <v>3571.3964999999989</v>
      </c>
      <c r="AF74">
        <f t="shared" si="16"/>
        <v>0.26240112695788487</v>
      </c>
      <c r="AG74" t="str">
        <f t="shared" si="17"/>
        <v>February</v>
      </c>
      <c r="AH74">
        <f t="shared" si="18"/>
        <v>2024</v>
      </c>
      <c r="AI74" t="str">
        <f t="shared" si="19"/>
        <v>Clean</v>
      </c>
    </row>
    <row r="75" spans="1:35" ht="15.75" customHeight="1">
      <c r="A75" s="3" t="s">
        <v>476</v>
      </c>
      <c r="B75" s="3" t="s">
        <v>477</v>
      </c>
      <c r="C75" s="3" t="s">
        <v>478</v>
      </c>
      <c r="D75" s="3" t="str">
        <f t="shared" si="0"/>
        <v>04-Mar-2025</v>
      </c>
      <c r="E75" s="3" t="str">
        <f t="shared" si="1"/>
        <v>29-Mar-2025</v>
      </c>
      <c r="F75" s="3">
        <f t="shared" si="2"/>
        <v>-25</v>
      </c>
      <c r="G75" s="3" t="s">
        <v>479</v>
      </c>
      <c r="H75" s="3" t="s">
        <v>176</v>
      </c>
      <c r="I75" s="3" t="s">
        <v>116</v>
      </c>
      <c r="J75" s="3" t="s">
        <v>50</v>
      </c>
      <c r="K75" s="3" t="s">
        <v>129</v>
      </c>
      <c r="L75" s="3" t="s">
        <v>130</v>
      </c>
      <c r="M75" s="3" t="s">
        <v>53</v>
      </c>
      <c r="N75" s="3" t="s">
        <v>212</v>
      </c>
      <c r="O75" s="3" t="s">
        <v>480</v>
      </c>
      <c r="P75" s="3" t="s">
        <v>64</v>
      </c>
      <c r="Q75" s="3">
        <v>5</v>
      </c>
      <c r="R75" s="3">
        <v>1425.74</v>
      </c>
      <c r="S75" s="3">
        <v>0</v>
      </c>
      <c r="T75" s="3">
        <v>7128.7</v>
      </c>
      <c r="U75" s="3">
        <v>4382.1499999999996</v>
      </c>
      <c r="V75" s="3">
        <v>2746.55</v>
      </c>
      <c r="W75" s="3" t="s">
        <v>42</v>
      </c>
      <c r="X75" s="3" t="s">
        <v>43</v>
      </c>
      <c r="Y75" s="2" t="str">
        <f t="shared" si="3"/>
        <v>Unique</v>
      </c>
      <c r="AA75" s="2" t="str">
        <f t="shared" si="4"/>
        <v>Clean</v>
      </c>
      <c r="AB75" s="2" t="str">
        <f t="shared" si="5"/>
        <v>Invalid</v>
      </c>
      <c r="AC75">
        <f t="shared" si="13"/>
        <v>0</v>
      </c>
      <c r="AD75">
        <f t="shared" si="14"/>
        <v>7128.7</v>
      </c>
      <c r="AE75">
        <f t="shared" si="15"/>
        <v>2746.55</v>
      </c>
      <c r="AF75">
        <f t="shared" si="16"/>
        <v>0.38528062620113068</v>
      </c>
      <c r="AG75" t="str">
        <f t="shared" si="17"/>
        <v>March</v>
      </c>
      <c r="AH75">
        <f t="shared" si="18"/>
        <v>2025</v>
      </c>
      <c r="AI75" t="str">
        <f t="shared" si="19"/>
        <v>Clean</v>
      </c>
    </row>
    <row r="76" spans="1:35" ht="15.75" customHeight="1">
      <c r="A76" s="3" t="s">
        <v>481</v>
      </c>
      <c r="B76" s="3" t="s">
        <v>482</v>
      </c>
      <c r="C76" s="3" t="s">
        <v>483</v>
      </c>
      <c r="D76" s="3" t="str">
        <f t="shared" si="0"/>
        <v>01-Mar-2025</v>
      </c>
      <c r="E76" s="3" t="str">
        <f t="shared" si="1"/>
        <v>27-Feb-2025</v>
      </c>
      <c r="F76" s="3">
        <f t="shared" si="2"/>
        <v>2</v>
      </c>
      <c r="G76" s="3" t="s">
        <v>484</v>
      </c>
      <c r="H76" s="3" t="s">
        <v>91</v>
      </c>
      <c r="I76" s="3" t="s">
        <v>49</v>
      </c>
      <c r="J76" s="3" t="s">
        <v>50</v>
      </c>
      <c r="K76" s="3" t="s">
        <v>129</v>
      </c>
      <c r="L76" s="3" t="s">
        <v>130</v>
      </c>
      <c r="M76" s="3" t="s">
        <v>53</v>
      </c>
      <c r="N76" s="3" t="s">
        <v>84</v>
      </c>
      <c r="O76" s="3" t="s">
        <v>485</v>
      </c>
      <c r="P76" s="3" t="s">
        <v>75</v>
      </c>
      <c r="Q76" s="3">
        <v>6</v>
      </c>
      <c r="R76" s="3">
        <v>551.64</v>
      </c>
      <c r="S76" s="3">
        <v>0</v>
      </c>
      <c r="T76" s="3">
        <v>3309.84</v>
      </c>
      <c r="U76" s="3">
        <v>2671.08</v>
      </c>
      <c r="V76" s="3">
        <v>638.76</v>
      </c>
      <c r="W76" s="3" t="s">
        <v>42</v>
      </c>
      <c r="X76" s="3" t="s">
        <v>43</v>
      </c>
      <c r="Y76" s="2" t="str">
        <f t="shared" si="3"/>
        <v>Unique</v>
      </c>
      <c r="AA76" s="2" t="str">
        <f t="shared" si="4"/>
        <v>Clean</v>
      </c>
      <c r="AB76" s="2" t="str">
        <f t="shared" si="5"/>
        <v>valid</v>
      </c>
      <c r="AC76">
        <f t="shared" si="13"/>
        <v>0</v>
      </c>
      <c r="AD76">
        <f t="shared" si="14"/>
        <v>3309.84</v>
      </c>
      <c r="AE76">
        <f t="shared" si="15"/>
        <v>638.76000000000022</v>
      </c>
      <c r="AF76">
        <f t="shared" si="16"/>
        <v>0.19298818069755644</v>
      </c>
      <c r="AG76" t="str">
        <f t="shared" si="17"/>
        <v>February</v>
      </c>
      <c r="AH76">
        <f t="shared" si="18"/>
        <v>2025</v>
      </c>
      <c r="AI76" t="str">
        <f t="shared" si="19"/>
        <v>Clean</v>
      </c>
    </row>
    <row r="77" spans="1:35" ht="15.75" customHeight="1">
      <c r="A77" s="3" t="s">
        <v>486</v>
      </c>
      <c r="B77" s="3" t="s">
        <v>487</v>
      </c>
      <c r="C77" s="3" t="s">
        <v>488</v>
      </c>
      <c r="D77" s="3" t="str">
        <f t="shared" si="0"/>
        <v>27-Aug-2025</v>
      </c>
      <c r="E77" s="3" t="str">
        <f t="shared" si="1"/>
        <v>22-Aug-2025</v>
      </c>
      <c r="F77" s="3">
        <f t="shared" si="2"/>
        <v>5</v>
      </c>
      <c r="G77" s="3" t="s">
        <v>489</v>
      </c>
      <c r="H77" s="3" t="s">
        <v>150</v>
      </c>
      <c r="I77" s="3" t="s">
        <v>49</v>
      </c>
      <c r="J77" s="3" t="s">
        <v>50</v>
      </c>
      <c r="K77" s="3" t="s">
        <v>51</v>
      </c>
      <c r="L77" s="3" t="s">
        <v>52</v>
      </c>
      <c r="M77" s="3" t="s">
        <v>38</v>
      </c>
      <c r="N77" s="3" t="s">
        <v>117</v>
      </c>
      <c r="O77" s="3" t="s">
        <v>490</v>
      </c>
      <c r="P77" s="3" t="s">
        <v>64</v>
      </c>
      <c r="Q77" s="3">
        <v>3</v>
      </c>
      <c r="R77" s="3">
        <v>3294.82</v>
      </c>
      <c r="S77" s="3">
        <v>0.2</v>
      </c>
      <c r="T77" s="3">
        <v>7907.57</v>
      </c>
      <c r="U77" s="3">
        <v>5391.18</v>
      </c>
      <c r="V77" s="3">
        <v>2516.39</v>
      </c>
      <c r="W77" s="3" t="s">
        <v>42</v>
      </c>
      <c r="X77" s="3" t="s">
        <v>43</v>
      </c>
      <c r="Y77" s="2" t="str">
        <f t="shared" si="3"/>
        <v>Unique</v>
      </c>
      <c r="AA77" s="2" t="str">
        <f t="shared" si="4"/>
        <v>Clean</v>
      </c>
      <c r="AB77" s="2" t="str">
        <f t="shared" si="5"/>
        <v>valid</v>
      </c>
      <c r="AC77">
        <f t="shared" si="13"/>
        <v>0.2</v>
      </c>
      <c r="AD77">
        <f t="shared" si="14"/>
        <v>7907.5680000000011</v>
      </c>
      <c r="AE77">
        <f t="shared" si="15"/>
        <v>2516.3880000000008</v>
      </c>
      <c r="AF77">
        <f t="shared" si="16"/>
        <v>0.31822527482533197</v>
      </c>
      <c r="AG77" t="str">
        <f t="shared" si="17"/>
        <v>August</v>
      </c>
      <c r="AH77">
        <f t="shared" si="18"/>
        <v>2025</v>
      </c>
      <c r="AI77" t="str">
        <f t="shared" si="19"/>
        <v>Clean</v>
      </c>
    </row>
    <row r="78" spans="1:35" ht="15.75" customHeight="1">
      <c r="A78" s="3" t="s">
        <v>491</v>
      </c>
      <c r="B78" s="3" t="s">
        <v>492</v>
      </c>
      <c r="C78" s="3" t="s">
        <v>493</v>
      </c>
      <c r="D78" s="3" t="str">
        <f t="shared" si="0"/>
        <v>11-Nov-2024</v>
      </c>
      <c r="E78" s="3" t="str">
        <f t="shared" si="1"/>
        <v>03-Nov-2024</v>
      </c>
      <c r="F78" s="3">
        <f t="shared" si="2"/>
        <v>8</v>
      </c>
      <c r="G78" s="3" t="s">
        <v>494</v>
      </c>
      <c r="H78" s="3" t="s">
        <v>80</v>
      </c>
      <c r="I78" s="3" t="s">
        <v>116</v>
      </c>
      <c r="J78" s="3" t="s">
        <v>50</v>
      </c>
      <c r="K78" s="3" t="s">
        <v>319</v>
      </c>
      <c r="L78" s="3" t="s">
        <v>320</v>
      </c>
      <c r="M78" s="3" t="s">
        <v>38</v>
      </c>
      <c r="N78" s="3" t="s">
        <v>117</v>
      </c>
      <c r="O78" s="3" t="s">
        <v>495</v>
      </c>
      <c r="P78" s="3" t="s">
        <v>41</v>
      </c>
      <c r="Q78" s="3">
        <v>3</v>
      </c>
      <c r="R78" s="3">
        <v>3406.27</v>
      </c>
      <c r="S78" s="3">
        <v>0</v>
      </c>
      <c r="T78" s="3">
        <v>10218.81</v>
      </c>
      <c r="U78" s="3">
        <v>7616.97</v>
      </c>
      <c r="V78" s="3">
        <v>2601.84</v>
      </c>
      <c r="W78" s="3" t="s">
        <v>42</v>
      </c>
      <c r="X78" s="3" t="s">
        <v>43</v>
      </c>
      <c r="Y78" s="2" t="str">
        <f t="shared" si="3"/>
        <v>Unique</v>
      </c>
      <c r="AA78" s="2" t="str">
        <f t="shared" si="4"/>
        <v>Clean</v>
      </c>
      <c r="AB78" s="2" t="str">
        <f t="shared" si="5"/>
        <v>valid</v>
      </c>
      <c r="AC78">
        <f t="shared" si="13"/>
        <v>0</v>
      </c>
      <c r="AD78">
        <f t="shared" si="14"/>
        <v>10218.81</v>
      </c>
      <c r="AE78">
        <f t="shared" si="15"/>
        <v>2601.8399999999992</v>
      </c>
      <c r="AF78">
        <f t="shared" si="16"/>
        <v>0.2546128169522674</v>
      </c>
      <c r="AG78" t="str">
        <f t="shared" si="17"/>
        <v>November</v>
      </c>
      <c r="AH78">
        <f t="shared" si="18"/>
        <v>2024</v>
      </c>
      <c r="AI78" t="str">
        <f t="shared" si="19"/>
        <v>Clean</v>
      </c>
    </row>
    <row r="79" spans="1:35" ht="15.75" customHeight="1">
      <c r="A79" s="3" t="s">
        <v>496</v>
      </c>
      <c r="B79" s="3" t="s">
        <v>497</v>
      </c>
      <c r="C79" s="3" t="s">
        <v>498</v>
      </c>
      <c r="D79" s="3" t="str">
        <f t="shared" si="0"/>
        <v>12-Jul-2025</v>
      </c>
      <c r="E79" s="3" t="str">
        <f t="shared" si="1"/>
        <v>07-Aug-2025</v>
      </c>
      <c r="F79" s="3">
        <f t="shared" si="2"/>
        <v>-26</v>
      </c>
      <c r="G79" s="3" t="s">
        <v>499</v>
      </c>
      <c r="H79" s="3" t="s">
        <v>188</v>
      </c>
      <c r="I79" s="3" t="s">
        <v>123</v>
      </c>
      <c r="J79" s="3" t="s">
        <v>35</v>
      </c>
      <c r="K79" s="3" t="s">
        <v>182</v>
      </c>
      <c r="L79" s="3" t="s">
        <v>183</v>
      </c>
      <c r="M79" s="3" t="s">
        <v>53</v>
      </c>
      <c r="N79" s="3" t="s">
        <v>73</v>
      </c>
      <c r="O79" s="3" t="s">
        <v>500</v>
      </c>
      <c r="P79" s="3" t="s">
        <v>75</v>
      </c>
      <c r="Q79" s="3">
        <v>1</v>
      </c>
      <c r="R79" s="3">
        <v>2582.1999999999998</v>
      </c>
      <c r="S79" s="3">
        <v>0.15</v>
      </c>
      <c r="T79" s="3">
        <v>2194.87</v>
      </c>
      <c r="U79" s="3">
        <v>1223.17</v>
      </c>
      <c r="V79" s="3">
        <v>971.7</v>
      </c>
      <c r="W79" s="3" t="s">
        <v>132</v>
      </c>
      <c r="X79" s="3" t="s">
        <v>86</v>
      </c>
      <c r="Y79" s="2" t="str">
        <f t="shared" si="3"/>
        <v>Unique</v>
      </c>
      <c r="AA79" s="2" t="str">
        <f t="shared" si="4"/>
        <v>Clean</v>
      </c>
      <c r="AB79" s="2" t="str">
        <f t="shared" si="5"/>
        <v>Invalid</v>
      </c>
      <c r="AC79">
        <f t="shared" si="13"/>
        <v>0.15</v>
      </c>
      <c r="AD79">
        <f t="shared" si="14"/>
        <v>2194.87</v>
      </c>
      <c r="AE79">
        <f t="shared" si="15"/>
        <v>971.69999999999982</v>
      </c>
      <c r="AF79">
        <f t="shared" si="16"/>
        <v>0.44271414707932583</v>
      </c>
      <c r="AG79" t="str">
        <f t="shared" si="17"/>
        <v>August</v>
      </c>
      <c r="AH79">
        <f t="shared" si="18"/>
        <v>2025</v>
      </c>
      <c r="AI79" t="str">
        <f t="shared" si="19"/>
        <v>Warning</v>
      </c>
    </row>
    <row r="80" spans="1:35" ht="15.75" customHeight="1">
      <c r="A80" s="3" t="s">
        <v>501</v>
      </c>
      <c r="B80" s="3" t="s">
        <v>502</v>
      </c>
      <c r="C80" s="3" t="s">
        <v>503</v>
      </c>
      <c r="D80" s="3" t="str">
        <f t="shared" si="0"/>
        <v>21-Jul-2025</v>
      </c>
      <c r="E80" s="3" t="str">
        <f t="shared" si="1"/>
        <v>16-Jul-2025</v>
      </c>
      <c r="F80" s="3">
        <f t="shared" si="2"/>
        <v>5</v>
      </c>
      <c r="G80" s="3" t="s">
        <v>504</v>
      </c>
      <c r="H80" s="3" t="s">
        <v>176</v>
      </c>
      <c r="I80" s="3" t="s">
        <v>116</v>
      </c>
      <c r="J80" s="3" t="s">
        <v>50</v>
      </c>
      <c r="K80" s="3" t="s">
        <v>129</v>
      </c>
      <c r="L80" s="3" t="s">
        <v>130</v>
      </c>
      <c r="M80" s="3" t="s">
        <v>53</v>
      </c>
      <c r="N80" s="3" t="s">
        <v>54</v>
      </c>
      <c r="O80" s="3" t="s">
        <v>505</v>
      </c>
      <c r="P80" s="3" t="s">
        <v>64</v>
      </c>
      <c r="Q80" s="3">
        <v>5</v>
      </c>
      <c r="R80" s="3">
        <v>2129.5100000000002</v>
      </c>
      <c r="S80" s="3">
        <v>0.15</v>
      </c>
      <c r="T80" s="3">
        <v>9050.42</v>
      </c>
      <c r="U80" s="3">
        <v>6778.85</v>
      </c>
      <c r="V80" s="3">
        <v>2271.5700000000002</v>
      </c>
      <c r="W80" s="3" t="s">
        <v>42</v>
      </c>
      <c r="X80" s="3" t="s">
        <v>43</v>
      </c>
      <c r="Y80" s="2" t="str">
        <f t="shared" si="3"/>
        <v>Unique</v>
      </c>
      <c r="AA80" s="2" t="str">
        <f t="shared" si="4"/>
        <v>Clean</v>
      </c>
      <c r="AB80" s="2" t="str">
        <f t="shared" si="5"/>
        <v>valid</v>
      </c>
      <c r="AC80">
        <f t="shared" si="13"/>
        <v>0.15</v>
      </c>
      <c r="AD80">
        <f t="shared" si="14"/>
        <v>9050.4175000000014</v>
      </c>
      <c r="AE80">
        <f t="shared" si="15"/>
        <v>2271.567500000001</v>
      </c>
      <c r="AF80">
        <f t="shared" si="16"/>
        <v>0.25099035486484472</v>
      </c>
      <c r="AG80" t="str">
        <f t="shared" si="17"/>
        <v>July</v>
      </c>
      <c r="AH80">
        <f t="shared" si="18"/>
        <v>2025</v>
      </c>
      <c r="AI80" t="str">
        <f t="shared" si="19"/>
        <v>Clean</v>
      </c>
    </row>
    <row r="81" spans="1:35" ht="15.75" customHeight="1">
      <c r="A81" s="3" t="s">
        <v>506</v>
      </c>
      <c r="B81" s="3" t="s">
        <v>507</v>
      </c>
      <c r="C81" s="3" t="s">
        <v>508</v>
      </c>
      <c r="D81" s="3" t="str">
        <f t="shared" si="0"/>
        <v>03-Oct-2025</v>
      </c>
      <c r="E81" s="3" t="str">
        <f t="shared" si="1"/>
        <v>27-Sep-2025</v>
      </c>
      <c r="F81" s="3">
        <f t="shared" si="2"/>
        <v>6</v>
      </c>
      <c r="G81" s="3" t="s">
        <v>509</v>
      </c>
      <c r="H81" s="3" t="s">
        <v>218</v>
      </c>
      <c r="I81" s="3" t="s">
        <v>123</v>
      </c>
      <c r="J81" s="3" t="s">
        <v>70</v>
      </c>
      <c r="K81" s="3" t="s">
        <v>347</v>
      </c>
      <c r="L81" s="3" t="s">
        <v>348</v>
      </c>
      <c r="M81" s="3" t="s">
        <v>53</v>
      </c>
      <c r="N81" s="3" t="s">
        <v>84</v>
      </c>
      <c r="O81" s="3" t="s">
        <v>510</v>
      </c>
      <c r="P81" s="3" t="s">
        <v>56</v>
      </c>
      <c r="Q81" s="3">
        <v>9</v>
      </c>
      <c r="R81" s="3">
        <v>4131.5200000000004</v>
      </c>
      <c r="S81" s="3">
        <v>0.1</v>
      </c>
      <c r="T81" s="3">
        <v>33465.31</v>
      </c>
      <c r="U81" s="3">
        <v>24781.26</v>
      </c>
      <c r="V81" s="3">
        <v>8684.0499999999993</v>
      </c>
      <c r="W81" s="3" t="s">
        <v>42</v>
      </c>
      <c r="X81" s="3" t="s">
        <v>43</v>
      </c>
      <c r="Y81" s="2" t="str">
        <f t="shared" si="3"/>
        <v>Unique</v>
      </c>
      <c r="AA81" s="2" t="str">
        <f t="shared" si="4"/>
        <v>Clean</v>
      </c>
      <c r="AB81" s="2" t="str">
        <f t="shared" si="5"/>
        <v>valid</v>
      </c>
      <c r="AC81">
        <f t="shared" si="13"/>
        <v>0.1</v>
      </c>
      <c r="AD81">
        <f t="shared" si="14"/>
        <v>33465.312000000005</v>
      </c>
      <c r="AE81">
        <f t="shared" si="15"/>
        <v>8684.052000000007</v>
      </c>
      <c r="AF81">
        <f t="shared" si="16"/>
        <v>0.25949412932411942</v>
      </c>
      <c r="AG81" t="str">
        <f t="shared" si="17"/>
        <v>September</v>
      </c>
      <c r="AH81">
        <f t="shared" si="18"/>
        <v>2025</v>
      </c>
      <c r="AI81" t="str">
        <f t="shared" si="19"/>
        <v>Clean</v>
      </c>
    </row>
    <row r="82" spans="1:35" ht="15.75" customHeight="1">
      <c r="A82" s="3" t="s">
        <v>511</v>
      </c>
      <c r="B82" s="3" t="s">
        <v>512</v>
      </c>
      <c r="C82" s="3" t="s">
        <v>513</v>
      </c>
      <c r="D82" s="3" t="str">
        <f t="shared" si="0"/>
        <v>14-Aug-2024</v>
      </c>
      <c r="E82" s="3" t="str">
        <f t="shared" si="1"/>
        <v>10-Aug-2024</v>
      </c>
      <c r="F82" s="3">
        <f t="shared" si="2"/>
        <v>4</v>
      </c>
      <c r="G82" s="3" t="s">
        <v>514</v>
      </c>
      <c r="H82" s="3" t="s">
        <v>170</v>
      </c>
      <c r="I82" s="3" t="s">
        <v>49</v>
      </c>
      <c r="J82" s="3" t="s">
        <v>35</v>
      </c>
      <c r="K82" s="3" t="s">
        <v>515</v>
      </c>
      <c r="L82" s="3" t="s">
        <v>516</v>
      </c>
      <c r="M82" s="3" t="s">
        <v>38</v>
      </c>
      <c r="N82" s="3" t="s">
        <v>164</v>
      </c>
      <c r="O82" s="3" t="s">
        <v>517</v>
      </c>
      <c r="P82" s="3" t="s">
        <v>41</v>
      </c>
      <c r="Q82" s="3">
        <v>4</v>
      </c>
      <c r="R82" s="3">
        <v>1182.32</v>
      </c>
      <c r="S82" s="3">
        <v>0.1</v>
      </c>
      <c r="T82" s="3">
        <v>4256.3500000000004</v>
      </c>
      <c r="U82" s="3">
        <v>2495.33</v>
      </c>
      <c r="V82" s="3">
        <v>1761.02</v>
      </c>
      <c r="W82" s="3" t="s">
        <v>145</v>
      </c>
      <c r="X82" s="3" t="s">
        <v>133</v>
      </c>
      <c r="Y82" s="2" t="str">
        <f t="shared" si="3"/>
        <v>Unique</v>
      </c>
      <c r="AA82" s="2" t="str">
        <f t="shared" si="4"/>
        <v>Clean</v>
      </c>
      <c r="AB82" s="2" t="str">
        <f t="shared" si="5"/>
        <v>valid</v>
      </c>
      <c r="AC82">
        <f t="shared" si="13"/>
        <v>0.1</v>
      </c>
      <c r="AD82">
        <f t="shared" si="14"/>
        <v>4256.3519999999999</v>
      </c>
      <c r="AE82">
        <f t="shared" si="15"/>
        <v>1761.0219999999999</v>
      </c>
      <c r="AF82">
        <f t="shared" si="16"/>
        <v>0.41373974708858663</v>
      </c>
      <c r="AG82" t="str">
        <f t="shared" si="17"/>
        <v>August</v>
      </c>
      <c r="AH82">
        <f t="shared" si="18"/>
        <v>2024</v>
      </c>
      <c r="AI82" t="str">
        <f t="shared" si="19"/>
        <v>Clean</v>
      </c>
    </row>
    <row r="83" spans="1:35" ht="15.75" customHeight="1">
      <c r="A83" s="3" t="s">
        <v>518</v>
      </c>
      <c r="B83" s="3" t="s">
        <v>519</v>
      </c>
      <c r="C83" s="3" t="s">
        <v>520</v>
      </c>
      <c r="D83" s="3" t="str">
        <f t="shared" si="0"/>
        <v>17-Mar-2025</v>
      </c>
      <c r="E83" s="3" t="str">
        <f t="shared" si="1"/>
        <v>16-Mar-2025</v>
      </c>
      <c r="F83" s="3">
        <f t="shared" si="2"/>
        <v>1</v>
      </c>
      <c r="G83" s="3" t="s">
        <v>521</v>
      </c>
      <c r="H83" s="3" t="s">
        <v>33</v>
      </c>
      <c r="I83" s="3" t="s">
        <v>123</v>
      </c>
      <c r="J83" s="3" t="s">
        <v>81</v>
      </c>
      <c r="K83" s="3" t="s">
        <v>257</v>
      </c>
      <c r="L83" s="3" t="s">
        <v>258</v>
      </c>
      <c r="M83" s="3" t="s">
        <v>38</v>
      </c>
      <c r="N83" s="3" t="s">
        <v>117</v>
      </c>
      <c r="O83" s="3" t="s">
        <v>522</v>
      </c>
      <c r="P83" s="3" t="s">
        <v>56</v>
      </c>
      <c r="Q83" s="3">
        <v>3</v>
      </c>
      <c r="R83" s="3">
        <v>1841.91</v>
      </c>
      <c r="S83" s="3">
        <v>0</v>
      </c>
      <c r="T83" s="3">
        <v>5525.73</v>
      </c>
      <c r="U83" s="3">
        <v>3093.42</v>
      </c>
      <c r="V83" s="3">
        <v>2432.31</v>
      </c>
      <c r="W83" s="3" t="s">
        <v>42</v>
      </c>
      <c r="X83" s="3" t="s">
        <v>43</v>
      </c>
      <c r="Y83" s="2" t="str">
        <f t="shared" si="3"/>
        <v>Unique</v>
      </c>
      <c r="AA83" s="2" t="str">
        <f t="shared" si="4"/>
        <v>Clean</v>
      </c>
      <c r="AB83" s="2" t="str">
        <f t="shared" si="5"/>
        <v>valid</v>
      </c>
      <c r="AC83">
        <f t="shared" si="13"/>
        <v>0</v>
      </c>
      <c r="AD83">
        <f t="shared" si="14"/>
        <v>5525.7300000000005</v>
      </c>
      <c r="AE83">
        <f t="shared" si="15"/>
        <v>2432.3100000000004</v>
      </c>
      <c r="AF83">
        <f t="shared" si="16"/>
        <v>0.44017894468242208</v>
      </c>
      <c r="AG83" t="str">
        <f t="shared" si="17"/>
        <v>March</v>
      </c>
      <c r="AH83">
        <f t="shared" si="18"/>
        <v>2025</v>
      </c>
      <c r="AI83" t="str">
        <f t="shared" si="19"/>
        <v>Clean</v>
      </c>
    </row>
    <row r="84" spans="1:35" ht="15.75" customHeight="1">
      <c r="A84" s="3" t="s">
        <v>523</v>
      </c>
      <c r="B84" s="3" t="s">
        <v>524</v>
      </c>
      <c r="C84" s="3" t="s">
        <v>525</v>
      </c>
      <c r="D84" s="3" t="str">
        <f t="shared" si="0"/>
        <v>04-Aug-2024</v>
      </c>
      <c r="E84" s="3" t="str">
        <f t="shared" si="1"/>
        <v>03-Aug-2024</v>
      </c>
      <c r="F84" s="3">
        <f t="shared" si="2"/>
        <v>1</v>
      </c>
      <c r="G84" s="3" t="s">
        <v>526</v>
      </c>
      <c r="H84" s="3" t="s">
        <v>69</v>
      </c>
      <c r="I84" s="3" t="s">
        <v>34</v>
      </c>
      <c r="J84" s="3" t="s">
        <v>35</v>
      </c>
      <c r="K84" s="3" t="s">
        <v>182</v>
      </c>
      <c r="L84" s="3" t="s">
        <v>183</v>
      </c>
      <c r="M84" s="3" t="s">
        <v>94</v>
      </c>
      <c r="N84" s="3" t="s">
        <v>102</v>
      </c>
      <c r="O84" s="3" t="s">
        <v>527</v>
      </c>
      <c r="P84" s="3" t="s">
        <v>41</v>
      </c>
      <c r="Q84" s="3">
        <v>6</v>
      </c>
      <c r="R84" s="3">
        <v>1001.73</v>
      </c>
      <c r="S84" s="3">
        <v>0</v>
      </c>
      <c r="T84" s="3">
        <v>6010.38</v>
      </c>
      <c r="U84" s="3">
        <v>3762.85</v>
      </c>
      <c r="V84" s="3">
        <v>2247.5300000000002</v>
      </c>
      <c r="W84" s="3" t="s">
        <v>208</v>
      </c>
      <c r="X84" s="3" t="s">
        <v>133</v>
      </c>
      <c r="Y84" s="2" t="str">
        <f t="shared" si="3"/>
        <v>Unique</v>
      </c>
      <c r="AA84" s="2" t="str">
        <f t="shared" si="4"/>
        <v>Clean</v>
      </c>
      <c r="AB84" s="2" t="str">
        <f t="shared" si="5"/>
        <v>valid</v>
      </c>
      <c r="AC84">
        <f t="shared" si="13"/>
        <v>0</v>
      </c>
      <c r="AD84">
        <f t="shared" si="14"/>
        <v>6010.38</v>
      </c>
      <c r="AE84">
        <f t="shared" si="15"/>
        <v>2247.5300000000002</v>
      </c>
      <c r="AF84">
        <f t="shared" si="16"/>
        <v>0.37394141468592673</v>
      </c>
      <c r="AG84" t="str">
        <f t="shared" si="17"/>
        <v>August</v>
      </c>
      <c r="AH84">
        <f t="shared" si="18"/>
        <v>2024</v>
      </c>
      <c r="AI84" t="str">
        <f t="shared" si="19"/>
        <v>Warning</v>
      </c>
    </row>
    <row r="85" spans="1:35" ht="15.75" customHeight="1">
      <c r="A85" s="3" t="s">
        <v>528</v>
      </c>
      <c r="B85" s="3" t="s">
        <v>372</v>
      </c>
      <c r="C85" s="3" t="s">
        <v>529</v>
      </c>
      <c r="D85" s="3" t="str">
        <f t="shared" si="0"/>
        <v>29-Oct-2024</v>
      </c>
      <c r="E85" s="3" t="str">
        <f t="shared" si="1"/>
        <v>26-Oct-2024</v>
      </c>
      <c r="F85" s="3">
        <f t="shared" si="2"/>
        <v>3</v>
      </c>
      <c r="G85" s="3" t="s">
        <v>530</v>
      </c>
      <c r="H85" s="3" t="s">
        <v>115</v>
      </c>
      <c r="I85" s="3" t="s">
        <v>123</v>
      </c>
      <c r="J85" s="3" t="s">
        <v>81</v>
      </c>
      <c r="K85" s="3" t="s">
        <v>82</v>
      </c>
      <c r="L85" s="3" t="s">
        <v>83</v>
      </c>
      <c r="M85" s="3" t="s">
        <v>53</v>
      </c>
      <c r="N85" s="3" t="s">
        <v>54</v>
      </c>
      <c r="O85" s="3" t="s">
        <v>531</v>
      </c>
      <c r="P85" s="3" t="s">
        <v>41</v>
      </c>
      <c r="Q85" s="3">
        <v>9</v>
      </c>
      <c r="R85" s="3">
        <v>131.74</v>
      </c>
      <c r="S85" s="3">
        <v>0.2</v>
      </c>
      <c r="T85" s="3">
        <v>948.53</v>
      </c>
      <c r="U85" s="3">
        <v>674.62</v>
      </c>
      <c r="V85" s="3">
        <v>273.91000000000003</v>
      </c>
      <c r="W85" s="3" t="s">
        <v>42</v>
      </c>
      <c r="X85" s="3" t="s">
        <v>43</v>
      </c>
      <c r="Y85" s="2" t="str">
        <f t="shared" si="3"/>
        <v>Unique</v>
      </c>
      <c r="AA85" s="2" t="str">
        <f t="shared" si="4"/>
        <v>Clean</v>
      </c>
      <c r="AB85" s="2" t="str">
        <f t="shared" si="5"/>
        <v>valid</v>
      </c>
      <c r="AC85">
        <f t="shared" si="13"/>
        <v>0.2</v>
      </c>
      <c r="AD85">
        <f t="shared" si="14"/>
        <v>948.52800000000013</v>
      </c>
      <c r="AE85">
        <f t="shared" si="15"/>
        <v>273.90800000000013</v>
      </c>
      <c r="AF85">
        <f t="shared" si="16"/>
        <v>0.28877165460587362</v>
      </c>
      <c r="AG85" t="str">
        <f t="shared" si="17"/>
        <v>October</v>
      </c>
      <c r="AH85">
        <f t="shared" si="18"/>
        <v>2024</v>
      </c>
      <c r="AI85" t="str">
        <f t="shared" si="19"/>
        <v>Clean</v>
      </c>
    </row>
    <row r="86" spans="1:35" ht="15.75" customHeight="1">
      <c r="A86" s="3" t="s">
        <v>532</v>
      </c>
      <c r="B86" s="3" t="s">
        <v>533</v>
      </c>
      <c r="C86" s="3" t="s">
        <v>534</v>
      </c>
      <c r="D86" s="3" t="str">
        <f t="shared" si="0"/>
        <v>03-Oct-2024</v>
      </c>
      <c r="E86" s="3" t="str">
        <f t="shared" si="1"/>
        <v>01-Oct-2024</v>
      </c>
      <c r="F86" s="3">
        <f t="shared" si="2"/>
        <v>2</v>
      </c>
      <c r="G86" s="3" t="s">
        <v>535</v>
      </c>
      <c r="H86" s="3" t="s">
        <v>188</v>
      </c>
      <c r="I86" s="3" t="s">
        <v>116</v>
      </c>
      <c r="J86" s="3" t="s">
        <v>70</v>
      </c>
      <c r="K86" s="3" t="s">
        <v>347</v>
      </c>
      <c r="L86" s="3" t="s">
        <v>348</v>
      </c>
      <c r="M86" s="3" t="s">
        <v>94</v>
      </c>
      <c r="N86" s="3" t="s">
        <v>231</v>
      </c>
      <c r="O86" s="3" t="s">
        <v>536</v>
      </c>
      <c r="P86" s="3" t="s">
        <v>41</v>
      </c>
      <c r="Q86" s="3">
        <v>6</v>
      </c>
      <c r="R86" s="3">
        <v>570.28</v>
      </c>
      <c r="S86" s="3">
        <v>0.2</v>
      </c>
      <c r="T86" s="3">
        <v>2737.34</v>
      </c>
      <c r="U86" s="3">
        <v>2085.44</v>
      </c>
      <c r="V86" s="3">
        <v>651.9</v>
      </c>
      <c r="W86" s="3" t="s">
        <v>42</v>
      </c>
      <c r="X86" s="3" t="s">
        <v>43</v>
      </c>
      <c r="Y86" s="2" t="str">
        <f t="shared" si="3"/>
        <v>Unique</v>
      </c>
      <c r="AA86" s="2" t="str">
        <f t="shared" si="4"/>
        <v>Clean</v>
      </c>
      <c r="AB86" s="2" t="str">
        <f t="shared" si="5"/>
        <v>valid</v>
      </c>
      <c r="AC86">
        <f t="shared" si="13"/>
        <v>0.2</v>
      </c>
      <c r="AD86">
        <f t="shared" si="14"/>
        <v>2737.3440000000001</v>
      </c>
      <c r="AE86">
        <f t="shared" si="15"/>
        <v>651.904</v>
      </c>
      <c r="AF86">
        <f t="shared" si="16"/>
        <v>0.23815201889130486</v>
      </c>
      <c r="AG86" t="str">
        <f t="shared" si="17"/>
        <v>October</v>
      </c>
      <c r="AH86">
        <f t="shared" si="18"/>
        <v>2024</v>
      </c>
      <c r="AI86" t="str">
        <f t="shared" si="19"/>
        <v>Clean</v>
      </c>
    </row>
    <row r="87" spans="1:35" ht="15.75" customHeight="1">
      <c r="A87" s="3" t="s">
        <v>537</v>
      </c>
      <c r="B87" s="3" t="s">
        <v>538</v>
      </c>
      <c r="C87" s="3" t="s">
        <v>539</v>
      </c>
      <c r="D87" s="3" t="str">
        <f t="shared" si="0"/>
        <v>08-May-2024</v>
      </c>
      <c r="E87" s="3" t="str">
        <f t="shared" si="1"/>
        <v>30-Jul-2024</v>
      </c>
      <c r="F87" s="3">
        <f t="shared" si="2"/>
        <v>-83</v>
      </c>
      <c r="G87" s="3" t="s">
        <v>540</v>
      </c>
      <c r="H87" s="3" t="s">
        <v>375</v>
      </c>
      <c r="I87" s="3" t="s">
        <v>116</v>
      </c>
      <c r="J87" s="3" t="s">
        <v>35</v>
      </c>
      <c r="K87" s="3" t="s">
        <v>515</v>
      </c>
      <c r="L87" s="3" t="s">
        <v>516</v>
      </c>
      <c r="M87" s="3" t="s">
        <v>38</v>
      </c>
      <c r="N87" s="3" t="s">
        <v>206</v>
      </c>
      <c r="O87" s="3" t="s">
        <v>541</v>
      </c>
      <c r="P87" s="3" t="s">
        <v>75</v>
      </c>
      <c r="Q87" s="3">
        <v>1</v>
      </c>
      <c r="R87" s="3">
        <v>608.64</v>
      </c>
      <c r="S87" s="3">
        <v>0</v>
      </c>
      <c r="T87" s="3">
        <v>608.64</v>
      </c>
      <c r="U87" s="3">
        <v>343.99</v>
      </c>
      <c r="V87" s="3">
        <v>264.64999999999998</v>
      </c>
      <c r="W87" s="3" t="s">
        <v>42</v>
      </c>
      <c r="X87" s="3" t="s">
        <v>86</v>
      </c>
      <c r="Y87" s="2" t="str">
        <f t="shared" si="3"/>
        <v>Unique</v>
      </c>
      <c r="AA87" s="2" t="str">
        <f t="shared" si="4"/>
        <v>Clean</v>
      </c>
      <c r="AB87" s="2" t="str">
        <f t="shared" si="5"/>
        <v>Invalid</v>
      </c>
      <c r="AC87">
        <f t="shared" si="13"/>
        <v>0</v>
      </c>
      <c r="AD87">
        <f t="shared" si="14"/>
        <v>608.64</v>
      </c>
      <c r="AE87">
        <f t="shared" si="15"/>
        <v>264.64999999999998</v>
      </c>
      <c r="AF87">
        <f t="shared" si="16"/>
        <v>0.43482189800210302</v>
      </c>
      <c r="AG87" t="str">
        <f t="shared" si="17"/>
        <v>July</v>
      </c>
      <c r="AH87">
        <f t="shared" si="18"/>
        <v>2024</v>
      </c>
      <c r="AI87" t="str">
        <f t="shared" si="19"/>
        <v>Warning</v>
      </c>
    </row>
    <row r="88" spans="1:35" ht="15.75" customHeight="1">
      <c r="A88" s="3" t="s">
        <v>542</v>
      </c>
      <c r="B88" s="3" t="s">
        <v>543</v>
      </c>
      <c r="C88" s="3" t="s">
        <v>543</v>
      </c>
      <c r="D88" s="3" t="str">
        <f t="shared" si="0"/>
        <v>01-Jul-2024</v>
      </c>
      <c r="E88" s="3" t="str">
        <f t="shared" si="1"/>
        <v>01-Jul-2024</v>
      </c>
      <c r="F88" s="3">
        <f t="shared" si="2"/>
        <v>0</v>
      </c>
      <c r="G88" s="3" t="s">
        <v>544</v>
      </c>
      <c r="H88" s="3" t="s">
        <v>80</v>
      </c>
      <c r="I88" s="3" t="s">
        <v>49</v>
      </c>
      <c r="J88" s="3" t="s">
        <v>35</v>
      </c>
      <c r="K88" s="3" t="s">
        <v>515</v>
      </c>
      <c r="L88" s="3" t="s">
        <v>516</v>
      </c>
      <c r="M88" s="3" t="s">
        <v>94</v>
      </c>
      <c r="N88" s="3" t="s">
        <v>102</v>
      </c>
      <c r="O88" s="3" t="s">
        <v>545</v>
      </c>
      <c r="P88" s="3" t="s">
        <v>41</v>
      </c>
      <c r="Q88" s="3">
        <v>3</v>
      </c>
      <c r="R88" s="3">
        <v>885.28</v>
      </c>
      <c r="S88" s="3">
        <v>0.1</v>
      </c>
      <c r="T88" s="3">
        <v>2390.2600000000002</v>
      </c>
      <c r="U88" s="3">
        <v>1495.94</v>
      </c>
      <c r="V88" s="3">
        <v>894.32</v>
      </c>
      <c r="W88" s="3" t="s">
        <v>132</v>
      </c>
      <c r="X88" s="3" t="s">
        <v>86</v>
      </c>
      <c r="Y88" s="2" t="str">
        <f t="shared" si="3"/>
        <v>Unique</v>
      </c>
      <c r="AA88" s="2" t="str">
        <f t="shared" si="4"/>
        <v>Clean</v>
      </c>
      <c r="AB88" s="2" t="str">
        <f t="shared" si="5"/>
        <v>valid</v>
      </c>
      <c r="AC88">
        <f t="shared" si="13"/>
        <v>0.1</v>
      </c>
      <c r="AD88">
        <f t="shared" si="14"/>
        <v>2390.2560000000003</v>
      </c>
      <c r="AE88">
        <f t="shared" si="15"/>
        <v>894.31600000000026</v>
      </c>
      <c r="AF88">
        <f t="shared" si="16"/>
        <v>0.37415071858411825</v>
      </c>
      <c r="AG88" t="str">
        <f t="shared" si="17"/>
        <v>July</v>
      </c>
      <c r="AH88">
        <f t="shared" si="18"/>
        <v>2024</v>
      </c>
      <c r="AI88" t="str">
        <f t="shared" si="19"/>
        <v>Warning</v>
      </c>
    </row>
    <row r="89" spans="1:35" ht="15.75" customHeight="1">
      <c r="A89" s="3" t="s">
        <v>546</v>
      </c>
      <c r="B89" s="3" t="s">
        <v>547</v>
      </c>
      <c r="C89" s="3" t="s">
        <v>524</v>
      </c>
      <c r="D89" s="3" t="str">
        <f t="shared" si="0"/>
        <v>03-Aug-2024</v>
      </c>
      <c r="E89" s="3" t="str">
        <f t="shared" si="1"/>
        <v>02-Aug-2024</v>
      </c>
      <c r="F89" s="3">
        <f t="shared" si="2"/>
        <v>1</v>
      </c>
      <c r="G89" s="3" t="s">
        <v>548</v>
      </c>
      <c r="H89" s="3" t="s">
        <v>91</v>
      </c>
      <c r="I89" s="3" t="s">
        <v>34</v>
      </c>
      <c r="J89" s="3" t="s">
        <v>50</v>
      </c>
      <c r="K89" s="3" t="s">
        <v>224</v>
      </c>
      <c r="L89" s="3" t="s">
        <v>225</v>
      </c>
      <c r="M89" s="3" t="s">
        <v>38</v>
      </c>
      <c r="N89" s="3" t="s">
        <v>206</v>
      </c>
      <c r="O89" s="3" t="s">
        <v>549</v>
      </c>
      <c r="P89" s="3" t="s">
        <v>75</v>
      </c>
      <c r="Q89" s="3">
        <v>7</v>
      </c>
      <c r="R89" s="3">
        <v>3345.22</v>
      </c>
      <c r="S89" s="3">
        <v>0</v>
      </c>
      <c r="T89" s="3">
        <v>23416.54</v>
      </c>
      <c r="U89" s="3">
        <v>15490.89</v>
      </c>
      <c r="V89" s="3">
        <v>7925.65</v>
      </c>
      <c r="W89" s="3" t="s">
        <v>42</v>
      </c>
      <c r="X89" s="3" t="s">
        <v>43</v>
      </c>
      <c r="Y89" s="2" t="str">
        <f t="shared" si="3"/>
        <v>Unique</v>
      </c>
      <c r="AA89" s="2" t="str">
        <f t="shared" si="4"/>
        <v>Clean</v>
      </c>
      <c r="AB89" s="2" t="str">
        <f t="shared" si="5"/>
        <v>valid</v>
      </c>
      <c r="AC89">
        <f t="shared" si="13"/>
        <v>0</v>
      </c>
      <c r="AD89">
        <f t="shared" si="14"/>
        <v>23416.539999999997</v>
      </c>
      <c r="AE89">
        <f t="shared" si="15"/>
        <v>7925.6499999999978</v>
      </c>
      <c r="AF89">
        <f t="shared" si="16"/>
        <v>0.33846375254414185</v>
      </c>
      <c r="AG89" t="str">
        <f t="shared" si="17"/>
        <v>August</v>
      </c>
      <c r="AH89">
        <f t="shared" si="18"/>
        <v>2024</v>
      </c>
      <c r="AI89" t="str">
        <f t="shared" si="19"/>
        <v>Clean</v>
      </c>
    </row>
    <row r="90" spans="1:35" ht="15.75" customHeight="1">
      <c r="A90" s="3" t="s">
        <v>550</v>
      </c>
      <c r="B90" s="3" t="s">
        <v>551</v>
      </c>
      <c r="C90" s="3" t="s">
        <v>552</v>
      </c>
      <c r="D90" s="3" t="str">
        <f t="shared" si="0"/>
        <v>27-Mar-2024</v>
      </c>
      <c r="E90" s="3" t="str">
        <f t="shared" si="1"/>
        <v>24-Mar-2024</v>
      </c>
      <c r="F90" s="3">
        <f t="shared" si="2"/>
        <v>3</v>
      </c>
      <c r="G90" s="3" t="s">
        <v>553</v>
      </c>
      <c r="H90" s="3" t="s">
        <v>188</v>
      </c>
      <c r="I90" s="3" t="s">
        <v>49</v>
      </c>
      <c r="J90" s="3" t="s">
        <v>81</v>
      </c>
      <c r="K90" s="3" t="s">
        <v>82</v>
      </c>
      <c r="L90" s="3" t="s">
        <v>83</v>
      </c>
      <c r="M90" s="3" t="s">
        <v>53</v>
      </c>
      <c r="N90" s="3" t="s">
        <v>212</v>
      </c>
      <c r="O90" s="3" t="s">
        <v>554</v>
      </c>
      <c r="P90" s="3" t="s">
        <v>75</v>
      </c>
      <c r="Q90" s="3">
        <v>2</v>
      </c>
      <c r="R90" s="3">
        <v>3284.75</v>
      </c>
      <c r="S90" s="3">
        <v>0.05</v>
      </c>
      <c r="T90" s="3">
        <v>6241.02</v>
      </c>
      <c r="U90" s="3">
        <v>5345.88</v>
      </c>
      <c r="V90" s="3">
        <v>895.14</v>
      </c>
      <c r="W90" s="3" t="s">
        <v>42</v>
      </c>
      <c r="X90" s="3" t="s">
        <v>43</v>
      </c>
      <c r="Y90" s="2" t="str">
        <f t="shared" si="3"/>
        <v>Unique</v>
      </c>
      <c r="AA90" s="2" t="str">
        <f t="shared" si="4"/>
        <v>Clean</v>
      </c>
      <c r="AB90" s="2" t="str">
        <f t="shared" si="5"/>
        <v>valid</v>
      </c>
      <c r="AC90">
        <f t="shared" si="13"/>
        <v>0.05</v>
      </c>
      <c r="AD90">
        <f t="shared" si="14"/>
        <v>6241.0249999999996</v>
      </c>
      <c r="AE90">
        <f t="shared" si="15"/>
        <v>895.14499999999953</v>
      </c>
      <c r="AF90">
        <f t="shared" si="16"/>
        <v>0.14342916427990587</v>
      </c>
      <c r="AG90" t="str">
        <f t="shared" si="17"/>
        <v>March</v>
      </c>
      <c r="AH90">
        <f t="shared" si="18"/>
        <v>2024</v>
      </c>
      <c r="AI90" t="str">
        <f t="shared" si="19"/>
        <v>Clean</v>
      </c>
    </row>
    <row r="91" spans="1:35" ht="15.75" customHeight="1">
      <c r="A91" s="3" t="s">
        <v>555</v>
      </c>
      <c r="B91" s="3" t="s">
        <v>46</v>
      </c>
      <c r="C91" s="3" t="s">
        <v>46</v>
      </c>
      <c r="D91" s="3" t="str">
        <f t="shared" si="0"/>
        <v>05-Sep-2024</v>
      </c>
      <c r="E91" s="3" t="str">
        <f t="shared" si="1"/>
        <v>05-Sep-2024</v>
      </c>
      <c r="F91" s="3">
        <f t="shared" si="2"/>
        <v>0</v>
      </c>
      <c r="G91" s="3" t="s">
        <v>556</v>
      </c>
      <c r="H91" s="3" t="s">
        <v>375</v>
      </c>
      <c r="I91" s="3" t="s">
        <v>34</v>
      </c>
      <c r="J91" s="3" t="s">
        <v>70</v>
      </c>
      <c r="K91" s="3" t="s">
        <v>108</v>
      </c>
      <c r="L91" s="3" t="s">
        <v>109</v>
      </c>
      <c r="M91" s="3" t="s">
        <v>53</v>
      </c>
      <c r="N91" s="3" t="s">
        <v>212</v>
      </c>
      <c r="O91" s="3" t="s">
        <v>557</v>
      </c>
      <c r="P91" s="3" t="s">
        <v>75</v>
      </c>
      <c r="Q91" s="3">
        <v>7</v>
      </c>
      <c r="R91" s="3">
        <v>3761.09</v>
      </c>
      <c r="S91" s="3">
        <v>0.2</v>
      </c>
      <c r="T91" s="3">
        <v>21062.1</v>
      </c>
      <c r="U91" s="3">
        <v>12057.13</v>
      </c>
      <c r="V91" s="3">
        <v>9004.9699999999993</v>
      </c>
      <c r="W91" s="3" t="s">
        <v>145</v>
      </c>
      <c r="X91" s="3" t="s">
        <v>86</v>
      </c>
      <c r="Y91" s="2" t="str">
        <f t="shared" si="3"/>
        <v>Unique</v>
      </c>
      <c r="AA91" s="2" t="str">
        <f t="shared" si="4"/>
        <v>Clean</v>
      </c>
      <c r="AB91" s="2" t="str">
        <f t="shared" si="5"/>
        <v>valid</v>
      </c>
      <c r="AC91">
        <f t="shared" si="13"/>
        <v>0.2</v>
      </c>
      <c r="AD91">
        <f t="shared" si="14"/>
        <v>21062.104000000003</v>
      </c>
      <c r="AE91">
        <f t="shared" si="15"/>
        <v>9004.9740000000038</v>
      </c>
      <c r="AF91">
        <f t="shared" si="16"/>
        <v>0.42754389589947911</v>
      </c>
      <c r="AG91" t="str">
        <f t="shared" si="17"/>
        <v>September</v>
      </c>
      <c r="AH91">
        <f t="shared" si="18"/>
        <v>2024</v>
      </c>
      <c r="AI91" t="str">
        <f t="shared" si="19"/>
        <v>Warning</v>
      </c>
    </row>
    <row r="92" spans="1:35" ht="15.75" customHeight="1">
      <c r="A92" s="3" t="s">
        <v>558</v>
      </c>
      <c r="B92" s="3" t="s">
        <v>559</v>
      </c>
      <c r="C92" s="3" t="s">
        <v>77</v>
      </c>
      <c r="D92" s="3" t="str">
        <f t="shared" si="0"/>
        <v>29-Aug-2025</v>
      </c>
      <c r="E92" s="3" t="str">
        <f t="shared" si="1"/>
        <v>24-Aug-2025</v>
      </c>
      <c r="F92" s="3">
        <f t="shared" si="2"/>
        <v>5</v>
      </c>
      <c r="G92" s="3" t="s">
        <v>560</v>
      </c>
      <c r="H92" s="3" t="s">
        <v>170</v>
      </c>
      <c r="I92" s="3" t="s">
        <v>49</v>
      </c>
      <c r="J92" s="3" t="s">
        <v>50</v>
      </c>
      <c r="K92" s="3" t="s">
        <v>194</v>
      </c>
      <c r="L92" s="3" t="s">
        <v>195</v>
      </c>
      <c r="M92" s="3" t="s">
        <v>94</v>
      </c>
      <c r="N92" s="3" t="s">
        <v>102</v>
      </c>
      <c r="O92" s="3" t="s">
        <v>561</v>
      </c>
      <c r="P92" s="3" t="s">
        <v>64</v>
      </c>
      <c r="Q92" s="3">
        <v>3</v>
      </c>
      <c r="R92" s="3">
        <v>3703.96</v>
      </c>
      <c r="S92" s="3">
        <v>0.15</v>
      </c>
      <c r="T92" s="3">
        <v>9445.1</v>
      </c>
      <c r="U92" s="3">
        <v>5586.28</v>
      </c>
      <c r="V92" s="3">
        <v>3858.82</v>
      </c>
      <c r="W92" s="3" t="s">
        <v>42</v>
      </c>
      <c r="X92" s="3" t="s">
        <v>43</v>
      </c>
      <c r="Y92" s="2" t="str">
        <f t="shared" si="3"/>
        <v>Duplicate Order ID</v>
      </c>
      <c r="Z92" s="5" t="s">
        <v>562</v>
      </c>
      <c r="AA92" s="2" t="str">
        <f t="shared" si="4"/>
        <v>Clean</v>
      </c>
      <c r="AB92" s="2" t="str">
        <f t="shared" si="5"/>
        <v>valid</v>
      </c>
      <c r="AC92">
        <f t="shared" si="13"/>
        <v>0.15</v>
      </c>
      <c r="AD92">
        <f t="shared" si="14"/>
        <v>9445.098</v>
      </c>
      <c r="AE92">
        <f t="shared" si="15"/>
        <v>3858.8180000000002</v>
      </c>
      <c r="AF92">
        <f t="shared" si="16"/>
        <v>0.40855245758170006</v>
      </c>
      <c r="AG92" t="str">
        <f t="shared" si="17"/>
        <v>August</v>
      </c>
      <c r="AH92">
        <f t="shared" si="18"/>
        <v>2025</v>
      </c>
      <c r="AI92" t="str">
        <f t="shared" si="19"/>
        <v>Clean</v>
      </c>
    </row>
    <row r="93" spans="1:35" ht="15.75" customHeight="1">
      <c r="A93" s="3" t="s">
        <v>563</v>
      </c>
      <c r="B93" s="3" t="s">
        <v>564</v>
      </c>
      <c r="C93" s="3" t="s">
        <v>565</v>
      </c>
      <c r="D93" s="3" t="str">
        <f t="shared" si="0"/>
        <v>03-Aug-2025</v>
      </c>
      <c r="E93" s="3" t="str">
        <f t="shared" si="1"/>
        <v>02-Mar-2025</v>
      </c>
      <c r="F93" s="3">
        <f t="shared" si="2"/>
        <v>154</v>
      </c>
      <c r="G93" s="3" t="s">
        <v>566</v>
      </c>
      <c r="H93" s="3" t="s">
        <v>176</v>
      </c>
      <c r="I93" s="3" t="s">
        <v>116</v>
      </c>
      <c r="J93" s="3" t="s">
        <v>81</v>
      </c>
      <c r="K93" s="3" t="s">
        <v>92</v>
      </c>
      <c r="L93" s="3" t="s">
        <v>93</v>
      </c>
      <c r="M93" s="3" t="s">
        <v>94</v>
      </c>
      <c r="N93" s="3" t="s">
        <v>102</v>
      </c>
      <c r="O93" s="3" t="s">
        <v>567</v>
      </c>
      <c r="P93" s="3" t="s">
        <v>41</v>
      </c>
      <c r="Q93" s="3">
        <v>9</v>
      </c>
      <c r="R93" s="3">
        <v>269.68</v>
      </c>
      <c r="S93" s="3">
        <v>0</v>
      </c>
      <c r="T93" s="3">
        <v>2427.12</v>
      </c>
      <c r="U93" s="3">
        <v>1538.35</v>
      </c>
      <c r="V93" s="3">
        <v>804.53</v>
      </c>
      <c r="W93" s="3" t="s">
        <v>42</v>
      </c>
      <c r="X93" s="3" t="s">
        <v>43</v>
      </c>
      <c r="Y93" s="2" t="str">
        <f t="shared" si="3"/>
        <v>Unique</v>
      </c>
      <c r="AA93" s="2" t="str">
        <f t="shared" si="4"/>
        <v>Clean</v>
      </c>
      <c r="AB93" s="2" t="str">
        <f t="shared" si="5"/>
        <v>valid</v>
      </c>
      <c r="AC93">
        <f t="shared" si="13"/>
        <v>0</v>
      </c>
      <c r="AD93">
        <f t="shared" si="14"/>
        <v>2427.12</v>
      </c>
      <c r="AE93">
        <f t="shared" si="15"/>
        <v>888.77</v>
      </c>
      <c r="AF93">
        <f t="shared" si="16"/>
        <v>0.36618296581957216</v>
      </c>
      <c r="AG93" t="str">
        <f t="shared" si="17"/>
        <v>March</v>
      </c>
      <c r="AH93">
        <f t="shared" si="18"/>
        <v>2025</v>
      </c>
      <c r="AI93" t="str">
        <f t="shared" si="19"/>
        <v>Clean</v>
      </c>
    </row>
    <row r="94" spans="1:35" ht="15.75" customHeight="1">
      <c r="A94" s="3" t="s">
        <v>568</v>
      </c>
      <c r="B94" s="3" t="s">
        <v>192</v>
      </c>
      <c r="C94" s="3" t="s">
        <v>569</v>
      </c>
      <c r="D94" s="3" t="str">
        <f t="shared" si="0"/>
        <v>26-Jan-2025</v>
      </c>
      <c r="E94" s="3" t="str">
        <f t="shared" si="1"/>
        <v>23-Jan-2025</v>
      </c>
      <c r="F94" s="3">
        <f t="shared" si="2"/>
        <v>3</v>
      </c>
      <c r="G94" s="3" t="s">
        <v>570</v>
      </c>
      <c r="H94" s="3" t="s">
        <v>170</v>
      </c>
      <c r="I94" s="3" t="s">
        <v>34</v>
      </c>
      <c r="J94" s="3" t="s">
        <v>81</v>
      </c>
      <c r="K94" s="3" t="s">
        <v>92</v>
      </c>
      <c r="L94" s="3" t="s">
        <v>93</v>
      </c>
      <c r="M94" s="3" t="s">
        <v>38</v>
      </c>
      <c r="N94" s="3" t="s">
        <v>39</v>
      </c>
      <c r="O94" s="3" t="s">
        <v>571</v>
      </c>
      <c r="P94" s="3" t="s">
        <v>75</v>
      </c>
      <c r="Q94" s="3">
        <v>9</v>
      </c>
      <c r="R94" s="3">
        <v>4458.26</v>
      </c>
      <c r="S94" s="3">
        <v>0.1</v>
      </c>
      <c r="T94" s="3">
        <v>36111.910000000003</v>
      </c>
      <c r="U94" s="3">
        <v>29194.5</v>
      </c>
      <c r="V94" s="3">
        <v>6917.41</v>
      </c>
      <c r="W94" s="3" t="s">
        <v>42</v>
      </c>
      <c r="X94" s="3" t="s">
        <v>43</v>
      </c>
      <c r="Y94" s="2" t="str">
        <f t="shared" si="3"/>
        <v>Unique</v>
      </c>
      <c r="AA94" s="2" t="str">
        <f t="shared" si="4"/>
        <v>Clean</v>
      </c>
      <c r="AB94" s="2" t="str">
        <f t="shared" si="5"/>
        <v>valid</v>
      </c>
      <c r="AC94">
        <f t="shared" si="13"/>
        <v>0.1</v>
      </c>
      <c r="AD94">
        <f t="shared" si="14"/>
        <v>36111.906000000003</v>
      </c>
      <c r="AE94">
        <f t="shared" si="15"/>
        <v>6917.4060000000027</v>
      </c>
      <c r="AF94">
        <f t="shared" si="16"/>
        <v>0.19155471882320479</v>
      </c>
      <c r="AG94" t="str">
        <f t="shared" si="17"/>
        <v>January</v>
      </c>
      <c r="AH94">
        <f t="shared" si="18"/>
        <v>2025</v>
      </c>
      <c r="AI94" t="str">
        <f t="shared" si="19"/>
        <v>Clean</v>
      </c>
    </row>
    <row r="95" spans="1:35" ht="15.75" customHeight="1">
      <c r="A95" s="3" t="s">
        <v>572</v>
      </c>
      <c r="B95" s="3" t="s">
        <v>173</v>
      </c>
      <c r="C95" s="3" t="s">
        <v>573</v>
      </c>
      <c r="D95" s="3" t="str">
        <f t="shared" si="0"/>
        <v>13-Jan-2024</v>
      </c>
      <c r="E95" s="3" t="str">
        <f t="shared" si="1"/>
        <v>01-Jul-2024</v>
      </c>
      <c r="F95" s="3">
        <f t="shared" si="2"/>
        <v>-170</v>
      </c>
      <c r="G95" s="3" t="s">
        <v>574</v>
      </c>
      <c r="H95" s="3" t="s">
        <v>188</v>
      </c>
      <c r="I95" s="3" t="s">
        <v>116</v>
      </c>
      <c r="J95" s="3" t="s">
        <v>35</v>
      </c>
      <c r="K95" s="3" t="s">
        <v>182</v>
      </c>
      <c r="L95" s="3" t="s">
        <v>183</v>
      </c>
      <c r="M95" s="3" t="s">
        <v>38</v>
      </c>
      <c r="N95" s="3" t="s">
        <v>206</v>
      </c>
      <c r="O95" s="3" t="s">
        <v>575</v>
      </c>
      <c r="P95" s="3" t="s">
        <v>75</v>
      </c>
      <c r="Q95" s="3">
        <v>7</v>
      </c>
      <c r="R95" s="3">
        <v>2788.97</v>
      </c>
      <c r="S95" s="3">
        <v>-0.09</v>
      </c>
      <c r="T95" s="3">
        <v>19522.79</v>
      </c>
      <c r="U95" s="3">
        <v>12455.78</v>
      </c>
      <c r="V95" s="3">
        <v>7067.01</v>
      </c>
      <c r="W95" s="3" t="s">
        <v>42</v>
      </c>
      <c r="X95" s="3" t="s">
        <v>43</v>
      </c>
      <c r="Y95" s="2" t="str">
        <f t="shared" si="3"/>
        <v>Unique</v>
      </c>
      <c r="AA95" s="2" t="str">
        <f t="shared" si="4"/>
        <v>Invalid</v>
      </c>
      <c r="AB95" s="2" t="str">
        <f t="shared" si="5"/>
        <v>Invalid</v>
      </c>
      <c r="AC95">
        <f t="shared" si="13"/>
        <v>-0.09</v>
      </c>
      <c r="AD95">
        <f t="shared" si="14"/>
        <v>21279.841099999998</v>
      </c>
      <c r="AE95">
        <f t="shared" si="15"/>
        <v>8824.0610999999972</v>
      </c>
      <c r="AF95">
        <f t="shared" si="16"/>
        <v>0.41466762174272054</v>
      </c>
      <c r="AG95" t="str">
        <f t="shared" si="17"/>
        <v>July</v>
      </c>
      <c r="AH95">
        <f t="shared" si="18"/>
        <v>2024</v>
      </c>
      <c r="AI95" t="str">
        <f t="shared" si="19"/>
        <v>Invalid</v>
      </c>
    </row>
    <row r="96" spans="1:35" ht="15.75" customHeight="1">
      <c r="A96" s="3" t="s">
        <v>576</v>
      </c>
      <c r="B96" s="3" t="s">
        <v>577</v>
      </c>
      <c r="C96" s="3" t="s">
        <v>578</v>
      </c>
      <c r="D96" s="3" t="str">
        <f t="shared" si="0"/>
        <v>09-Sep-2024</v>
      </c>
      <c r="E96" s="3" t="str">
        <f t="shared" si="1"/>
        <v>09-Jun-2024</v>
      </c>
      <c r="F96" s="3">
        <f t="shared" si="2"/>
        <v>92</v>
      </c>
      <c r="G96" s="3" t="s">
        <v>579</v>
      </c>
      <c r="H96" s="3" t="s">
        <v>218</v>
      </c>
      <c r="I96" s="3" t="s">
        <v>34</v>
      </c>
      <c r="J96" s="3" t="s">
        <v>35</v>
      </c>
      <c r="K96" s="3" t="s">
        <v>331</v>
      </c>
      <c r="L96" s="3" t="s">
        <v>332</v>
      </c>
      <c r="M96" s="3" t="s">
        <v>94</v>
      </c>
      <c r="N96" s="3" t="s">
        <v>231</v>
      </c>
      <c r="O96" s="3" t="s">
        <v>580</v>
      </c>
      <c r="P96" s="3" t="s">
        <v>41</v>
      </c>
      <c r="Q96" s="3">
        <v>7</v>
      </c>
      <c r="R96" s="3">
        <v>3781.53</v>
      </c>
      <c r="S96" s="3">
        <v>0</v>
      </c>
      <c r="T96" s="3">
        <v>26470.71</v>
      </c>
      <c r="U96" s="3">
        <v>21367.599999999999</v>
      </c>
      <c r="V96" s="3">
        <v>5103.1099999999997</v>
      </c>
      <c r="W96" s="3" t="s">
        <v>145</v>
      </c>
      <c r="X96" s="3" t="s">
        <v>86</v>
      </c>
      <c r="Y96" s="2" t="str">
        <f t="shared" si="3"/>
        <v>Unique</v>
      </c>
      <c r="AA96" s="2" t="str">
        <f t="shared" si="4"/>
        <v>Clean</v>
      </c>
      <c r="AB96" s="2" t="str">
        <f t="shared" si="5"/>
        <v>valid</v>
      </c>
      <c r="AC96">
        <f t="shared" si="13"/>
        <v>0</v>
      </c>
      <c r="AD96">
        <f t="shared" si="14"/>
        <v>26470.710000000003</v>
      </c>
      <c r="AE96">
        <f t="shared" si="15"/>
        <v>5103.1100000000042</v>
      </c>
      <c r="AF96">
        <f t="shared" si="16"/>
        <v>0.19278326875251944</v>
      </c>
      <c r="AG96" t="str">
        <f t="shared" si="17"/>
        <v>June</v>
      </c>
      <c r="AH96">
        <f t="shared" si="18"/>
        <v>2024</v>
      </c>
      <c r="AI96" t="str">
        <f t="shared" si="19"/>
        <v>Warning</v>
      </c>
    </row>
    <row r="97" spans="1:35" ht="15.75" customHeight="1">
      <c r="A97" s="3" t="s">
        <v>581</v>
      </c>
      <c r="B97" s="3" t="s">
        <v>582</v>
      </c>
      <c r="C97" s="3" t="s">
        <v>583</v>
      </c>
      <c r="D97" s="3" t="str">
        <f t="shared" si="0"/>
        <v>09-Oct-2025</v>
      </c>
      <c r="E97" s="3" t="str">
        <f t="shared" si="1"/>
        <v>05-Sep-2025</v>
      </c>
      <c r="F97" s="3">
        <f t="shared" si="2"/>
        <v>34</v>
      </c>
      <c r="G97" s="3" t="s">
        <v>584</v>
      </c>
      <c r="H97" s="3" t="s">
        <v>176</v>
      </c>
      <c r="I97" s="3" t="s">
        <v>116</v>
      </c>
      <c r="J97" s="3" t="s">
        <v>81</v>
      </c>
      <c r="K97" s="3" t="s">
        <v>257</v>
      </c>
      <c r="L97" s="3" t="s">
        <v>258</v>
      </c>
      <c r="M97" s="3" t="s">
        <v>53</v>
      </c>
      <c r="N97" s="3" t="s">
        <v>212</v>
      </c>
      <c r="O97" s="3" t="s">
        <v>585</v>
      </c>
      <c r="P97" s="3" t="s">
        <v>56</v>
      </c>
      <c r="Q97" s="3">
        <v>6</v>
      </c>
      <c r="R97" s="3">
        <v>1754.13</v>
      </c>
      <c r="S97" s="3">
        <v>0</v>
      </c>
      <c r="T97" s="3">
        <v>10524.78</v>
      </c>
      <c r="U97" s="3">
        <v>8841.0499999999993</v>
      </c>
      <c r="V97" s="3">
        <v>1683.73</v>
      </c>
      <c r="W97" s="3" t="s">
        <v>42</v>
      </c>
      <c r="X97" s="3" t="s">
        <v>43</v>
      </c>
      <c r="Y97" s="2" t="str">
        <f t="shared" si="3"/>
        <v>Unique</v>
      </c>
      <c r="AA97" s="2" t="str">
        <f t="shared" si="4"/>
        <v>Clean</v>
      </c>
      <c r="AB97" s="2" t="str">
        <f t="shared" si="5"/>
        <v>valid</v>
      </c>
      <c r="AC97">
        <f t="shared" si="13"/>
        <v>0</v>
      </c>
      <c r="AD97">
        <f t="shared" si="14"/>
        <v>10524.78</v>
      </c>
      <c r="AE97">
        <f t="shared" si="15"/>
        <v>1683.7300000000014</v>
      </c>
      <c r="AF97">
        <f t="shared" si="16"/>
        <v>0.15997769074507984</v>
      </c>
      <c r="AG97" t="str">
        <f t="shared" si="17"/>
        <v>September</v>
      </c>
      <c r="AH97">
        <f t="shared" si="18"/>
        <v>2025</v>
      </c>
      <c r="AI97" t="str">
        <f t="shared" si="19"/>
        <v>Clean</v>
      </c>
    </row>
    <row r="98" spans="1:35" ht="15.75" customHeight="1">
      <c r="A98" s="3" t="s">
        <v>586</v>
      </c>
      <c r="B98" s="3" t="s">
        <v>587</v>
      </c>
      <c r="C98" s="3" t="s">
        <v>588</v>
      </c>
      <c r="D98" s="3" t="str">
        <f t="shared" si="0"/>
        <v>07-Jun-2024</v>
      </c>
      <c r="E98" s="3" t="str">
        <f t="shared" si="1"/>
        <v>05-Jun-2024</v>
      </c>
      <c r="F98" s="3">
        <f t="shared" si="2"/>
        <v>2</v>
      </c>
      <c r="G98" s="3" t="s">
        <v>589</v>
      </c>
      <c r="H98" s="3" t="s">
        <v>156</v>
      </c>
      <c r="I98" s="3" t="s">
        <v>123</v>
      </c>
      <c r="J98" s="3" t="s">
        <v>50</v>
      </c>
      <c r="K98" s="3" t="s">
        <v>51</v>
      </c>
      <c r="L98" s="3" t="s">
        <v>52</v>
      </c>
      <c r="M98" s="3" t="s">
        <v>94</v>
      </c>
      <c r="N98" s="3" t="s">
        <v>102</v>
      </c>
      <c r="O98" s="3" t="s">
        <v>590</v>
      </c>
      <c r="P98" s="3" t="s">
        <v>41</v>
      </c>
      <c r="Q98" s="3">
        <v>2</v>
      </c>
      <c r="R98" s="3">
        <v>2259.2399999999998</v>
      </c>
      <c r="S98" s="3">
        <v>0.15</v>
      </c>
      <c r="T98" s="3">
        <v>3840.71</v>
      </c>
      <c r="U98" s="3">
        <v>2516.29</v>
      </c>
      <c r="V98" s="3">
        <v>1324.42</v>
      </c>
      <c r="W98" s="3" t="s">
        <v>42</v>
      </c>
      <c r="X98" s="3" t="s">
        <v>43</v>
      </c>
      <c r="Y98" s="2" t="str">
        <f t="shared" si="3"/>
        <v>Unique</v>
      </c>
      <c r="AA98" s="2" t="str">
        <f t="shared" si="4"/>
        <v>Clean</v>
      </c>
      <c r="AB98" s="2" t="str">
        <f t="shared" si="5"/>
        <v>valid</v>
      </c>
      <c r="AC98">
        <f t="shared" si="13"/>
        <v>0.15</v>
      </c>
      <c r="AD98">
        <f t="shared" si="14"/>
        <v>3840.7079999999996</v>
      </c>
      <c r="AE98">
        <f t="shared" si="15"/>
        <v>1324.4179999999997</v>
      </c>
      <c r="AF98">
        <f t="shared" si="16"/>
        <v>0.34483694152224009</v>
      </c>
      <c r="AG98" t="str">
        <f t="shared" si="17"/>
        <v>June</v>
      </c>
      <c r="AH98">
        <f t="shared" si="18"/>
        <v>2024</v>
      </c>
      <c r="AI98" t="str">
        <f t="shared" si="19"/>
        <v>Clean</v>
      </c>
    </row>
    <row r="99" spans="1:35" ht="15.75" customHeight="1">
      <c r="A99" s="3" t="s">
        <v>591</v>
      </c>
      <c r="B99" s="3" t="s">
        <v>592</v>
      </c>
      <c r="C99" s="3" t="s">
        <v>593</v>
      </c>
      <c r="D99" s="3" t="str">
        <f t="shared" si="0"/>
        <v>11-Aug-2025</v>
      </c>
      <c r="E99" s="3" t="str">
        <f t="shared" si="1"/>
        <v>08-Aug-2025</v>
      </c>
      <c r="F99" s="3">
        <f t="shared" si="2"/>
        <v>3</v>
      </c>
      <c r="G99" s="3" t="s">
        <v>594</v>
      </c>
      <c r="H99" s="3" t="s">
        <v>218</v>
      </c>
      <c r="I99" s="3" t="s">
        <v>49</v>
      </c>
      <c r="J99" s="3" t="s">
        <v>81</v>
      </c>
      <c r="K99" s="3" t="s">
        <v>243</v>
      </c>
      <c r="L99" s="3" t="s">
        <v>244</v>
      </c>
      <c r="M99" s="3" t="s">
        <v>38</v>
      </c>
      <c r="N99" s="3" t="s">
        <v>164</v>
      </c>
      <c r="O99" s="3" t="s">
        <v>595</v>
      </c>
      <c r="P99" s="3" t="s">
        <v>56</v>
      </c>
      <c r="Q99" s="3">
        <v>5</v>
      </c>
      <c r="R99" s="3">
        <v>3602.36</v>
      </c>
      <c r="S99" s="3">
        <v>0.2</v>
      </c>
      <c r="T99" s="3">
        <v>14409.44</v>
      </c>
      <c r="U99" s="3">
        <v>8809.9699999999993</v>
      </c>
      <c r="V99" s="3">
        <v>5599.47</v>
      </c>
      <c r="W99" s="3" t="s">
        <v>145</v>
      </c>
      <c r="X99" s="3" t="s">
        <v>133</v>
      </c>
      <c r="Y99" s="2" t="str">
        <f t="shared" si="3"/>
        <v>Unique</v>
      </c>
      <c r="AA99" s="2" t="str">
        <f t="shared" si="4"/>
        <v>Clean</v>
      </c>
      <c r="AB99" s="2" t="str">
        <f t="shared" si="5"/>
        <v>valid</v>
      </c>
      <c r="AC99">
        <f t="shared" si="13"/>
        <v>0.2</v>
      </c>
      <c r="AD99">
        <f t="shared" si="14"/>
        <v>14409.44</v>
      </c>
      <c r="AE99">
        <f t="shared" si="15"/>
        <v>5599.4700000000012</v>
      </c>
      <c r="AF99">
        <f t="shared" si="16"/>
        <v>0.38859733619071951</v>
      </c>
      <c r="AG99" t="str">
        <f t="shared" si="17"/>
        <v>August</v>
      </c>
      <c r="AH99">
        <f t="shared" si="18"/>
        <v>2025</v>
      </c>
      <c r="AI99" t="str">
        <f t="shared" si="19"/>
        <v>Clean</v>
      </c>
    </row>
    <row r="100" spans="1:35" ht="15.75" customHeight="1">
      <c r="A100" s="3" t="s">
        <v>596</v>
      </c>
      <c r="B100" s="3" t="s">
        <v>597</v>
      </c>
      <c r="C100" s="3" t="s">
        <v>598</v>
      </c>
      <c r="D100" s="3" t="str">
        <f t="shared" si="0"/>
        <v>02-Jan-2024</v>
      </c>
      <c r="E100" s="3" t="str">
        <f t="shared" si="1"/>
        <v>26-Jan-2024</v>
      </c>
      <c r="F100" s="3">
        <f t="shared" si="2"/>
        <v>-24</v>
      </c>
      <c r="G100" s="3" t="s">
        <v>599</v>
      </c>
      <c r="H100" s="3" t="s">
        <v>188</v>
      </c>
      <c r="I100" s="3" t="s">
        <v>123</v>
      </c>
      <c r="J100" s="3" t="s">
        <v>70</v>
      </c>
      <c r="K100" s="3" t="s">
        <v>250</v>
      </c>
      <c r="L100" s="3" t="s">
        <v>251</v>
      </c>
      <c r="M100" s="3" t="s">
        <v>94</v>
      </c>
      <c r="N100" s="3" t="s">
        <v>102</v>
      </c>
      <c r="O100" s="3" t="s">
        <v>600</v>
      </c>
      <c r="P100" s="3" t="s">
        <v>280</v>
      </c>
      <c r="Q100" s="3">
        <v>8</v>
      </c>
      <c r="R100" s="3">
        <v>2108.9299999999998</v>
      </c>
      <c r="S100" s="3">
        <v>0.1</v>
      </c>
      <c r="T100" s="3">
        <v>15184.3</v>
      </c>
      <c r="U100" s="3">
        <v>11270.74</v>
      </c>
      <c r="V100" s="3">
        <v>3913.56</v>
      </c>
      <c r="W100" s="3" t="s">
        <v>42</v>
      </c>
      <c r="X100" s="3" t="s">
        <v>43</v>
      </c>
      <c r="Y100" s="2" t="str">
        <f t="shared" si="3"/>
        <v>Unique</v>
      </c>
      <c r="AA100" s="2" t="str">
        <f t="shared" si="4"/>
        <v>Clean</v>
      </c>
      <c r="AB100" s="2" t="str">
        <f t="shared" si="5"/>
        <v>Invalid</v>
      </c>
      <c r="AC100">
        <f t="shared" si="13"/>
        <v>0.1</v>
      </c>
      <c r="AD100">
        <f t="shared" si="14"/>
        <v>15184.295999999998</v>
      </c>
      <c r="AE100">
        <f t="shared" si="15"/>
        <v>3913.5559999999987</v>
      </c>
      <c r="AF100">
        <f t="shared" si="16"/>
        <v>0.25773707256497103</v>
      </c>
      <c r="AG100" t="str">
        <f t="shared" si="17"/>
        <v>January</v>
      </c>
      <c r="AH100">
        <f t="shared" si="18"/>
        <v>2024</v>
      </c>
      <c r="AI100" t="str">
        <f t="shared" si="19"/>
        <v>Clean</v>
      </c>
    </row>
    <row r="101" spans="1:35" ht="15.75" customHeight="1">
      <c r="A101" s="3" t="s">
        <v>601</v>
      </c>
      <c r="B101" s="3" t="s">
        <v>602</v>
      </c>
      <c r="C101" s="3" t="s">
        <v>602</v>
      </c>
      <c r="D101" s="3" t="str">
        <f t="shared" si="0"/>
        <v>11-Jan-2025</v>
      </c>
      <c r="E101" s="3" t="str">
        <f t="shared" si="1"/>
        <v>11-Jan-2025</v>
      </c>
      <c r="F101" s="3">
        <f t="shared" si="2"/>
        <v>0</v>
      </c>
      <c r="G101" s="3" t="s">
        <v>603</v>
      </c>
      <c r="H101" s="3" t="s">
        <v>115</v>
      </c>
      <c r="I101" s="3" t="s">
        <v>49</v>
      </c>
      <c r="J101" s="3" t="s">
        <v>81</v>
      </c>
      <c r="K101" s="3" t="s">
        <v>36</v>
      </c>
      <c r="L101" s="3" t="s">
        <v>143</v>
      </c>
      <c r="M101" s="3" t="s">
        <v>94</v>
      </c>
      <c r="N101" s="3" t="s">
        <v>95</v>
      </c>
      <c r="O101" s="3" t="s">
        <v>604</v>
      </c>
      <c r="P101" s="3" t="s">
        <v>56</v>
      </c>
      <c r="Q101" s="3">
        <v>3</v>
      </c>
      <c r="R101" s="3">
        <v>2165.29</v>
      </c>
      <c r="S101" s="3">
        <v>0</v>
      </c>
      <c r="T101" s="3">
        <v>6495.87</v>
      </c>
      <c r="U101" s="3">
        <v>4700.8900000000003</v>
      </c>
      <c r="V101" s="3">
        <v>1794.98</v>
      </c>
      <c r="W101" s="3" t="s">
        <v>42</v>
      </c>
      <c r="X101" s="3" t="s">
        <v>43</v>
      </c>
      <c r="Y101" s="2" t="str">
        <f t="shared" si="3"/>
        <v>Unique</v>
      </c>
      <c r="AA101" s="2" t="str">
        <f t="shared" si="4"/>
        <v>Clean</v>
      </c>
      <c r="AB101" s="2" t="str">
        <f t="shared" si="5"/>
        <v>valid</v>
      </c>
      <c r="AC101">
        <f t="shared" si="13"/>
        <v>0</v>
      </c>
      <c r="AD101">
        <f t="shared" si="14"/>
        <v>6495.87</v>
      </c>
      <c r="AE101">
        <f t="shared" si="15"/>
        <v>1794.9799999999996</v>
      </c>
      <c r="AF101">
        <f t="shared" si="16"/>
        <v>0.27632634273777024</v>
      </c>
      <c r="AG101" t="str">
        <f t="shared" si="17"/>
        <v>January</v>
      </c>
      <c r="AH101">
        <f t="shared" si="18"/>
        <v>2025</v>
      </c>
      <c r="AI101" t="str">
        <f t="shared" si="19"/>
        <v>Clean</v>
      </c>
    </row>
    <row r="102" spans="1:35" ht="15.75" customHeight="1">
      <c r="A102" s="3" t="s">
        <v>605</v>
      </c>
      <c r="B102" s="3" t="s">
        <v>606</v>
      </c>
      <c r="C102" s="3" t="s">
        <v>607</v>
      </c>
      <c r="D102" s="3" t="str">
        <f t="shared" si="0"/>
        <v>18-Sep-2025</v>
      </c>
      <c r="E102" s="3" t="str">
        <f t="shared" si="1"/>
        <v>12-Sep-2025</v>
      </c>
      <c r="F102" s="3">
        <f t="shared" si="2"/>
        <v>6</v>
      </c>
      <c r="G102" s="3" t="s">
        <v>608</v>
      </c>
      <c r="H102" s="3" t="s">
        <v>170</v>
      </c>
      <c r="I102" s="3" t="s">
        <v>123</v>
      </c>
      <c r="J102" s="3" t="s">
        <v>70</v>
      </c>
      <c r="K102" s="3" t="s">
        <v>250</v>
      </c>
      <c r="L102" s="3" t="s">
        <v>251</v>
      </c>
      <c r="M102" s="3" t="s">
        <v>38</v>
      </c>
      <c r="N102" s="3" t="s">
        <v>164</v>
      </c>
      <c r="O102" s="3" t="s">
        <v>609</v>
      </c>
      <c r="P102" s="3" t="s">
        <v>75</v>
      </c>
      <c r="Q102" s="3">
        <v>6</v>
      </c>
      <c r="R102" s="3">
        <v>1673.8</v>
      </c>
      <c r="S102" s="3">
        <v>0.05</v>
      </c>
      <c r="T102" s="3">
        <v>9540.66</v>
      </c>
      <c r="U102" s="3">
        <v>5561.49</v>
      </c>
      <c r="V102" s="3">
        <v>3979.17</v>
      </c>
      <c r="W102" s="3" t="s">
        <v>42</v>
      </c>
      <c r="X102" s="3" t="s">
        <v>43</v>
      </c>
      <c r="Y102" s="2" t="str">
        <f t="shared" si="3"/>
        <v>Unique</v>
      </c>
      <c r="AA102" s="2" t="str">
        <f t="shared" si="4"/>
        <v>Clean</v>
      </c>
      <c r="AB102" s="2" t="str">
        <f t="shared" si="5"/>
        <v>valid</v>
      </c>
      <c r="AC102">
        <f t="shared" si="13"/>
        <v>0.05</v>
      </c>
      <c r="AD102">
        <f t="shared" si="14"/>
        <v>9540.659999999998</v>
      </c>
      <c r="AE102">
        <f t="shared" si="15"/>
        <v>3979.1699999999983</v>
      </c>
      <c r="AF102">
        <f t="shared" si="16"/>
        <v>0.41707491934520241</v>
      </c>
      <c r="AG102" t="str">
        <f t="shared" si="17"/>
        <v>September</v>
      </c>
      <c r="AH102">
        <f t="shared" si="18"/>
        <v>2025</v>
      </c>
      <c r="AI102" t="str">
        <f t="shared" si="19"/>
        <v>Clean</v>
      </c>
    </row>
    <row r="103" spans="1:35" ht="15.75" customHeight="1">
      <c r="A103" s="3" t="s">
        <v>610</v>
      </c>
      <c r="B103" s="3" t="s">
        <v>328</v>
      </c>
      <c r="C103" s="3" t="s">
        <v>611</v>
      </c>
      <c r="D103" s="3" t="str">
        <f t="shared" si="0"/>
        <v>26-Jun-2024</v>
      </c>
      <c r="E103" s="3" t="str">
        <f t="shared" si="1"/>
        <v>22-Jun-2024</v>
      </c>
      <c r="F103" s="3">
        <f t="shared" si="2"/>
        <v>4</v>
      </c>
      <c r="G103" s="3" t="s">
        <v>612</v>
      </c>
      <c r="H103" s="3" t="s">
        <v>188</v>
      </c>
      <c r="I103" s="3" t="s">
        <v>123</v>
      </c>
      <c r="J103" s="3" t="s">
        <v>50</v>
      </c>
      <c r="K103" s="3" t="s">
        <v>194</v>
      </c>
      <c r="L103" s="3" t="s">
        <v>195</v>
      </c>
      <c r="M103" s="3" t="s">
        <v>53</v>
      </c>
      <c r="N103" s="3" t="s">
        <v>73</v>
      </c>
      <c r="O103" s="3" t="s">
        <v>613</v>
      </c>
      <c r="P103" s="3" t="s">
        <v>64</v>
      </c>
      <c r="Q103" s="3">
        <v>5</v>
      </c>
      <c r="R103" s="3">
        <v>4396.5200000000004</v>
      </c>
      <c r="S103" s="3">
        <v>0.25</v>
      </c>
      <c r="T103" s="3">
        <v>16486.95</v>
      </c>
      <c r="U103" s="3">
        <v>12054.14</v>
      </c>
      <c r="V103" s="3">
        <v>4432.8100000000004</v>
      </c>
      <c r="W103" s="3" t="s">
        <v>42</v>
      </c>
      <c r="X103" s="3" t="s">
        <v>43</v>
      </c>
      <c r="Y103" s="2" t="str">
        <f t="shared" si="3"/>
        <v>Unique</v>
      </c>
      <c r="AA103" s="2" t="str">
        <f t="shared" si="4"/>
        <v>Clean</v>
      </c>
      <c r="AB103" s="2" t="str">
        <f t="shared" si="5"/>
        <v>valid</v>
      </c>
      <c r="AC103">
        <f t="shared" si="13"/>
        <v>0.25</v>
      </c>
      <c r="AD103">
        <f t="shared" si="14"/>
        <v>16486.95</v>
      </c>
      <c r="AE103">
        <f t="shared" si="15"/>
        <v>4432.8100000000013</v>
      </c>
      <c r="AF103">
        <f t="shared" si="16"/>
        <v>0.26886780150361356</v>
      </c>
      <c r="AG103" t="str">
        <f t="shared" si="17"/>
        <v>June</v>
      </c>
      <c r="AH103">
        <f t="shared" si="18"/>
        <v>2024</v>
      </c>
      <c r="AI103" t="str">
        <f t="shared" si="19"/>
        <v>Clean</v>
      </c>
    </row>
    <row r="104" spans="1:35" ht="15.75" customHeight="1">
      <c r="A104" s="3" t="s">
        <v>614</v>
      </c>
      <c r="B104" s="3" t="s">
        <v>615</v>
      </c>
      <c r="C104" s="3" t="s">
        <v>616</v>
      </c>
      <c r="D104" s="3" t="str">
        <f t="shared" si="0"/>
        <v>16-Jul-2025</v>
      </c>
      <c r="E104" s="3" t="str">
        <f t="shared" si="1"/>
        <v>12-Jul-2025</v>
      </c>
      <c r="F104" s="3">
        <f t="shared" si="2"/>
        <v>4</v>
      </c>
      <c r="G104" s="3" t="s">
        <v>617</v>
      </c>
      <c r="H104" s="3" t="s">
        <v>91</v>
      </c>
      <c r="I104" s="3" t="s">
        <v>34</v>
      </c>
      <c r="J104" s="3" t="s">
        <v>70</v>
      </c>
      <c r="K104" s="3" t="s">
        <v>237</v>
      </c>
      <c r="L104" s="3" t="s">
        <v>238</v>
      </c>
      <c r="M104" s="3" t="s">
        <v>53</v>
      </c>
      <c r="N104" s="3" t="s">
        <v>84</v>
      </c>
      <c r="O104" s="3" t="s">
        <v>618</v>
      </c>
      <c r="P104" s="3" t="s">
        <v>64</v>
      </c>
      <c r="Q104" s="3">
        <v>4</v>
      </c>
      <c r="R104" s="3">
        <v>2865.71</v>
      </c>
      <c r="S104" s="3">
        <v>0</v>
      </c>
      <c r="T104" s="3">
        <v>11462.84</v>
      </c>
      <c r="U104" s="3">
        <v>8979.7800000000007</v>
      </c>
      <c r="V104" s="3">
        <v>2483.06</v>
      </c>
      <c r="W104" s="3" t="s">
        <v>132</v>
      </c>
      <c r="X104" s="3" t="s">
        <v>86</v>
      </c>
      <c r="Y104" s="2" t="str">
        <f t="shared" si="3"/>
        <v>Unique</v>
      </c>
      <c r="AA104" s="2" t="str">
        <f t="shared" si="4"/>
        <v>Clean</v>
      </c>
      <c r="AB104" s="2" t="str">
        <f t="shared" si="5"/>
        <v>valid</v>
      </c>
      <c r="AC104">
        <f t="shared" si="13"/>
        <v>0</v>
      </c>
      <c r="AD104">
        <f t="shared" si="14"/>
        <v>11462.84</v>
      </c>
      <c r="AE104">
        <f t="shared" si="15"/>
        <v>2483.0599999999995</v>
      </c>
      <c r="AF104">
        <f t="shared" si="16"/>
        <v>0.21661822026653077</v>
      </c>
      <c r="AG104" t="str">
        <f t="shared" si="17"/>
        <v>July</v>
      </c>
      <c r="AH104">
        <f t="shared" si="18"/>
        <v>2025</v>
      </c>
      <c r="AI104" t="str">
        <f t="shared" si="19"/>
        <v>Warning</v>
      </c>
    </row>
    <row r="105" spans="1:35" ht="15.75" customHeight="1">
      <c r="A105" s="3" t="s">
        <v>619</v>
      </c>
      <c r="B105" s="3" t="s">
        <v>620</v>
      </c>
      <c r="C105" s="3" t="s">
        <v>621</v>
      </c>
      <c r="D105" s="3" t="str">
        <f t="shared" si="0"/>
        <v>05-Oct-2025</v>
      </c>
      <c r="E105" s="3" t="str">
        <f t="shared" si="1"/>
        <v>05-Feb-2025</v>
      </c>
      <c r="F105" s="3">
        <f t="shared" si="2"/>
        <v>242</v>
      </c>
      <c r="G105" s="3" t="s">
        <v>622</v>
      </c>
      <c r="H105" s="3" t="s">
        <v>375</v>
      </c>
      <c r="I105" s="3" t="s">
        <v>116</v>
      </c>
      <c r="J105" s="3" t="s">
        <v>81</v>
      </c>
      <c r="K105" s="3" t="s">
        <v>82</v>
      </c>
      <c r="L105" s="3" t="s">
        <v>83</v>
      </c>
      <c r="M105" s="3" t="s">
        <v>53</v>
      </c>
      <c r="N105" s="3" t="s">
        <v>54</v>
      </c>
      <c r="O105" s="3" t="s">
        <v>623</v>
      </c>
      <c r="P105" s="3" t="s">
        <v>64</v>
      </c>
      <c r="Q105" s="3">
        <v>4</v>
      </c>
      <c r="R105" s="3">
        <v>2440.34</v>
      </c>
      <c r="S105" s="3">
        <v>0.2</v>
      </c>
      <c r="T105" s="3">
        <v>7809.09</v>
      </c>
      <c r="U105" s="3">
        <v>6657.75</v>
      </c>
      <c r="V105" s="3">
        <v>1151.3399999999999</v>
      </c>
      <c r="W105" s="3" t="s">
        <v>42</v>
      </c>
      <c r="X105" s="3" t="s">
        <v>43</v>
      </c>
      <c r="Y105" s="2" t="str">
        <f t="shared" si="3"/>
        <v>Unique</v>
      </c>
      <c r="AA105" s="2" t="str">
        <f t="shared" si="4"/>
        <v>Clean</v>
      </c>
      <c r="AB105" s="2" t="str">
        <f t="shared" si="5"/>
        <v>valid</v>
      </c>
      <c r="AC105">
        <f t="shared" si="13"/>
        <v>0.2</v>
      </c>
      <c r="AD105">
        <f t="shared" si="14"/>
        <v>7809.0880000000006</v>
      </c>
      <c r="AE105">
        <f t="shared" si="15"/>
        <v>1151.3380000000006</v>
      </c>
      <c r="AF105">
        <f t="shared" si="16"/>
        <v>0.14743565445798543</v>
      </c>
      <c r="AG105" t="str">
        <f t="shared" si="17"/>
        <v>February</v>
      </c>
      <c r="AH105">
        <f t="shared" si="18"/>
        <v>2025</v>
      </c>
      <c r="AI105" t="str">
        <f t="shared" si="19"/>
        <v>Clean</v>
      </c>
    </row>
    <row r="106" spans="1:35" ht="15.75" customHeight="1">
      <c r="A106" s="3" t="s">
        <v>624</v>
      </c>
      <c r="B106" s="3" t="s">
        <v>625</v>
      </c>
      <c r="C106" s="3" t="s">
        <v>626</v>
      </c>
      <c r="D106" s="3" t="str">
        <f t="shared" si="0"/>
        <v>02-Aug-2025</v>
      </c>
      <c r="E106" s="3" t="str">
        <f t="shared" si="1"/>
        <v>01-Feb-2025</v>
      </c>
      <c r="F106" s="3">
        <f t="shared" si="2"/>
        <v>182</v>
      </c>
      <c r="G106" s="3" t="s">
        <v>627</v>
      </c>
      <c r="H106" s="3" t="s">
        <v>80</v>
      </c>
      <c r="I106" s="3" t="s">
        <v>34</v>
      </c>
      <c r="J106" s="3" t="s">
        <v>70</v>
      </c>
      <c r="K106" s="3" t="s">
        <v>237</v>
      </c>
      <c r="L106" s="3" t="s">
        <v>238</v>
      </c>
      <c r="M106" s="3" t="s">
        <v>38</v>
      </c>
      <c r="N106" s="3" t="s">
        <v>117</v>
      </c>
      <c r="O106" s="3" t="s">
        <v>628</v>
      </c>
      <c r="P106" s="3" t="s">
        <v>56</v>
      </c>
      <c r="Q106" s="3">
        <v>5</v>
      </c>
      <c r="R106" s="3">
        <v>2112.54</v>
      </c>
      <c r="S106" s="3">
        <v>0.25</v>
      </c>
      <c r="T106" s="3">
        <v>8260.4599999999991</v>
      </c>
      <c r="U106" s="3">
        <v>5619.95</v>
      </c>
      <c r="V106" s="3">
        <v>2302.08</v>
      </c>
      <c r="W106" s="3" t="s">
        <v>42</v>
      </c>
      <c r="X106" s="3" t="s">
        <v>86</v>
      </c>
      <c r="Y106" s="2" t="str">
        <f t="shared" si="3"/>
        <v>Unique</v>
      </c>
      <c r="AA106" s="2" t="str">
        <f t="shared" si="4"/>
        <v>Clean</v>
      </c>
      <c r="AB106" s="2" t="str">
        <f t="shared" si="5"/>
        <v>valid</v>
      </c>
      <c r="AC106">
        <f t="shared" si="13"/>
        <v>0.25</v>
      </c>
      <c r="AD106">
        <f t="shared" si="14"/>
        <v>7922.0250000000005</v>
      </c>
      <c r="AE106">
        <f t="shared" si="15"/>
        <v>2302.0750000000007</v>
      </c>
      <c r="AF106">
        <f t="shared" si="16"/>
        <v>0.29059173633004193</v>
      </c>
      <c r="AG106" t="str">
        <f t="shared" si="17"/>
        <v>February</v>
      </c>
      <c r="AH106">
        <f t="shared" si="18"/>
        <v>2025</v>
      </c>
      <c r="AI106" t="str">
        <f t="shared" si="19"/>
        <v>Warning</v>
      </c>
    </row>
    <row r="107" spans="1:35" ht="15.75" customHeight="1">
      <c r="A107" s="3" t="s">
        <v>629</v>
      </c>
      <c r="B107" s="3" t="s">
        <v>630</v>
      </c>
      <c r="C107" s="3" t="s">
        <v>631</v>
      </c>
      <c r="D107" s="3" t="str">
        <f t="shared" si="0"/>
        <v>29-Jun-2024</v>
      </c>
      <c r="E107" s="3" t="str">
        <f t="shared" si="1"/>
        <v>24-Jun-2024</v>
      </c>
      <c r="F107" s="3">
        <f t="shared" si="2"/>
        <v>5</v>
      </c>
      <c r="G107" s="3" t="s">
        <v>632</v>
      </c>
      <c r="H107" s="3" t="s">
        <v>48</v>
      </c>
      <c r="I107" s="3" t="s">
        <v>123</v>
      </c>
      <c r="J107" s="3" t="s">
        <v>50</v>
      </c>
      <c r="K107" s="3" t="s">
        <v>129</v>
      </c>
      <c r="L107" s="3" t="s">
        <v>130</v>
      </c>
      <c r="M107" s="3" t="s">
        <v>53</v>
      </c>
      <c r="N107" s="3" t="s">
        <v>54</v>
      </c>
      <c r="O107" s="3" t="s">
        <v>633</v>
      </c>
      <c r="P107" s="3" t="s">
        <v>41</v>
      </c>
      <c r="Q107" s="3">
        <v>2</v>
      </c>
      <c r="R107" s="3">
        <v>685</v>
      </c>
      <c r="S107" s="3">
        <v>0.1</v>
      </c>
      <c r="T107" s="3">
        <v>1233</v>
      </c>
      <c r="U107" s="3">
        <v>1006.9</v>
      </c>
      <c r="V107" s="3">
        <v>226.1</v>
      </c>
      <c r="W107" s="3" t="s">
        <v>42</v>
      </c>
      <c r="X107" s="3" t="s">
        <v>43</v>
      </c>
      <c r="Y107" s="2" t="str">
        <f t="shared" si="3"/>
        <v>Unique</v>
      </c>
      <c r="AA107" s="2" t="str">
        <f t="shared" si="4"/>
        <v>Clean</v>
      </c>
      <c r="AB107" s="2" t="str">
        <f t="shared" si="5"/>
        <v>valid</v>
      </c>
      <c r="AC107">
        <f t="shared" si="13"/>
        <v>0.1</v>
      </c>
      <c r="AD107">
        <f t="shared" si="14"/>
        <v>1233</v>
      </c>
      <c r="AE107">
        <f t="shared" si="15"/>
        <v>226.10000000000002</v>
      </c>
      <c r="AF107">
        <f t="shared" si="16"/>
        <v>0.18337388483373887</v>
      </c>
      <c r="AG107" t="str">
        <f t="shared" si="17"/>
        <v>June</v>
      </c>
      <c r="AH107">
        <f t="shared" si="18"/>
        <v>2024</v>
      </c>
      <c r="AI107" t="str">
        <f t="shared" si="19"/>
        <v>Clean</v>
      </c>
    </row>
    <row r="108" spans="1:35" ht="15.75" customHeight="1">
      <c r="A108" s="3" t="s">
        <v>634</v>
      </c>
      <c r="B108" s="3" t="s">
        <v>635</v>
      </c>
      <c r="C108" s="3" t="s">
        <v>636</v>
      </c>
      <c r="D108" s="3" t="str">
        <f t="shared" si="0"/>
        <v>28-Feb-2024</v>
      </c>
      <c r="E108" s="3" t="str">
        <f t="shared" si="1"/>
        <v>20-Feb-2024</v>
      </c>
      <c r="F108" s="3">
        <f t="shared" si="2"/>
        <v>8</v>
      </c>
      <c r="G108" s="3" t="s">
        <v>637</v>
      </c>
      <c r="H108" s="3" t="s">
        <v>69</v>
      </c>
      <c r="I108" s="3" t="s">
        <v>123</v>
      </c>
      <c r="J108" s="3" t="s">
        <v>50</v>
      </c>
      <c r="K108" s="3" t="s">
        <v>129</v>
      </c>
      <c r="L108" s="3" t="s">
        <v>130</v>
      </c>
      <c r="M108" s="3" t="s">
        <v>38</v>
      </c>
      <c r="N108" s="3" t="s">
        <v>39</v>
      </c>
      <c r="O108" s="3" t="s">
        <v>638</v>
      </c>
      <c r="P108" s="3" t="s">
        <v>75</v>
      </c>
      <c r="Q108" s="3">
        <v>2</v>
      </c>
      <c r="R108" s="3">
        <v>4004.04</v>
      </c>
      <c r="S108" s="3">
        <v>0</v>
      </c>
      <c r="T108" s="3">
        <v>7207.27</v>
      </c>
      <c r="U108" s="3">
        <v>5709.39</v>
      </c>
      <c r="V108" s="3">
        <v>1497.88</v>
      </c>
      <c r="W108" s="3" t="s">
        <v>42</v>
      </c>
      <c r="X108" s="3" t="s">
        <v>86</v>
      </c>
      <c r="Y108" s="4" t="str">
        <f t="shared" si="3"/>
        <v>Unique</v>
      </c>
      <c r="AA108" s="2" t="str">
        <f t="shared" si="4"/>
        <v>Clean</v>
      </c>
      <c r="AB108" s="2" t="str">
        <f t="shared" si="5"/>
        <v>valid</v>
      </c>
      <c r="AC108">
        <f t="shared" si="13"/>
        <v>0</v>
      </c>
      <c r="AD108">
        <f t="shared" si="14"/>
        <v>8008.08</v>
      </c>
      <c r="AE108">
        <f t="shared" si="15"/>
        <v>2298.6899999999996</v>
      </c>
      <c r="AF108">
        <f t="shared" si="16"/>
        <v>0.28704633320346445</v>
      </c>
      <c r="AG108" t="str">
        <f t="shared" si="17"/>
        <v>February</v>
      </c>
      <c r="AH108">
        <f t="shared" si="18"/>
        <v>2024</v>
      </c>
      <c r="AI108" t="str">
        <f t="shared" si="19"/>
        <v>Warning</v>
      </c>
    </row>
    <row r="109" spans="1:35" ht="15.75" customHeight="1">
      <c r="A109" s="3" t="s">
        <v>639</v>
      </c>
      <c r="B109" s="3" t="s">
        <v>640</v>
      </c>
      <c r="C109" s="3" t="s">
        <v>641</v>
      </c>
      <c r="D109" s="3" t="str">
        <f t="shared" si="0"/>
        <v>04-Nov-2024</v>
      </c>
      <c r="E109" s="3" t="str">
        <f t="shared" si="1"/>
        <v>29-Oct-2024</v>
      </c>
      <c r="F109" s="3">
        <f t="shared" si="2"/>
        <v>6</v>
      </c>
      <c r="G109" s="3" t="s">
        <v>642</v>
      </c>
      <c r="H109" s="3" t="s">
        <v>188</v>
      </c>
      <c r="I109" s="3" t="s">
        <v>123</v>
      </c>
      <c r="J109" s="3" t="s">
        <v>50</v>
      </c>
      <c r="K109" s="3" t="s">
        <v>129</v>
      </c>
      <c r="L109" s="3" t="s">
        <v>130</v>
      </c>
      <c r="M109" s="3" t="s">
        <v>53</v>
      </c>
      <c r="N109" s="3" t="s">
        <v>73</v>
      </c>
      <c r="O109" s="3" t="s">
        <v>643</v>
      </c>
      <c r="P109" s="3" t="s">
        <v>64</v>
      </c>
      <c r="Q109" s="3">
        <v>3</v>
      </c>
      <c r="R109" s="3">
        <v>4302.8900000000003</v>
      </c>
      <c r="S109" s="3">
        <v>0.05</v>
      </c>
      <c r="T109" s="3">
        <v>12263.24</v>
      </c>
      <c r="U109" s="3">
        <v>8925.57</v>
      </c>
      <c r="V109" s="3">
        <v>3337.67</v>
      </c>
      <c r="W109" s="3" t="s">
        <v>42</v>
      </c>
      <c r="X109" s="3" t="s">
        <v>43</v>
      </c>
      <c r="Y109" s="2" t="str">
        <f t="shared" si="3"/>
        <v>Unique</v>
      </c>
      <c r="AA109" s="2" t="str">
        <f t="shared" si="4"/>
        <v>Clean</v>
      </c>
      <c r="AB109" s="2" t="str">
        <f t="shared" si="5"/>
        <v>valid</v>
      </c>
      <c r="AC109">
        <f t="shared" si="13"/>
        <v>0.05</v>
      </c>
      <c r="AD109">
        <f t="shared" si="14"/>
        <v>12263.236500000001</v>
      </c>
      <c r="AE109">
        <f t="shared" si="15"/>
        <v>3337.6665000000012</v>
      </c>
      <c r="AF109">
        <f t="shared" si="16"/>
        <v>0.27216848504878799</v>
      </c>
      <c r="AG109" t="str">
        <f t="shared" si="17"/>
        <v>October</v>
      </c>
      <c r="AH109">
        <f t="shared" si="18"/>
        <v>2024</v>
      </c>
      <c r="AI109" t="str">
        <f t="shared" si="19"/>
        <v>Clean</v>
      </c>
    </row>
    <row r="110" spans="1:35" ht="15.75" customHeight="1">
      <c r="A110" s="3" t="s">
        <v>644</v>
      </c>
      <c r="B110" s="3" t="s">
        <v>645</v>
      </c>
      <c r="C110" s="3" t="s">
        <v>646</v>
      </c>
      <c r="D110" s="3" t="str">
        <f t="shared" si="0"/>
        <v>23-Aug-2024</v>
      </c>
      <c r="E110" s="3" t="str">
        <f t="shared" si="1"/>
        <v>15-Aug-2024</v>
      </c>
      <c r="F110" s="3">
        <f t="shared" si="2"/>
        <v>8</v>
      </c>
      <c r="G110" s="3" t="s">
        <v>647</v>
      </c>
      <c r="H110" s="3" t="s">
        <v>115</v>
      </c>
      <c r="I110" s="3" t="s">
        <v>49</v>
      </c>
      <c r="J110" s="3" t="s">
        <v>50</v>
      </c>
      <c r="K110" s="3" t="s">
        <v>51</v>
      </c>
      <c r="L110" s="3" t="s">
        <v>52</v>
      </c>
      <c r="M110" s="3" t="s">
        <v>53</v>
      </c>
      <c r="N110" s="3" t="s">
        <v>212</v>
      </c>
      <c r="O110" s="3" t="s">
        <v>648</v>
      </c>
      <c r="P110" s="3" t="s">
        <v>56</v>
      </c>
      <c r="Q110" s="3">
        <v>2</v>
      </c>
      <c r="R110" s="3">
        <v>537.54</v>
      </c>
      <c r="S110" s="3">
        <v>0.25</v>
      </c>
      <c r="T110" s="3">
        <v>806.31</v>
      </c>
      <c r="U110" s="3">
        <v>498.5</v>
      </c>
      <c r="V110" s="3">
        <v>307.81</v>
      </c>
      <c r="W110" s="3" t="s">
        <v>42</v>
      </c>
      <c r="X110" s="3" t="s">
        <v>43</v>
      </c>
      <c r="Y110" s="2" t="str">
        <f t="shared" si="3"/>
        <v>Unique</v>
      </c>
      <c r="AA110" s="2" t="str">
        <f t="shared" si="4"/>
        <v>Clean</v>
      </c>
      <c r="AB110" s="2" t="str">
        <f t="shared" si="5"/>
        <v>valid</v>
      </c>
      <c r="AC110">
        <f t="shared" si="13"/>
        <v>0.25</v>
      </c>
      <c r="AD110">
        <f t="shared" si="14"/>
        <v>806.31</v>
      </c>
      <c r="AE110">
        <f t="shared" si="15"/>
        <v>307.80999999999995</v>
      </c>
      <c r="AF110">
        <f t="shared" si="16"/>
        <v>0.38175143555208291</v>
      </c>
      <c r="AG110" t="str">
        <f t="shared" si="17"/>
        <v>August</v>
      </c>
      <c r="AH110">
        <f t="shared" si="18"/>
        <v>2024</v>
      </c>
      <c r="AI110" t="str">
        <f t="shared" si="19"/>
        <v>Clean</v>
      </c>
    </row>
    <row r="111" spans="1:35" ht="15.75" customHeight="1">
      <c r="A111" s="3" t="s">
        <v>649</v>
      </c>
      <c r="B111" s="3" t="s">
        <v>650</v>
      </c>
      <c r="C111" s="3" t="s">
        <v>488</v>
      </c>
      <c r="D111" s="3" t="str">
        <f t="shared" si="0"/>
        <v>27-Aug-2025</v>
      </c>
      <c r="E111" s="3" t="str">
        <f t="shared" si="1"/>
        <v>23-Aug-2025</v>
      </c>
      <c r="F111" s="3">
        <f t="shared" si="2"/>
        <v>4</v>
      </c>
      <c r="G111" s="3" t="s">
        <v>651</v>
      </c>
      <c r="H111" s="3" t="s">
        <v>176</v>
      </c>
      <c r="I111" s="3" t="s">
        <v>34</v>
      </c>
      <c r="J111" s="3" t="s">
        <v>35</v>
      </c>
      <c r="K111" s="3" t="s">
        <v>515</v>
      </c>
      <c r="L111" s="3" t="s">
        <v>516</v>
      </c>
      <c r="M111" s="3" t="s">
        <v>38</v>
      </c>
      <c r="N111" s="3" t="s">
        <v>206</v>
      </c>
      <c r="O111" s="3" t="s">
        <v>652</v>
      </c>
      <c r="P111" s="3" t="s">
        <v>41</v>
      </c>
      <c r="Q111" s="3">
        <v>1</v>
      </c>
      <c r="R111" s="3">
        <v>2788.62</v>
      </c>
      <c r="S111" s="3">
        <v>0.25</v>
      </c>
      <c r="T111" s="3">
        <v>2091.4699999999998</v>
      </c>
      <c r="U111" s="3">
        <v>1317.22</v>
      </c>
      <c r="V111" s="3">
        <v>774.25</v>
      </c>
      <c r="W111" s="3" t="s">
        <v>42</v>
      </c>
      <c r="X111" s="3" t="s">
        <v>43</v>
      </c>
      <c r="Y111" s="2" t="str">
        <f t="shared" si="3"/>
        <v>Unique</v>
      </c>
      <c r="AA111" s="2" t="str">
        <f t="shared" si="4"/>
        <v>Clean</v>
      </c>
      <c r="AB111" s="2" t="str">
        <f t="shared" si="5"/>
        <v>valid</v>
      </c>
      <c r="AC111">
        <f t="shared" si="13"/>
        <v>0.25</v>
      </c>
      <c r="AD111">
        <f t="shared" si="14"/>
        <v>2091.4650000000001</v>
      </c>
      <c r="AE111">
        <f t="shared" si="15"/>
        <v>774.24500000000012</v>
      </c>
      <c r="AF111">
        <f t="shared" si="16"/>
        <v>0.37019266399389905</v>
      </c>
      <c r="AG111" t="str">
        <f t="shared" si="17"/>
        <v>August</v>
      </c>
      <c r="AH111">
        <f t="shared" si="18"/>
        <v>2025</v>
      </c>
      <c r="AI111" t="str">
        <f t="shared" si="19"/>
        <v>Clean</v>
      </c>
    </row>
    <row r="112" spans="1:35" ht="15.75" customHeight="1">
      <c r="A112" s="3" t="s">
        <v>653</v>
      </c>
      <c r="B112" s="3" t="s">
        <v>654</v>
      </c>
      <c r="C112" s="3" t="s">
        <v>655</v>
      </c>
      <c r="D112" s="3" t="str">
        <f t="shared" si="0"/>
        <v>24-Oct-2024</v>
      </c>
      <c r="E112" s="3" t="str">
        <f t="shared" si="1"/>
        <v>18-Oct-2024</v>
      </c>
      <c r="F112" s="3">
        <f t="shared" si="2"/>
        <v>6</v>
      </c>
      <c r="G112" s="3" t="s">
        <v>656</v>
      </c>
      <c r="H112" s="3" t="s">
        <v>91</v>
      </c>
      <c r="I112" s="3" t="s">
        <v>116</v>
      </c>
      <c r="J112" s="3" t="s">
        <v>70</v>
      </c>
      <c r="K112" s="3" t="s">
        <v>250</v>
      </c>
      <c r="L112" s="3" t="s">
        <v>251</v>
      </c>
      <c r="M112" s="3" t="s">
        <v>38</v>
      </c>
      <c r="N112" s="3" t="s">
        <v>117</v>
      </c>
      <c r="O112" s="3" t="s">
        <v>657</v>
      </c>
      <c r="P112" s="3" t="s">
        <v>64</v>
      </c>
      <c r="Q112" s="3">
        <v>2</v>
      </c>
      <c r="R112" s="3">
        <v>2250.4699999999998</v>
      </c>
      <c r="S112" s="3">
        <v>0</v>
      </c>
      <c r="T112" s="3">
        <v>4500.9399999999996</v>
      </c>
      <c r="U112" s="3">
        <v>2607.73</v>
      </c>
      <c r="V112" s="3">
        <v>1893.21</v>
      </c>
      <c r="W112" s="3" t="s">
        <v>132</v>
      </c>
      <c r="X112" s="3" t="s">
        <v>86</v>
      </c>
      <c r="Y112" s="2" t="str">
        <f t="shared" si="3"/>
        <v>Unique</v>
      </c>
      <c r="AA112" s="2" t="str">
        <f t="shared" si="4"/>
        <v>Clean</v>
      </c>
      <c r="AB112" s="2" t="str">
        <f t="shared" si="5"/>
        <v>valid</v>
      </c>
      <c r="AC112">
        <f t="shared" si="13"/>
        <v>0</v>
      </c>
      <c r="AD112">
        <f t="shared" si="14"/>
        <v>4500.9399999999996</v>
      </c>
      <c r="AE112">
        <f t="shared" si="15"/>
        <v>1893.2099999999996</v>
      </c>
      <c r="AF112">
        <f t="shared" si="16"/>
        <v>0.42062546934640316</v>
      </c>
      <c r="AG112" t="str">
        <f t="shared" si="17"/>
        <v>October</v>
      </c>
      <c r="AH112">
        <f t="shared" si="18"/>
        <v>2024</v>
      </c>
      <c r="AI112" t="str">
        <f t="shared" si="19"/>
        <v>Warning</v>
      </c>
    </row>
    <row r="113" spans="1:35" ht="15.75" customHeight="1">
      <c r="A113" s="3" t="s">
        <v>658</v>
      </c>
      <c r="B113" s="3" t="s">
        <v>659</v>
      </c>
      <c r="C113" s="3" t="s">
        <v>660</v>
      </c>
      <c r="D113" s="3" t="str">
        <f t="shared" si="0"/>
        <v>30-Jun-2025</v>
      </c>
      <c r="E113" s="3" t="str">
        <f t="shared" si="1"/>
        <v>27-Jun-2025</v>
      </c>
      <c r="F113" s="3">
        <f t="shared" si="2"/>
        <v>3</v>
      </c>
      <c r="G113" s="3" t="s">
        <v>661</v>
      </c>
      <c r="H113" s="3" t="s">
        <v>101</v>
      </c>
      <c r="I113" s="3" t="s">
        <v>116</v>
      </c>
      <c r="J113" s="3" t="s">
        <v>50</v>
      </c>
      <c r="K113" s="3" t="s">
        <v>194</v>
      </c>
      <c r="L113" s="3" t="s">
        <v>195</v>
      </c>
      <c r="M113" s="3" t="s">
        <v>94</v>
      </c>
      <c r="N113" s="3" t="s">
        <v>95</v>
      </c>
      <c r="O113" s="3" t="s">
        <v>662</v>
      </c>
      <c r="P113" s="3" t="s">
        <v>64</v>
      </c>
      <c r="Q113" s="3">
        <v>1</v>
      </c>
      <c r="R113" s="3">
        <v>1708.44</v>
      </c>
      <c r="S113" s="3">
        <v>0.05</v>
      </c>
      <c r="T113" s="3">
        <v>1623.02</v>
      </c>
      <c r="U113" s="3">
        <v>1077.46</v>
      </c>
      <c r="V113" s="3">
        <v>545.55999999999995</v>
      </c>
      <c r="W113" s="3" t="s">
        <v>145</v>
      </c>
      <c r="X113" s="3" t="s">
        <v>86</v>
      </c>
      <c r="Y113" s="2" t="str">
        <f t="shared" si="3"/>
        <v>Unique</v>
      </c>
      <c r="AA113" s="2" t="str">
        <f t="shared" si="4"/>
        <v>Clean</v>
      </c>
      <c r="AB113" s="2" t="str">
        <f t="shared" si="5"/>
        <v>valid</v>
      </c>
      <c r="AC113">
        <f t="shared" si="13"/>
        <v>0.05</v>
      </c>
      <c r="AD113">
        <f t="shared" si="14"/>
        <v>1623.018</v>
      </c>
      <c r="AE113">
        <f t="shared" si="15"/>
        <v>545.55799999999999</v>
      </c>
      <c r="AF113">
        <f t="shared" si="16"/>
        <v>0.3361379849145234</v>
      </c>
      <c r="AG113" t="str">
        <f t="shared" si="17"/>
        <v>June</v>
      </c>
      <c r="AH113">
        <f t="shared" si="18"/>
        <v>2025</v>
      </c>
      <c r="AI113" t="str">
        <f t="shared" si="19"/>
        <v>Warning</v>
      </c>
    </row>
    <row r="114" spans="1:35" ht="15.75" customHeight="1">
      <c r="A114" s="3" t="s">
        <v>663</v>
      </c>
      <c r="B114" s="3" t="s">
        <v>664</v>
      </c>
      <c r="C114" s="3" t="s">
        <v>665</v>
      </c>
      <c r="D114" s="3" t="str">
        <f t="shared" si="0"/>
        <v>14-Jan-2024</v>
      </c>
      <c r="E114" s="3" t="str">
        <f t="shared" si="1"/>
        <v>10-Jan-2024</v>
      </c>
      <c r="F114" s="3">
        <f t="shared" si="2"/>
        <v>4</v>
      </c>
      <c r="G114" s="3" t="s">
        <v>666</v>
      </c>
      <c r="H114" s="3" t="s">
        <v>176</v>
      </c>
      <c r="I114" s="3" t="s">
        <v>34</v>
      </c>
      <c r="J114" s="3" t="s">
        <v>280</v>
      </c>
      <c r="K114" s="3" t="s">
        <v>243</v>
      </c>
      <c r="L114" s="3" t="s">
        <v>244</v>
      </c>
      <c r="M114" s="3" t="s">
        <v>94</v>
      </c>
      <c r="N114" s="3" t="s">
        <v>95</v>
      </c>
      <c r="O114" s="3" t="s">
        <v>667</v>
      </c>
      <c r="P114" s="3" t="s">
        <v>75</v>
      </c>
      <c r="Q114" s="3">
        <v>3</v>
      </c>
      <c r="R114" s="3">
        <v>3829.48</v>
      </c>
      <c r="S114" s="3">
        <v>0.05</v>
      </c>
      <c r="T114" s="3">
        <v>10914.02</v>
      </c>
      <c r="U114" s="3">
        <v>6548.74</v>
      </c>
      <c r="V114" s="3">
        <v>4365.28</v>
      </c>
      <c r="W114" s="3" t="s">
        <v>42</v>
      </c>
      <c r="X114" s="3" t="s">
        <v>43</v>
      </c>
      <c r="Y114" s="2" t="str">
        <f t="shared" si="3"/>
        <v>Unique</v>
      </c>
      <c r="AA114" s="2" t="str">
        <f t="shared" si="4"/>
        <v>Clean</v>
      </c>
      <c r="AB114" s="2" t="str">
        <f t="shared" si="5"/>
        <v>valid</v>
      </c>
      <c r="AC114">
        <f t="shared" si="13"/>
        <v>0.05</v>
      </c>
      <c r="AD114">
        <f t="shared" si="14"/>
        <v>10914.018</v>
      </c>
      <c r="AE114">
        <f t="shared" si="15"/>
        <v>4365.2780000000002</v>
      </c>
      <c r="AF114">
        <f t="shared" si="16"/>
        <v>0.39996983695647198</v>
      </c>
      <c r="AG114" t="str">
        <f t="shared" si="17"/>
        <v>January</v>
      </c>
      <c r="AH114">
        <f t="shared" si="18"/>
        <v>2024</v>
      </c>
      <c r="AI114" t="str">
        <f t="shared" si="19"/>
        <v>Clean</v>
      </c>
    </row>
    <row r="115" spans="1:35" ht="15.75" customHeight="1">
      <c r="A115" s="3" t="s">
        <v>668</v>
      </c>
      <c r="B115" s="3" t="s">
        <v>669</v>
      </c>
      <c r="C115" s="3" t="s">
        <v>669</v>
      </c>
      <c r="D115" s="3" t="str">
        <f t="shared" si="0"/>
        <v>12-Feb-2024</v>
      </c>
      <c r="E115" s="3" t="str">
        <f t="shared" si="1"/>
        <v>12-Feb-2024</v>
      </c>
      <c r="F115" s="3">
        <f t="shared" si="2"/>
        <v>0</v>
      </c>
      <c r="G115" s="3" t="s">
        <v>530</v>
      </c>
      <c r="H115" s="3" t="s">
        <v>61</v>
      </c>
      <c r="I115" s="3" t="s">
        <v>123</v>
      </c>
      <c r="J115" s="3" t="s">
        <v>70</v>
      </c>
      <c r="K115" s="3" t="s">
        <v>347</v>
      </c>
      <c r="L115" s="3" t="s">
        <v>348</v>
      </c>
      <c r="M115" s="3" t="s">
        <v>53</v>
      </c>
      <c r="N115" s="3" t="s">
        <v>54</v>
      </c>
      <c r="O115" s="3" t="s">
        <v>670</v>
      </c>
      <c r="P115" s="3" t="s">
        <v>75</v>
      </c>
      <c r="Q115" s="3">
        <v>3</v>
      </c>
      <c r="R115" s="3">
        <v>1089.1500000000001</v>
      </c>
      <c r="S115" s="3">
        <v>0.25</v>
      </c>
      <c r="T115" s="3">
        <v>2450.59</v>
      </c>
      <c r="U115" s="3">
        <v>1639.89</v>
      </c>
      <c r="V115" s="3">
        <v>810.7</v>
      </c>
      <c r="W115" s="3" t="s">
        <v>42</v>
      </c>
      <c r="X115" s="3" t="s">
        <v>43</v>
      </c>
      <c r="Y115" s="2" t="str">
        <f t="shared" si="3"/>
        <v>Unique</v>
      </c>
      <c r="AA115" s="2" t="str">
        <f t="shared" si="4"/>
        <v>Clean</v>
      </c>
      <c r="AB115" s="2" t="str">
        <f t="shared" si="5"/>
        <v>valid</v>
      </c>
      <c r="AC115">
        <f t="shared" si="13"/>
        <v>0.25</v>
      </c>
      <c r="AD115">
        <f t="shared" si="14"/>
        <v>2450.5875000000001</v>
      </c>
      <c r="AE115">
        <f t="shared" si="15"/>
        <v>810.69749999999999</v>
      </c>
      <c r="AF115">
        <f t="shared" si="16"/>
        <v>0.33081761006289306</v>
      </c>
      <c r="AG115" t="str">
        <f t="shared" si="17"/>
        <v>February</v>
      </c>
      <c r="AH115">
        <f t="shared" si="18"/>
        <v>2024</v>
      </c>
      <c r="AI115" t="str">
        <f t="shared" si="19"/>
        <v>Clean</v>
      </c>
    </row>
    <row r="116" spans="1:35" ht="15.75" customHeight="1">
      <c r="A116" s="3" t="s">
        <v>671</v>
      </c>
      <c r="B116" s="3" t="s">
        <v>672</v>
      </c>
      <c r="C116" s="3" t="s">
        <v>673</v>
      </c>
      <c r="D116" s="3" t="str">
        <f t="shared" si="0"/>
        <v>30-Sep-2024</v>
      </c>
      <c r="E116" s="3" t="str">
        <f t="shared" si="1"/>
        <v>25-Sep-2024</v>
      </c>
      <c r="F116" s="3">
        <f t="shared" si="2"/>
        <v>5</v>
      </c>
      <c r="G116" s="3" t="s">
        <v>674</v>
      </c>
      <c r="H116" s="3" t="s">
        <v>101</v>
      </c>
      <c r="I116" s="3" t="s">
        <v>49</v>
      </c>
      <c r="J116" s="3" t="s">
        <v>35</v>
      </c>
      <c r="K116" s="3" t="s">
        <v>36</v>
      </c>
      <c r="L116" s="3" t="s">
        <v>37</v>
      </c>
      <c r="M116" s="3" t="s">
        <v>94</v>
      </c>
      <c r="N116" s="3" t="s">
        <v>95</v>
      </c>
      <c r="O116" s="3" t="s">
        <v>675</v>
      </c>
      <c r="P116" s="3" t="s">
        <v>41</v>
      </c>
      <c r="Q116" s="3">
        <v>1</v>
      </c>
      <c r="R116" s="3">
        <v>4388.3999999999996</v>
      </c>
      <c r="S116" s="3">
        <v>0.1</v>
      </c>
      <c r="T116" s="3">
        <v>3949.56</v>
      </c>
      <c r="U116" s="3">
        <v>3186.73</v>
      </c>
      <c r="V116" s="3">
        <v>762.83</v>
      </c>
      <c r="W116" s="3" t="s">
        <v>145</v>
      </c>
      <c r="X116" s="3" t="s">
        <v>86</v>
      </c>
      <c r="Y116" s="2" t="str">
        <f t="shared" si="3"/>
        <v>Unique</v>
      </c>
      <c r="AA116" s="2" t="str">
        <f t="shared" si="4"/>
        <v>Clean</v>
      </c>
      <c r="AB116" s="2" t="str">
        <f t="shared" si="5"/>
        <v>valid</v>
      </c>
      <c r="AC116">
        <f t="shared" si="13"/>
        <v>0.1</v>
      </c>
      <c r="AD116">
        <f t="shared" si="14"/>
        <v>3949.56</v>
      </c>
      <c r="AE116">
        <f t="shared" si="15"/>
        <v>762.82999999999993</v>
      </c>
      <c r="AF116">
        <f t="shared" si="16"/>
        <v>0.19314303365438173</v>
      </c>
      <c r="AG116" t="str">
        <f t="shared" si="17"/>
        <v>September</v>
      </c>
      <c r="AH116">
        <f t="shared" si="18"/>
        <v>2024</v>
      </c>
      <c r="AI116" t="str">
        <f t="shared" si="19"/>
        <v>Warning</v>
      </c>
    </row>
    <row r="117" spans="1:35" ht="15.75" customHeight="1">
      <c r="A117" s="3" t="s">
        <v>676</v>
      </c>
      <c r="B117" s="3" t="s">
        <v>677</v>
      </c>
      <c r="C117" s="3" t="s">
        <v>678</v>
      </c>
      <c r="D117" s="3" t="str">
        <f t="shared" si="0"/>
        <v>01-Jan-2025</v>
      </c>
      <c r="E117" s="3" t="str">
        <f t="shared" si="1"/>
        <v>27-Dec-2024</v>
      </c>
      <c r="F117" s="3">
        <f t="shared" si="2"/>
        <v>5</v>
      </c>
      <c r="G117" s="3" t="s">
        <v>679</v>
      </c>
      <c r="H117" s="3" t="s">
        <v>375</v>
      </c>
      <c r="I117" s="3" t="s">
        <v>116</v>
      </c>
      <c r="J117" s="3" t="s">
        <v>70</v>
      </c>
      <c r="K117" s="3" t="s">
        <v>347</v>
      </c>
      <c r="L117" s="3" t="s">
        <v>348</v>
      </c>
      <c r="M117" s="3" t="s">
        <v>38</v>
      </c>
      <c r="N117" s="3" t="s">
        <v>206</v>
      </c>
      <c r="O117" s="3" t="s">
        <v>680</v>
      </c>
      <c r="P117" s="3" t="s">
        <v>56</v>
      </c>
      <c r="Q117" s="3">
        <v>2</v>
      </c>
      <c r="R117" s="3">
        <v>446.34</v>
      </c>
      <c r="S117" s="3">
        <v>0.15</v>
      </c>
      <c r="T117" s="3">
        <v>758.78</v>
      </c>
      <c r="U117" s="3">
        <v>490.74</v>
      </c>
      <c r="V117" s="3">
        <v>268.04000000000002</v>
      </c>
      <c r="W117" s="3" t="s">
        <v>42</v>
      </c>
      <c r="X117" s="3" t="s">
        <v>86</v>
      </c>
      <c r="Y117" s="2" t="str">
        <f t="shared" si="3"/>
        <v>Unique</v>
      </c>
      <c r="AA117" s="2" t="str">
        <f t="shared" si="4"/>
        <v>Clean</v>
      </c>
      <c r="AB117" s="2" t="str">
        <f t="shared" si="5"/>
        <v>valid</v>
      </c>
      <c r="AC117">
        <f t="shared" si="13"/>
        <v>0.15</v>
      </c>
      <c r="AD117">
        <f t="shared" si="14"/>
        <v>758.77799999999991</v>
      </c>
      <c r="AE117">
        <f t="shared" si="15"/>
        <v>268.0379999999999</v>
      </c>
      <c r="AF117">
        <f t="shared" si="16"/>
        <v>0.35324956706704719</v>
      </c>
      <c r="AG117" t="str">
        <f t="shared" si="17"/>
        <v>December</v>
      </c>
      <c r="AH117">
        <f t="shared" si="18"/>
        <v>2024</v>
      </c>
      <c r="AI117" t="str">
        <f t="shared" si="19"/>
        <v>Warning</v>
      </c>
    </row>
    <row r="118" spans="1:35" ht="15.75" customHeight="1">
      <c r="A118" s="3" t="s">
        <v>681</v>
      </c>
      <c r="B118" s="3" t="s">
        <v>682</v>
      </c>
      <c r="C118" s="3" t="s">
        <v>683</v>
      </c>
      <c r="D118" s="3" t="str">
        <f t="shared" si="0"/>
        <v>19-Feb-2025</v>
      </c>
      <c r="E118" s="3" t="str">
        <f t="shared" si="1"/>
        <v>15-Feb-2025</v>
      </c>
      <c r="F118" s="3">
        <f t="shared" si="2"/>
        <v>4</v>
      </c>
      <c r="G118" s="3" t="s">
        <v>684</v>
      </c>
      <c r="H118" s="3" t="s">
        <v>80</v>
      </c>
      <c r="I118" s="3" t="s">
        <v>49</v>
      </c>
      <c r="J118" s="3" t="s">
        <v>280</v>
      </c>
      <c r="K118" s="3" t="s">
        <v>92</v>
      </c>
      <c r="L118" s="3" t="s">
        <v>93</v>
      </c>
      <c r="M118" s="3" t="s">
        <v>38</v>
      </c>
      <c r="N118" s="3" t="s">
        <v>206</v>
      </c>
      <c r="O118" s="3" t="s">
        <v>685</v>
      </c>
      <c r="P118" s="3" t="s">
        <v>64</v>
      </c>
      <c r="Q118" s="3">
        <v>9</v>
      </c>
      <c r="R118" s="3">
        <v>531.99</v>
      </c>
      <c r="S118" s="3">
        <v>0.25</v>
      </c>
      <c r="T118" s="3">
        <v>3590.93</v>
      </c>
      <c r="U118" s="3">
        <v>3061.39</v>
      </c>
      <c r="V118" s="3">
        <v>529.54</v>
      </c>
      <c r="W118" s="3" t="s">
        <v>208</v>
      </c>
      <c r="X118" s="3" t="s">
        <v>86</v>
      </c>
      <c r="Y118" s="2" t="str">
        <f t="shared" si="3"/>
        <v>Unique</v>
      </c>
      <c r="AA118" s="2" t="str">
        <f t="shared" si="4"/>
        <v>Clean</v>
      </c>
      <c r="AB118" s="2" t="str">
        <f t="shared" si="5"/>
        <v>valid</v>
      </c>
      <c r="AC118">
        <f t="shared" si="13"/>
        <v>0.25</v>
      </c>
      <c r="AD118">
        <f t="shared" si="14"/>
        <v>3590.9324999999999</v>
      </c>
      <c r="AE118">
        <f t="shared" si="15"/>
        <v>529.54250000000002</v>
      </c>
      <c r="AF118">
        <f t="shared" si="16"/>
        <v>0.14746657031286442</v>
      </c>
      <c r="AG118" t="str">
        <f t="shared" si="17"/>
        <v>February</v>
      </c>
      <c r="AH118">
        <f t="shared" si="18"/>
        <v>2025</v>
      </c>
      <c r="AI118" t="str">
        <f t="shared" si="19"/>
        <v>Warning</v>
      </c>
    </row>
    <row r="119" spans="1:35" ht="15.75" customHeight="1">
      <c r="A119" s="3" t="s">
        <v>686</v>
      </c>
      <c r="B119" s="3" t="s">
        <v>687</v>
      </c>
      <c r="C119" s="3" t="s">
        <v>688</v>
      </c>
      <c r="D119" s="3" t="str">
        <f t="shared" si="0"/>
        <v>17-Feb-2024</v>
      </c>
      <c r="E119" s="3" t="str">
        <f t="shared" si="1"/>
        <v>15-Feb-2024</v>
      </c>
      <c r="F119" s="3">
        <f t="shared" si="2"/>
        <v>2</v>
      </c>
      <c r="G119" s="3" t="s">
        <v>689</v>
      </c>
      <c r="H119" s="3" t="s">
        <v>48</v>
      </c>
      <c r="I119" s="3" t="s">
        <v>123</v>
      </c>
      <c r="J119" s="3" t="s">
        <v>70</v>
      </c>
      <c r="K119" s="3" t="s">
        <v>347</v>
      </c>
      <c r="L119" s="3" t="s">
        <v>348</v>
      </c>
      <c r="M119" s="3" t="s">
        <v>94</v>
      </c>
      <c r="N119" s="3" t="s">
        <v>391</v>
      </c>
      <c r="O119" s="3" t="s">
        <v>690</v>
      </c>
      <c r="P119" s="3" t="s">
        <v>75</v>
      </c>
      <c r="Q119" s="3">
        <v>9</v>
      </c>
      <c r="R119" s="3">
        <v>3324.55</v>
      </c>
      <c r="S119" s="3" t="s">
        <v>691</v>
      </c>
      <c r="T119" s="3">
        <v>25432.81</v>
      </c>
      <c r="U119" s="3">
        <v>20370.16</v>
      </c>
      <c r="V119" s="3">
        <v>5062.6499999999996</v>
      </c>
      <c r="W119" s="3" t="s">
        <v>42</v>
      </c>
      <c r="X119" s="3" t="s">
        <v>43</v>
      </c>
      <c r="Y119" s="2" t="str">
        <f t="shared" si="3"/>
        <v>Unique</v>
      </c>
      <c r="AA119" s="2" t="str">
        <f t="shared" si="4"/>
        <v>Invalid</v>
      </c>
      <c r="AB119" s="2" t="str">
        <f t="shared" si="5"/>
        <v>valid</v>
      </c>
      <c r="AC119">
        <f t="shared" si="13"/>
        <v>6.9999999999999993E-3</v>
      </c>
      <c r="AD119">
        <f t="shared" si="14"/>
        <v>29711.503349999999</v>
      </c>
      <c r="AE119">
        <f t="shared" si="15"/>
        <v>9341.3433499999992</v>
      </c>
      <c r="AF119">
        <f t="shared" si="16"/>
        <v>0.31440157167274402</v>
      </c>
      <c r="AG119" t="str">
        <f t="shared" si="17"/>
        <v>February</v>
      </c>
      <c r="AH119">
        <f t="shared" si="18"/>
        <v>2024</v>
      </c>
      <c r="AI119" t="str">
        <f t="shared" si="19"/>
        <v>Clean</v>
      </c>
    </row>
    <row r="120" spans="1:35" ht="15.75" customHeight="1">
      <c r="A120" s="3" t="s">
        <v>692</v>
      </c>
      <c r="B120" s="3" t="s">
        <v>693</v>
      </c>
      <c r="C120" s="3" t="s">
        <v>694</v>
      </c>
      <c r="D120" s="3" t="str">
        <f t="shared" si="0"/>
        <v>18-Jun-2024</v>
      </c>
      <c r="E120" s="3" t="str">
        <f t="shared" si="1"/>
        <v>06-Oct-2024</v>
      </c>
      <c r="F120" s="3">
        <f t="shared" si="2"/>
        <v>-110</v>
      </c>
      <c r="G120" s="3" t="s">
        <v>695</v>
      </c>
      <c r="H120" s="3" t="s">
        <v>696</v>
      </c>
      <c r="I120" s="3" t="s">
        <v>123</v>
      </c>
      <c r="J120" s="3" t="s">
        <v>70</v>
      </c>
      <c r="K120" s="3" t="s">
        <v>108</v>
      </c>
      <c r="L120" s="3" t="s">
        <v>109</v>
      </c>
      <c r="M120" s="3" t="s">
        <v>94</v>
      </c>
      <c r="N120" s="3" t="s">
        <v>102</v>
      </c>
      <c r="O120" s="3" t="s">
        <v>697</v>
      </c>
      <c r="P120" s="3" t="s">
        <v>56</v>
      </c>
      <c r="Q120" s="3">
        <v>5</v>
      </c>
      <c r="R120" s="3">
        <v>1580.27</v>
      </c>
      <c r="S120" s="3">
        <v>0.2</v>
      </c>
      <c r="T120" s="3">
        <v>6321.08</v>
      </c>
      <c r="U120" s="3">
        <v>4407.22</v>
      </c>
      <c r="V120" s="3">
        <v>1913.86</v>
      </c>
      <c r="W120" s="3" t="s">
        <v>42</v>
      </c>
      <c r="X120" s="3" t="s">
        <v>43</v>
      </c>
      <c r="Y120" s="2" t="str">
        <f t="shared" si="3"/>
        <v>Unique</v>
      </c>
      <c r="AA120" s="2" t="str">
        <f t="shared" si="4"/>
        <v>Clean</v>
      </c>
      <c r="AB120" s="2" t="str">
        <f t="shared" si="5"/>
        <v>Invalid</v>
      </c>
      <c r="AC120">
        <f t="shared" si="13"/>
        <v>0.2</v>
      </c>
      <c r="AD120">
        <f t="shared" si="14"/>
        <v>6321.0800000000008</v>
      </c>
      <c r="AE120">
        <f t="shared" si="15"/>
        <v>1913.8600000000006</v>
      </c>
      <c r="AF120">
        <f t="shared" si="16"/>
        <v>0.30277420947053357</v>
      </c>
      <c r="AG120" t="str">
        <f t="shared" si="17"/>
        <v>October</v>
      </c>
      <c r="AH120">
        <f t="shared" si="18"/>
        <v>2024</v>
      </c>
      <c r="AI120" t="str">
        <f t="shared" si="19"/>
        <v>Clean</v>
      </c>
    </row>
    <row r="121" spans="1:35" ht="15.75" customHeight="1">
      <c r="A121" s="3" t="s">
        <v>698</v>
      </c>
      <c r="B121" s="3" t="s">
        <v>699</v>
      </c>
      <c r="C121" s="3" t="s">
        <v>700</v>
      </c>
      <c r="D121" s="3" t="str">
        <f t="shared" si="0"/>
        <v>19-Jun-2024</v>
      </c>
      <c r="E121" s="3" t="str">
        <f t="shared" si="1"/>
        <v>12-Jun-2024</v>
      </c>
      <c r="F121" s="3">
        <f t="shared" si="2"/>
        <v>7</v>
      </c>
      <c r="G121" s="3" t="s">
        <v>701</v>
      </c>
      <c r="H121" s="3" t="s">
        <v>115</v>
      </c>
      <c r="I121" s="3" t="s">
        <v>49</v>
      </c>
      <c r="J121" s="3" t="s">
        <v>70</v>
      </c>
      <c r="K121" s="3" t="s">
        <v>250</v>
      </c>
      <c r="L121" s="3" t="s">
        <v>251</v>
      </c>
      <c r="M121" s="3" t="s">
        <v>53</v>
      </c>
      <c r="N121" s="3" t="s">
        <v>84</v>
      </c>
      <c r="O121" s="3" t="s">
        <v>702</v>
      </c>
      <c r="P121" s="3" t="s">
        <v>75</v>
      </c>
      <c r="Q121" s="3">
        <v>8</v>
      </c>
      <c r="R121" s="3">
        <v>314.05</v>
      </c>
      <c r="S121" s="3">
        <v>0.25</v>
      </c>
      <c r="T121" s="3">
        <v>1884.3</v>
      </c>
      <c r="U121" s="3">
        <v>1517.69</v>
      </c>
      <c r="V121" s="3">
        <v>366.61</v>
      </c>
      <c r="W121" s="3" t="s">
        <v>132</v>
      </c>
      <c r="X121" s="3" t="s">
        <v>133</v>
      </c>
      <c r="Y121" s="2" t="str">
        <f t="shared" si="3"/>
        <v>Unique</v>
      </c>
      <c r="AA121" s="2" t="str">
        <f t="shared" si="4"/>
        <v>Clean</v>
      </c>
      <c r="AB121" s="2" t="str">
        <f t="shared" si="5"/>
        <v>valid</v>
      </c>
      <c r="AC121">
        <f t="shared" si="13"/>
        <v>0.25</v>
      </c>
      <c r="AD121">
        <f t="shared" si="14"/>
        <v>1884.3000000000002</v>
      </c>
      <c r="AE121">
        <f t="shared" si="15"/>
        <v>366.61000000000013</v>
      </c>
      <c r="AF121">
        <f t="shared" si="16"/>
        <v>0.19456031417502526</v>
      </c>
      <c r="AG121" t="str">
        <f t="shared" si="17"/>
        <v>June</v>
      </c>
      <c r="AH121">
        <f t="shared" si="18"/>
        <v>2024</v>
      </c>
      <c r="AI121" t="str">
        <f t="shared" si="19"/>
        <v>Clean</v>
      </c>
    </row>
    <row r="122" spans="1:35" ht="15.75" customHeight="1">
      <c r="A122" s="3" t="s">
        <v>703</v>
      </c>
      <c r="B122" s="3" t="s">
        <v>512</v>
      </c>
      <c r="C122" s="3" t="s">
        <v>704</v>
      </c>
      <c r="D122" s="3" t="str">
        <f t="shared" si="0"/>
        <v>18-Aug-2024</v>
      </c>
      <c r="E122" s="3" t="str">
        <f t="shared" si="1"/>
        <v>10-Aug-2024</v>
      </c>
      <c r="F122" s="3">
        <f t="shared" si="2"/>
        <v>8</v>
      </c>
      <c r="G122" s="3" t="s">
        <v>705</v>
      </c>
      <c r="H122" s="3" t="s">
        <v>176</v>
      </c>
      <c r="I122" s="3" t="s">
        <v>49</v>
      </c>
      <c r="J122" s="3" t="s">
        <v>50</v>
      </c>
      <c r="K122" s="3" t="s">
        <v>194</v>
      </c>
      <c r="L122" s="3" t="s">
        <v>195</v>
      </c>
      <c r="M122" s="3" t="s">
        <v>94</v>
      </c>
      <c r="N122" s="3" t="s">
        <v>231</v>
      </c>
      <c r="O122" s="3" t="s">
        <v>706</v>
      </c>
      <c r="P122" s="3" t="s">
        <v>75</v>
      </c>
      <c r="Q122" s="3">
        <v>1</v>
      </c>
      <c r="R122" s="3">
        <v>1823.67</v>
      </c>
      <c r="S122" s="3">
        <v>0.2</v>
      </c>
      <c r="T122" s="3">
        <v>1458.94</v>
      </c>
      <c r="U122" s="3">
        <v>893.2</v>
      </c>
      <c r="V122" s="3">
        <v>565.74</v>
      </c>
      <c r="W122" s="3" t="s">
        <v>42</v>
      </c>
      <c r="X122" s="3" t="s">
        <v>133</v>
      </c>
      <c r="Y122" s="2" t="str">
        <f t="shared" si="3"/>
        <v>Unique</v>
      </c>
      <c r="AA122" s="2" t="str">
        <f t="shared" si="4"/>
        <v>Clean</v>
      </c>
      <c r="AB122" s="2" t="str">
        <f t="shared" si="5"/>
        <v>valid</v>
      </c>
      <c r="AC122">
        <f t="shared" si="13"/>
        <v>0.2</v>
      </c>
      <c r="AD122">
        <f t="shared" si="14"/>
        <v>1458.9360000000001</v>
      </c>
      <c r="AE122">
        <f t="shared" si="15"/>
        <v>565.7360000000001</v>
      </c>
      <c r="AF122">
        <f t="shared" si="16"/>
        <v>0.38777300717783375</v>
      </c>
      <c r="AG122" t="str">
        <f t="shared" si="17"/>
        <v>August</v>
      </c>
      <c r="AH122">
        <f t="shared" si="18"/>
        <v>2024</v>
      </c>
      <c r="AI122" t="str">
        <f t="shared" si="19"/>
        <v>Clean</v>
      </c>
    </row>
    <row r="123" spans="1:35" ht="15.75" customHeight="1">
      <c r="A123" s="3" t="s">
        <v>707</v>
      </c>
      <c r="B123" s="3" t="s">
        <v>708</v>
      </c>
      <c r="C123" s="3" t="s">
        <v>709</v>
      </c>
      <c r="D123" s="3" t="str">
        <f t="shared" si="0"/>
        <v>26-Aug-2025</v>
      </c>
      <c r="E123" s="3" t="str">
        <f t="shared" si="1"/>
        <v>22-Aug-2025</v>
      </c>
      <c r="F123" s="3">
        <f t="shared" si="2"/>
        <v>4</v>
      </c>
      <c r="G123" s="3" t="s">
        <v>710</v>
      </c>
      <c r="H123" s="3" t="s">
        <v>375</v>
      </c>
      <c r="I123" s="3" t="s">
        <v>49</v>
      </c>
      <c r="J123" s="3" t="s">
        <v>70</v>
      </c>
      <c r="K123" s="3" t="s">
        <v>108</v>
      </c>
      <c r="L123" s="3" t="s">
        <v>109</v>
      </c>
      <c r="M123" s="3" t="s">
        <v>94</v>
      </c>
      <c r="N123" s="3" t="s">
        <v>391</v>
      </c>
      <c r="O123" s="3" t="s">
        <v>711</v>
      </c>
      <c r="P123" s="3" t="s">
        <v>41</v>
      </c>
      <c r="Q123" s="3">
        <v>5</v>
      </c>
      <c r="R123" s="3">
        <v>3482.92</v>
      </c>
      <c r="S123" s="3">
        <v>0</v>
      </c>
      <c r="T123" s="3">
        <v>17414.599999999999</v>
      </c>
      <c r="U123" s="3">
        <v>11760.91</v>
      </c>
      <c r="V123" s="3">
        <v>5653.69</v>
      </c>
      <c r="W123" s="3" t="s">
        <v>132</v>
      </c>
      <c r="X123" s="3" t="s">
        <v>86</v>
      </c>
      <c r="Y123" s="2" t="str">
        <f t="shared" si="3"/>
        <v>Unique</v>
      </c>
      <c r="AA123" s="2" t="str">
        <f t="shared" si="4"/>
        <v>Clean</v>
      </c>
      <c r="AB123" s="2" t="str">
        <f t="shared" si="5"/>
        <v>valid</v>
      </c>
      <c r="AC123">
        <f t="shared" si="13"/>
        <v>0</v>
      </c>
      <c r="AD123">
        <f t="shared" si="14"/>
        <v>17414.599999999999</v>
      </c>
      <c r="AE123">
        <f t="shared" si="15"/>
        <v>5653.6899999999987</v>
      </c>
      <c r="AF123">
        <f t="shared" si="16"/>
        <v>0.3246523032398102</v>
      </c>
      <c r="AG123" t="str">
        <f t="shared" si="17"/>
        <v>August</v>
      </c>
      <c r="AH123">
        <f t="shared" si="18"/>
        <v>2025</v>
      </c>
      <c r="AI123" t="str">
        <f t="shared" si="19"/>
        <v>Warning</v>
      </c>
    </row>
    <row r="124" spans="1:35" ht="15.75" customHeight="1">
      <c r="A124" s="3" t="s">
        <v>712</v>
      </c>
      <c r="B124" s="3" t="s">
        <v>713</v>
      </c>
      <c r="C124" s="3" t="s">
        <v>714</v>
      </c>
      <c r="D124" s="3" t="str">
        <f t="shared" si="0"/>
        <v>04-Dec-2024</v>
      </c>
      <c r="E124" s="3" t="str">
        <f t="shared" si="1"/>
        <v>30-Nov-2024</v>
      </c>
      <c r="F124" s="3">
        <f t="shared" si="2"/>
        <v>4</v>
      </c>
      <c r="G124" s="3" t="s">
        <v>715</v>
      </c>
      <c r="H124" s="3" t="s">
        <v>80</v>
      </c>
      <c r="I124" s="3" t="s">
        <v>49</v>
      </c>
      <c r="J124" s="3" t="s">
        <v>50</v>
      </c>
      <c r="K124" s="3" t="s">
        <v>224</v>
      </c>
      <c r="L124" s="3" t="s">
        <v>225</v>
      </c>
      <c r="M124" s="3" t="s">
        <v>53</v>
      </c>
      <c r="N124" s="3" t="s">
        <v>84</v>
      </c>
      <c r="O124" s="3" t="s">
        <v>716</v>
      </c>
      <c r="P124" s="3" t="s">
        <v>41</v>
      </c>
      <c r="Q124" s="3">
        <v>3</v>
      </c>
      <c r="R124" s="3">
        <v>170.35</v>
      </c>
      <c r="S124" s="3">
        <v>0</v>
      </c>
      <c r="T124" s="3">
        <v>511.05</v>
      </c>
      <c r="U124" s="3">
        <v>367.18</v>
      </c>
      <c r="V124" s="3">
        <v>143.87</v>
      </c>
      <c r="W124" s="3" t="s">
        <v>42</v>
      </c>
      <c r="X124" s="3" t="s">
        <v>43</v>
      </c>
      <c r="Y124" s="2" t="str">
        <f t="shared" si="3"/>
        <v>Unique</v>
      </c>
      <c r="AA124" s="2" t="str">
        <f t="shared" si="4"/>
        <v>Clean</v>
      </c>
      <c r="AB124" s="2" t="str">
        <f t="shared" si="5"/>
        <v>valid</v>
      </c>
      <c r="AC124">
        <f t="shared" si="13"/>
        <v>0</v>
      </c>
      <c r="AD124">
        <f t="shared" si="14"/>
        <v>511.04999999999995</v>
      </c>
      <c r="AE124">
        <f t="shared" si="15"/>
        <v>143.86999999999995</v>
      </c>
      <c r="AF124">
        <f t="shared" si="16"/>
        <v>0.28151844242246349</v>
      </c>
      <c r="AG124" t="str">
        <f t="shared" si="17"/>
        <v>November</v>
      </c>
      <c r="AH124">
        <f t="shared" si="18"/>
        <v>2024</v>
      </c>
      <c r="AI124" t="str">
        <f t="shared" si="19"/>
        <v>Clean</v>
      </c>
    </row>
    <row r="125" spans="1:35" ht="15.75" customHeight="1">
      <c r="A125" s="3" t="s">
        <v>717</v>
      </c>
      <c r="B125" s="3" t="s">
        <v>718</v>
      </c>
      <c r="C125" s="3" t="s">
        <v>719</v>
      </c>
      <c r="D125" s="3" t="str">
        <f t="shared" si="0"/>
        <v>25-May-2024</v>
      </c>
      <c r="E125" s="3" t="str">
        <f t="shared" si="1"/>
        <v>24-May-2024</v>
      </c>
      <c r="F125" s="3">
        <f t="shared" si="2"/>
        <v>1</v>
      </c>
      <c r="G125" s="3" t="s">
        <v>720</v>
      </c>
      <c r="H125" s="3" t="s">
        <v>176</v>
      </c>
      <c r="I125" s="3" t="s">
        <v>49</v>
      </c>
      <c r="J125" s="3" t="s">
        <v>35</v>
      </c>
      <c r="K125" s="3" t="s">
        <v>162</v>
      </c>
      <c r="L125" s="3" t="s">
        <v>163</v>
      </c>
      <c r="M125" s="3" t="s">
        <v>94</v>
      </c>
      <c r="N125" s="3" t="s">
        <v>102</v>
      </c>
      <c r="O125" s="3" t="s">
        <v>721</v>
      </c>
      <c r="P125" s="3" t="s">
        <v>56</v>
      </c>
      <c r="Q125" s="3">
        <v>1</v>
      </c>
      <c r="R125" s="3">
        <v>634.13</v>
      </c>
      <c r="S125" s="3">
        <v>0</v>
      </c>
      <c r="T125" s="3">
        <v>634.13</v>
      </c>
      <c r="U125" s="3">
        <v>453.35</v>
      </c>
      <c r="V125" s="3">
        <v>180.78</v>
      </c>
      <c r="W125" s="3" t="s">
        <v>132</v>
      </c>
      <c r="X125" s="3" t="s">
        <v>86</v>
      </c>
      <c r="Y125" s="2" t="str">
        <f t="shared" si="3"/>
        <v>Duplicate Order ID</v>
      </c>
      <c r="Z125" s="5" t="s">
        <v>722</v>
      </c>
      <c r="AA125" s="2" t="str">
        <f t="shared" si="4"/>
        <v>Clean</v>
      </c>
      <c r="AB125" s="2" t="str">
        <f t="shared" si="5"/>
        <v>valid</v>
      </c>
      <c r="AC125">
        <f t="shared" si="13"/>
        <v>0</v>
      </c>
      <c r="AD125">
        <f t="shared" si="14"/>
        <v>634.13</v>
      </c>
      <c r="AE125">
        <f t="shared" si="15"/>
        <v>180.77999999999997</v>
      </c>
      <c r="AF125">
        <f t="shared" si="16"/>
        <v>0.28508350022865969</v>
      </c>
      <c r="AG125" t="str">
        <f t="shared" si="17"/>
        <v>May</v>
      </c>
      <c r="AH125">
        <f t="shared" si="18"/>
        <v>2024</v>
      </c>
      <c r="AI125" t="str">
        <f t="shared" si="19"/>
        <v>Warning</v>
      </c>
    </row>
    <row r="126" spans="1:35" ht="15.75" customHeight="1">
      <c r="A126" s="3" t="s">
        <v>723</v>
      </c>
      <c r="B126" s="3" t="s">
        <v>30</v>
      </c>
      <c r="C126" s="3" t="s">
        <v>724</v>
      </c>
      <c r="D126" s="3" t="str">
        <f t="shared" si="0"/>
        <v>24-Jul-2024</v>
      </c>
      <c r="E126" s="3" t="str">
        <f t="shared" si="1"/>
        <v>21-Jul-2024</v>
      </c>
      <c r="F126" s="3">
        <f t="shared" si="2"/>
        <v>3</v>
      </c>
      <c r="G126" s="3" t="s">
        <v>725</v>
      </c>
      <c r="H126" s="3" t="s">
        <v>61</v>
      </c>
      <c r="I126" s="3" t="s">
        <v>116</v>
      </c>
      <c r="J126" s="3" t="s">
        <v>70</v>
      </c>
      <c r="K126" s="3" t="s">
        <v>237</v>
      </c>
      <c r="L126" s="3" t="s">
        <v>238</v>
      </c>
      <c r="M126" s="3" t="s">
        <v>94</v>
      </c>
      <c r="N126" s="3" t="s">
        <v>102</v>
      </c>
      <c r="O126" s="3" t="s">
        <v>726</v>
      </c>
      <c r="P126" s="3" t="s">
        <v>75</v>
      </c>
      <c r="Q126" s="3">
        <v>9</v>
      </c>
      <c r="R126" s="3">
        <v>465.06</v>
      </c>
      <c r="S126" s="3">
        <v>-0.15</v>
      </c>
      <c r="T126" s="3">
        <v>4185.54</v>
      </c>
      <c r="U126" s="3">
        <v>3443.74</v>
      </c>
      <c r="V126" s="3">
        <v>741.8</v>
      </c>
      <c r="W126" s="3" t="s">
        <v>42</v>
      </c>
      <c r="X126" s="3" t="s">
        <v>43</v>
      </c>
      <c r="Y126" s="2" t="str">
        <f t="shared" si="3"/>
        <v>Unique</v>
      </c>
      <c r="AA126" s="2" t="str">
        <f t="shared" si="4"/>
        <v>Invalid</v>
      </c>
      <c r="AB126" s="2" t="str">
        <f t="shared" si="5"/>
        <v>valid</v>
      </c>
      <c r="AC126">
        <f t="shared" si="13"/>
        <v>-0.15</v>
      </c>
      <c r="AD126">
        <f t="shared" si="14"/>
        <v>4813.3709999999992</v>
      </c>
      <c r="AE126">
        <f t="shared" si="15"/>
        <v>1369.6309999999994</v>
      </c>
      <c r="AF126">
        <f t="shared" si="16"/>
        <v>0.28454715001191466</v>
      </c>
      <c r="AG126" t="str">
        <f t="shared" si="17"/>
        <v>July</v>
      </c>
      <c r="AH126">
        <f t="shared" si="18"/>
        <v>2024</v>
      </c>
      <c r="AI126" t="str">
        <f t="shared" si="19"/>
        <v>Invalid</v>
      </c>
    </row>
    <row r="127" spans="1:35" ht="15.75" customHeight="1">
      <c r="A127" s="3" t="s">
        <v>727</v>
      </c>
      <c r="B127" s="3" t="s">
        <v>728</v>
      </c>
      <c r="C127" s="3" t="s">
        <v>729</v>
      </c>
      <c r="D127" s="3" t="str">
        <f t="shared" si="0"/>
        <v>18-Jul-2025</v>
      </c>
      <c r="E127" s="3" t="str">
        <f t="shared" si="1"/>
        <v>17-Jul-2025</v>
      </c>
      <c r="F127" s="3">
        <f t="shared" si="2"/>
        <v>1</v>
      </c>
      <c r="G127" s="3" t="s">
        <v>730</v>
      </c>
      <c r="H127" s="3" t="s">
        <v>101</v>
      </c>
      <c r="I127" s="3" t="s">
        <v>49</v>
      </c>
      <c r="J127" s="3" t="s">
        <v>81</v>
      </c>
      <c r="K127" s="3" t="s">
        <v>36</v>
      </c>
      <c r="L127" s="3" t="s">
        <v>143</v>
      </c>
      <c r="M127" s="3" t="s">
        <v>53</v>
      </c>
      <c r="N127" s="3" t="s">
        <v>54</v>
      </c>
      <c r="O127" s="3" t="s">
        <v>731</v>
      </c>
      <c r="P127" s="3" t="s">
        <v>56</v>
      </c>
      <c r="Q127" s="3">
        <v>6</v>
      </c>
      <c r="R127" s="3">
        <v>3235.27</v>
      </c>
      <c r="S127" s="3">
        <v>0.25</v>
      </c>
      <c r="T127" s="3">
        <v>14558.72</v>
      </c>
      <c r="U127" s="3">
        <v>9591.48</v>
      </c>
      <c r="V127" s="3">
        <v>4967.24</v>
      </c>
      <c r="W127" s="3" t="s">
        <v>132</v>
      </c>
      <c r="X127" s="3" t="s">
        <v>133</v>
      </c>
      <c r="Y127" s="2" t="str">
        <f t="shared" si="3"/>
        <v>Unique</v>
      </c>
      <c r="AA127" s="2" t="str">
        <f t="shared" si="4"/>
        <v>Clean</v>
      </c>
      <c r="AB127" s="2" t="str">
        <f t="shared" si="5"/>
        <v>valid</v>
      </c>
      <c r="AC127">
        <f t="shared" si="13"/>
        <v>0.25</v>
      </c>
      <c r="AD127">
        <f t="shared" si="14"/>
        <v>14558.715</v>
      </c>
      <c r="AE127">
        <f t="shared" si="15"/>
        <v>4967.2350000000006</v>
      </c>
      <c r="AF127">
        <f t="shared" si="16"/>
        <v>0.34118636157105903</v>
      </c>
      <c r="AG127" t="str">
        <f t="shared" si="17"/>
        <v>July</v>
      </c>
      <c r="AH127">
        <f t="shared" si="18"/>
        <v>2025</v>
      </c>
      <c r="AI127" t="str">
        <f t="shared" si="19"/>
        <v>Clean</v>
      </c>
    </row>
    <row r="128" spans="1:35" ht="15.75" customHeight="1">
      <c r="A128" s="3" t="s">
        <v>732</v>
      </c>
      <c r="B128" s="3" t="s">
        <v>733</v>
      </c>
      <c r="C128" s="3" t="s">
        <v>734</v>
      </c>
      <c r="D128" s="3" t="str">
        <f t="shared" si="0"/>
        <v>26-Sep-2025</v>
      </c>
      <c r="E128" s="3" t="str">
        <f t="shared" si="1"/>
        <v>24-Sep-2025</v>
      </c>
      <c r="F128" s="3">
        <f t="shared" si="2"/>
        <v>2</v>
      </c>
      <c r="G128" s="3" t="s">
        <v>735</v>
      </c>
      <c r="H128" s="3" t="s">
        <v>150</v>
      </c>
      <c r="I128" s="3" t="s">
        <v>116</v>
      </c>
      <c r="J128" s="3" t="s">
        <v>35</v>
      </c>
      <c r="K128" s="3" t="s">
        <v>515</v>
      </c>
      <c r="L128" s="3" t="s">
        <v>516</v>
      </c>
      <c r="M128" s="3" t="s">
        <v>94</v>
      </c>
      <c r="N128" s="3" t="s">
        <v>102</v>
      </c>
      <c r="O128" s="3" t="s">
        <v>736</v>
      </c>
      <c r="P128" s="3" t="s">
        <v>75</v>
      </c>
      <c r="Q128" s="3">
        <v>3</v>
      </c>
      <c r="R128" s="3">
        <v>1593.86</v>
      </c>
      <c r="S128" s="3">
        <v>0.1</v>
      </c>
      <c r="T128" s="3">
        <v>4303.42</v>
      </c>
      <c r="U128" s="3">
        <v>2568.5700000000002</v>
      </c>
      <c r="V128" s="3">
        <v>1734.85</v>
      </c>
      <c r="W128" s="3" t="s">
        <v>42</v>
      </c>
      <c r="X128" s="3" t="s">
        <v>43</v>
      </c>
      <c r="Y128" s="2" t="str">
        <f t="shared" si="3"/>
        <v>Unique</v>
      </c>
      <c r="AA128" s="2" t="str">
        <f t="shared" si="4"/>
        <v>Clean</v>
      </c>
      <c r="AB128" s="2" t="str">
        <f t="shared" si="5"/>
        <v>valid</v>
      </c>
      <c r="AC128">
        <f t="shared" si="13"/>
        <v>0.1</v>
      </c>
      <c r="AD128">
        <f t="shared" si="14"/>
        <v>4303.4220000000005</v>
      </c>
      <c r="AE128">
        <f t="shared" si="15"/>
        <v>1734.8520000000003</v>
      </c>
      <c r="AF128">
        <f t="shared" si="16"/>
        <v>0.40313313451481175</v>
      </c>
      <c r="AG128" t="str">
        <f t="shared" si="17"/>
        <v>September</v>
      </c>
      <c r="AH128">
        <f t="shared" si="18"/>
        <v>2025</v>
      </c>
      <c r="AI128" t="str">
        <f t="shared" si="19"/>
        <v>Clean</v>
      </c>
    </row>
    <row r="129" spans="1:35" ht="15.75" customHeight="1">
      <c r="A129" s="3" t="s">
        <v>737</v>
      </c>
      <c r="B129" s="3" t="s">
        <v>199</v>
      </c>
      <c r="C129" s="3" t="s">
        <v>738</v>
      </c>
      <c r="D129" s="3" t="str">
        <f t="shared" si="0"/>
        <v>26-Jan-2025</v>
      </c>
      <c r="E129" s="3" t="str">
        <f t="shared" si="1"/>
        <v>30-Jan-2025</v>
      </c>
      <c r="F129" s="3">
        <f t="shared" si="2"/>
        <v>-4</v>
      </c>
      <c r="G129" s="3" t="s">
        <v>739</v>
      </c>
      <c r="H129" s="3" t="s">
        <v>150</v>
      </c>
      <c r="I129" s="3" t="s">
        <v>116</v>
      </c>
      <c r="J129" s="3" t="s">
        <v>81</v>
      </c>
      <c r="K129" s="3" t="s">
        <v>92</v>
      </c>
      <c r="L129" s="3" t="s">
        <v>93</v>
      </c>
      <c r="M129" s="3" t="s">
        <v>38</v>
      </c>
      <c r="N129" s="3" t="s">
        <v>164</v>
      </c>
      <c r="O129" s="3" t="s">
        <v>740</v>
      </c>
      <c r="P129" s="3" t="s">
        <v>41</v>
      </c>
      <c r="Q129" s="3">
        <v>2</v>
      </c>
      <c r="R129" s="3">
        <v>3039.3</v>
      </c>
      <c r="S129" s="3">
        <v>0.05</v>
      </c>
      <c r="T129" s="3">
        <v>5774.67</v>
      </c>
      <c r="U129" s="3">
        <v>3518.36</v>
      </c>
      <c r="V129" s="3">
        <v>2256.31</v>
      </c>
      <c r="W129" s="3" t="s">
        <v>42</v>
      </c>
      <c r="X129" s="3" t="s">
        <v>43</v>
      </c>
      <c r="Y129" s="2" t="str">
        <f t="shared" si="3"/>
        <v>Unique</v>
      </c>
      <c r="AA129" s="2" t="str">
        <f t="shared" si="4"/>
        <v>Clean</v>
      </c>
      <c r="AB129" s="2" t="str">
        <f t="shared" si="5"/>
        <v>Invalid</v>
      </c>
      <c r="AC129">
        <f t="shared" si="13"/>
        <v>0.05</v>
      </c>
      <c r="AD129">
        <f t="shared" si="14"/>
        <v>5774.67</v>
      </c>
      <c r="AE129">
        <f t="shared" si="15"/>
        <v>2256.31</v>
      </c>
      <c r="AF129">
        <f t="shared" si="16"/>
        <v>0.39072535746631409</v>
      </c>
      <c r="AG129" t="str">
        <f t="shared" si="17"/>
        <v>January</v>
      </c>
      <c r="AH129">
        <f t="shared" si="18"/>
        <v>2025</v>
      </c>
      <c r="AI129" t="str">
        <f t="shared" si="19"/>
        <v>Clean</v>
      </c>
    </row>
    <row r="130" spans="1:35" ht="15.75" customHeight="1">
      <c r="A130" s="3" t="s">
        <v>741</v>
      </c>
      <c r="B130" s="3" t="s">
        <v>742</v>
      </c>
      <c r="C130" s="3" t="s">
        <v>743</v>
      </c>
      <c r="D130" s="3" t="str">
        <f t="shared" si="0"/>
        <v>16-Dec-2024</v>
      </c>
      <c r="E130" s="3" t="str">
        <f t="shared" si="1"/>
        <v>13-Dec-2024</v>
      </c>
      <c r="F130" s="3">
        <f t="shared" si="2"/>
        <v>3</v>
      </c>
      <c r="G130" s="3" t="s">
        <v>744</v>
      </c>
      <c r="H130" s="3" t="s">
        <v>101</v>
      </c>
      <c r="I130" s="3" t="s">
        <v>49</v>
      </c>
      <c r="J130" s="3" t="s">
        <v>50</v>
      </c>
      <c r="K130" s="3" t="s">
        <v>51</v>
      </c>
      <c r="L130" s="3" t="s">
        <v>52</v>
      </c>
      <c r="M130" s="3" t="s">
        <v>53</v>
      </c>
      <c r="N130" s="3" t="s">
        <v>73</v>
      </c>
      <c r="O130" s="3" t="s">
        <v>745</v>
      </c>
      <c r="P130" s="3" t="s">
        <v>75</v>
      </c>
      <c r="Q130" s="3">
        <v>5</v>
      </c>
      <c r="R130" s="3">
        <v>923.45</v>
      </c>
      <c r="S130" s="3">
        <v>0.05</v>
      </c>
      <c r="T130" s="3">
        <v>4386.3900000000003</v>
      </c>
      <c r="U130" s="3">
        <v>3366.88</v>
      </c>
      <c r="V130" s="3">
        <v>1019.51</v>
      </c>
      <c r="W130" s="3" t="s">
        <v>42</v>
      </c>
      <c r="X130" s="3" t="s">
        <v>133</v>
      </c>
      <c r="Y130" s="2" t="str">
        <f t="shared" si="3"/>
        <v>Unique</v>
      </c>
      <c r="AA130" s="2" t="str">
        <f t="shared" si="4"/>
        <v>Clean</v>
      </c>
      <c r="AB130" s="2" t="str">
        <f t="shared" si="5"/>
        <v>valid</v>
      </c>
      <c r="AC130">
        <f t="shared" si="13"/>
        <v>0.05</v>
      </c>
      <c r="AD130">
        <f t="shared" si="14"/>
        <v>4386.3874999999998</v>
      </c>
      <c r="AE130">
        <f t="shared" si="15"/>
        <v>1019.5074999999997</v>
      </c>
      <c r="AF130">
        <f t="shared" si="16"/>
        <v>0.2324253158208206</v>
      </c>
      <c r="AG130" t="str">
        <f t="shared" si="17"/>
        <v>December</v>
      </c>
      <c r="AH130">
        <f t="shared" si="18"/>
        <v>2024</v>
      </c>
      <c r="AI130" t="str">
        <f t="shared" si="19"/>
        <v>Clean</v>
      </c>
    </row>
    <row r="131" spans="1:35" ht="15.75" customHeight="1">
      <c r="A131" s="3" t="s">
        <v>746</v>
      </c>
      <c r="B131" s="3" t="s">
        <v>415</v>
      </c>
      <c r="C131" s="3" t="s">
        <v>747</v>
      </c>
      <c r="D131" s="3" t="str">
        <f t="shared" si="0"/>
        <v>25-Jul-2024</v>
      </c>
      <c r="E131" s="3" t="str">
        <f t="shared" si="1"/>
        <v>19-Jul-2024</v>
      </c>
      <c r="F131" s="3">
        <f t="shared" si="2"/>
        <v>6</v>
      </c>
      <c r="G131" s="3" t="s">
        <v>748</v>
      </c>
      <c r="H131" s="3" t="s">
        <v>61</v>
      </c>
      <c r="I131" s="3" t="s">
        <v>49</v>
      </c>
      <c r="J131" s="3" t="s">
        <v>81</v>
      </c>
      <c r="K131" s="3" t="s">
        <v>257</v>
      </c>
      <c r="L131" s="3" t="s">
        <v>258</v>
      </c>
      <c r="M131" s="3" t="s">
        <v>38</v>
      </c>
      <c r="N131" s="3" t="s">
        <v>206</v>
      </c>
      <c r="O131" s="3" t="s">
        <v>749</v>
      </c>
      <c r="P131" s="3" t="s">
        <v>75</v>
      </c>
      <c r="Q131" s="3">
        <v>7</v>
      </c>
      <c r="R131" s="3">
        <v>2741.29</v>
      </c>
      <c r="S131" s="3">
        <v>0.05</v>
      </c>
      <c r="T131" s="3">
        <v>18229.580000000002</v>
      </c>
      <c r="U131" s="3">
        <v>15139.15</v>
      </c>
      <c r="V131" s="3">
        <v>3090.43</v>
      </c>
      <c r="W131" s="3" t="s">
        <v>42</v>
      </c>
      <c r="X131" s="3" t="s">
        <v>43</v>
      </c>
      <c r="Y131" s="2" t="str">
        <f t="shared" si="3"/>
        <v>Unique</v>
      </c>
      <c r="AA131" s="2" t="str">
        <f t="shared" si="4"/>
        <v>Clean</v>
      </c>
      <c r="AB131" s="2" t="str">
        <f t="shared" si="5"/>
        <v>valid</v>
      </c>
      <c r="AC131">
        <f t="shared" ref="AC131:AC194" si="20">IF(S131="",0,IF(S131&gt;1,S131/100,S131))</f>
        <v>0.05</v>
      </c>
      <c r="AD131">
        <f t="shared" ref="AD131:AD194" si="21">Q131*R131*(1-AC131)</f>
        <v>18229.5785</v>
      </c>
      <c r="AE131">
        <f t="shared" ref="AE131:AE194" si="22">AD131-U131</f>
        <v>3090.4285</v>
      </c>
      <c r="AF131">
        <f t="shared" ref="AF131:AF194" si="23">AE131/AD131</f>
        <v>0.16952824773211295</v>
      </c>
      <c r="AG131" t="str">
        <f t="shared" ref="AG131:AG194" si="24">TEXT(E131,"mmmm")</f>
        <v>July</v>
      </c>
      <c r="AH131">
        <f t="shared" ref="AH131:AH194" si="25">YEAR(E131)</f>
        <v>2024</v>
      </c>
      <c r="AI131" t="str">
        <f t="shared" ref="AI131:AI194" si="26">IF(OR(AC131&lt;0,AC131&gt;0.5,F131="Invalid Shipping Record"),"Invalid",
IF(OR(X131="Cancelled",W131="Failed"),"Warning","Clean"))</f>
        <v>Clean</v>
      </c>
    </row>
    <row r="132" spans="1:35" ht="15.75" customHeight="1">
      <c r="A132" s="3" t="s">
        <v>750</v>
      </c>
      <c r="B132" s="3" t="s">
        <v>751</v>
      </c>
      <c r="C132" s="3" t="s">
        <v>752</v>
      </c>
      <c r="D132" s="3" t="str">
        <f t="shared" si="0"/>
        <v>02-Feb-2024</v>
      </c>
      <c r="E132" s="3" t="str">
        <f t="shared" si="1"/>
        <v>27-Jan-2024</v>
      </c>
      <c r="F132" s="3">
        <f t="shared" si="2"/>
        <v>6</v>
      </c>
      <c r="G132" s="3" t="s">
        <v>753</v>
      </c>
      <c r="H132" s="3" t="s">
        <v>69</v>
      </c>
      <c r="I132" s="3" t="s">
        <v>34</v>
      </c>
      <c r="J132" s="3" t="s">
        <v>81</v>
      </c>
      <c r="K132" s="3" t="s">
        <v>243</v>
      </c>
      <c r="L132" s="3" t="s">
        <v>244</v>
      </c>
      <c r="M132" s="3" t="s">
        <v>38</v>
      </c>
      <c r="N132" s="3" t="s">
        <v>117</v>
      </c>
      <c r="O132" s="3" t="s">
        <v>754</v>
      </c>
      <c r="P132" s="3" t="s">
        <v>56</v>
      </c>
      <c r="Q132" s="3">
        <v>5</v>
      </c>
      <c r="R132" s="3">
        <v>218.42</v>
      </c>
      <c r="S132" s="3">
        <v>0.2</v>
      </c>
      <c r="T132" s="3">
        <v>873.68</v>
      </c>
      <c r="U132" s="3">
        <v>661.72</v>
      </c>
      <c r="V132" s="3">
        <v>211.96</v>
      </c>
      <c r="W132" s="3" t="s">
        <v>145</v>
      </c>
      <c r="X132" s="3" t="s">
        <v>86</v>
      </c>
      <c r="Y132" s="2" t="str">
        <f t="shared" si="3"/>
        <v>Unique</v>
      </c>
      <c r="AA132" s="2" t="str">
        <f t="shared" si="4"/>
        <v>Clean</v>
      </c>
      <c r="AB132" s="2" t="str">
        <f t="shared" si="5"/>
        <v>valid</v>
      </c>
      <c r="AC132">
        <f t="shared" si="20"/>
        <v>0.2</v>
      </c>
      <c r="AD132">
        <f t="shared" si="21"/>
        <v>873.68</v>
      </c>
      <c r="AE132">
        <f t="shared" si="22"/>
        <v>211.95999999999992</v>
      </c>
      <c r="AF132">
        <f t="shared" si="23"/>
        <v>0.24260598846259493</v>
      </c>
      <c r="AG132" t="str">
        <f t="shared" si="24"/>
        <v>January</v>
      </c>
      <c r="AH132">
        <f t="shared" si="25"/>
        <v>2024</v>
      </c>
      <c r="AI132" t="str">
        <f t="shared" si="26"/>
        <v>Warning</v>
      </c>
    </row>
    <row r="133" spans="1:35" ht="15.75" customHeight="1">
      <c r="A133" s="3" t="s">
        <v>755</v>
      </c>
      <c r="B133" s="3" t="s">
        <v>756</v>
      </c>
      <c r="C133" s="3" t="s">
        <v>757</v>
      </c>
      <c r="D133" s="3" t="str">
        <f t="shared" si="0"/>
        <v>04-Oct-2025</v>
      </c>
      <c r="E133" s="3" t="str">
        <f t="shared" si="1"/>
        <v>29-Sep-2025</v>
      </c>
      <c r="F133" s="3">
        <f t="shared" si="2"/>
        <v>5</v>
      </c>
      <c r="G133" s="3" t="s">
        <v>758</v>
      </c>
      <c r="H133" s="3" t="s">
        <v>80</v>
      </c>
      <c r="I133" s="3" t="s">
        <v>123</v>
      </c>
      <c r="J133" s="3" t="s">
        <v>50</v>
      </c>
      <c r="K133" s="3" t="s">
        <v>319</v>
      </c>
      <c r="L133" s="3" t="s">
        <v>320</v>
      </c>
      <c r="M133" s="3" t="s">
        <v>38</v>
      </c>
      <c r="N133" s="3" t="s">
        <v>39</v>
      </c>
      <c r="O133" s="3" t="s">
        <v>759</v>
      </c>
      <c r="P133" s="3" t="s">
        <v>56</v>
      </c>
      <c r="Q133" s="3">
        <v>9</v>
      </c>
      <c r="R133" s="3">
        <v>373.91</v>
      </c>
      <c r="S133" s="3">
        <v>0.2</v>
      </c>
      <c r="T133" s="3">
        <v>2692.15</v>
      </c>
      <c r="U133" s="3">
        <v>2044.49</v>
      </c>
      <c r="V133" s="3">
        <v>647.66</v>
      </c>
      <c r="W133" s="3" t="s">
        <v>42</v>
      </c>
      <c r="X133" s="3" t="s">
        <v>43</v>
      </c>
      <c r="Y133" s="2" t="str">
        <f t="shared" si="3"/>
        <v>Unique</v>
      </c>
      <c r="AA133" s="2" t="str">
        <f t="shared" si="4"/>
        <v>Clean</v>
      </c>
      <c r="AB133" s="2" t="str">
        <f t="shared" si="5"/>
        <v>valid</v>
      </c>
      <c r="AC133">
        <f t="shared" si="20"/>
        <v>0.2</v>
      </c>
      <c r="AD133">
        <f t="shared" si="21"/>
        <v>2692.152</v>
      </c>
      <c r="AE133">
        <f t="shared" si="22"/>
        <v>647.66200000000003</v>
      </c>
      <c r="AF133">
        <f t="shared" si="23"/>
        <v>0.24057408348414205</v>
      </c>
      <c r="AG133" t="str">
        <f t="shared" si="24"/>
        <v>September</v>
      </c>
      <c r="AH133">
        <f t="shared" si="25"/>
        <v>2025</v>
      </c>
      <c r="AI133" t="str">
        <f t="shared" si="26"/>
        <v>Clean</v>
      </c>
    </row>
    <row r="134" spans="1:35" ht="15.75" customHeight="1">
      <c r="A134" s="3" t="s">
        <v>760</v>
      </c>
      <c r="B134" s="3" t="s">
        <v>761</v>
      </c>
      <c r="C134" s="3" t="s">
        <v>761</v>
      </c>
      <c r="D134" s="3" t="str">
        <f t="shared" si="0"/>
        <v>04-Nov-2024</v>
      </c>
      <c r="E134" s="3" t="str">
        <f t="shared" si="1"/>
        <v>04-Nov-2024</v>
      </c>
      <c r="F134" s="3">
        <f t="shared" si="2"/>
        <v>0</v>
      </c>
      <c r="G134" s="3" t="s">
        <v>762</v>
      </c>
      <c r="H134" s="3" t="s">
        <v>375</v>
      </c>
      <c r="I134" s="3" t="s">
        <v>116</v>
      </c>
      <c r="J134" s="3" t="s">
        <v>50</v>
      </c>
      <c r="K134" s="3" t="s">
        <v>224</v>
      </c>
      <c r="L134" s="3" t="s">
        <v>225</v>
      </c>
      <c r="M134" s="3" t="s">
        <v>94</v>
      </c>
      <c r="N134" s="3" t="s">
        <v>391</v>
      </c>
      <c r="O134" s="3" t="s">
        <v>763</v>
      </c>
      <c r="P134" s="3" t="s">
        <v>64</v>
      </c>
      <c r="Q134" s="3">
        <v>2</v>
      </c>
      <c r="R134" s="3">
        <v>533.08000000000004</v>
      </c>
      <c r="S134" s="3">
        <v>0</v>
      </c>
      <c r="T134" s="3">
        <v>1066.1600000000001</v>
      </c>
      <c r="U134" s="3">
        <v>656.3</v>
      </c>
      <c r="V134" s="3">
        <v>409.86</v>
      </c>
      <c r="W134" s="3" t="s">
        <v>208</v>
      </c>
      <c r="X134" s="3" t="s">
        <v>86</v>
      </c>
      <c r="Y134" s="2" t="str">
        <f t="shared" si="3"/>
        <v>Unique</v>
      </c>
      <c r="AA134" s="2" t="str">
        <f t="shared" si="4"/>
        <v>Clean</v>
      </c>
      <c r="AB134" s="2" t="str">
        <f t="shared" si="5"/>
        <v>valid</v>
      </c>
      <c r="AC134">
        <f t="shared" si="20"/>
        <v>0</v>
      </c>
      <c r="AD134">
        <f t="shared" si="21"/>
        <v>1066.1600000000001</v>
      </c>
      <c r="AE134">
        <f t="shared" si="22"/>
        <v>409.86000000000013</v>
      </c>
      <c r="AF134">
        <f t="shared" si="23"/>
        <v>0.38442635251744589</v>
      </c>
      <c r="AG134" t="str">
        <f t="shared" si="24"/>
        <v>November</v>
      </c>
      <c r="AH134">
        <f t="shared" si="25"/>
        <v>2024</v>
      </c>
      <c r="AI134" t="str">
        <f t="shared" si="26"/>
        <v>Warning</v>
      </c>
    </row>
    <row r="135" spans="1:35" ht="15.75" customHeight="1">
      <c r="A135" s="3" t="s">
        <v>764</v>
      </c>
      <c r="B135" s="3" t="s">
        <v>765</v>
      </c>
      <c r="C135" s="3" t="s">
        <v>766</v>
      </c>
      <c r="D135" s="3" t="str">
        <f t="shared" si="0"/>
        <v>18-Dec-2024</v>
      </c>
      <c r="E135" s="3" t="str">
        <f t="shared" si="1"/>
        <v>13-Dec-2024</v>
      </c>
      <c r="F135" s="3">
        <f t="shared" si="2"/>
        <v>5</v>
      </c>
      <c r="G135" s="3" t="s">
        <v>767</v>
      </c>
      <c r="H135" s="3" t="s">
        <v>33</v>
      </c>
      <c r="I135" s="3" t="s">
        <v>34</v>
      </c>
      <c r="J135" s="3" t="s">
        <v>81</v>
      </c>
      <c r="K135" s="3" t="s">
        <v>257</v>
      </c>
      <c r="L135" s="3" t="s">
        <v>258</v>
      </c>
      <c r="M135" s="3" t="s">
        <v>94</v>
      </c>
      <c r="N135" s="3" t="s">
        <v>231</v>
      </c>
      <c r="O135" s="3" t="s">
        <v>768</v>
      </c>
      <c r="P135" s="3" t="s">
        <v>41</v>
      </c>
      <c r="Q135" s="3">
        <v>8</v>
      </c>
      <c r="R135" s="3">
        <v>3372.15</v>
      </c>
      <c r="S135" s="3">
        <v>0.15</v>
      </c>
      <c r="T135" s="3">
        <v>22930.62</v>
      </c>
      <c r="U135" s="3">
        <v>16875.55</v>
      </c>
      <c r="V135" s="3">
        <v>6055.07</v>
      </c>
      <c r="W135" s="3" t="s">
        <v>42</v>
      </c>
      <c r="X135" s="3" t="s">
        <v>43</v>
      </c>
      <c r="Y135" s="2" t="str">
        <f t="shared" si="3"/>
        <v>Unique</v>
      </c>
      <c r="AA135" s="2" t="str">
        <f t="shared" si="4"/>
        <v>Clean</v>
      </c>
      <c r="AB135" s="2" t="str">
        <f t="shared" si="5"/>
        <v>valid</v>
      </c>
      <c r="AC135">
        <f t="shared" si="20"/>
        <v>0.15</v>
      </c>
      <c r="AD135">
        <f t="shared" si="21"/>
        <v>22930.62</v>
      </c>
      <c r="AE135">
        <f t="shared" si="22"/>
        <v>6055.07</v>
      </c>
      <c r="AF135">
        <f t="shared" si="23"/>
        <v>0.26406045715292475</v>
      </c>
      <c r="AG135" t="str">
        <f t="shared" si="24"/>
        <v>December</v>
      </c>
      <c r="AH135">
        <f t="shared" si="25"/>
        <v>2024</v>
      </c>
      <c r="AI135" t="str">
        <f t="shared" si="26"/>
        <v>Clean</v>
      </c>
    </row>
    <row r="136" spans="1:35" ht="15.75" customHeight="1">
      <c r="A136" s="3" t="s">
        <v>769</v>
      </c>
      <c r="B136" s="3" t="s">
        <v>770</v>
      </c>
      <c r="C136" s="3" t="s">
        <v>771</v>
      </c>
      <c r="D136" s="3" t="str">
        <f t="shared" si="0"/>
        <v>14-Jul-2025</v>
      </c>
      <c r="E136" s="3" t="str">
        <f t="shared" si="1"/>
        <v>14-Jul-2025</v>
      </c>
      <c r="F136" s="3">
        <f t="shared" si="2"/>
        <v>0</v>
      </c>
      <c r="G136" s="3" t="s">
        <v>772</v>
      </c>
      <c r="H136" s="3" t="s">
        <v>91</v>
      </c>
      <c r="I136" s="3" t="s">
        <v>123</v>
      </c>
      <c r="J136" s="3" t="s">
        <v>50</v>
      </c>
      <c r="K136" s="3" t="s">
        <v>129</v>
      </c>
      <c r="L136" s="3" t="s">
        <v>130</v>
      </c>
      <c r="M136" s="3" t="s">
        <v>53</v>
      </c>
      <c r="N136" s="3" t="s">
        <v>212</v>
      </c>
      <c r="O136" s="3" t="s">
        <v>773</v>
      </c>
      <c r="P136" s="3" t="s">
        <v>280</v>
      </c>
      <c r="Q136" s="3">
        <v>5</v>
      </c>
      <c r="R136" s="3">
        <v>383.1</v>
      </c>
      <c r="S136" s="3">
        <v>0.25</v>
      </c>
      <c r="T136" s="3">
        <v>1436.62</v>
      </c>
      <c r="U136" s="3">
        <v>912.52</v>
      </c>
      <c r="V136" s="3">
        <v>524.1</v>
      </c>
      <c r="W136" s="3" t="s">
        <v>145</v>
      </c>
      <c r="X136" s="3" t="s">
        <v>86</v>
      </c>
      <c r="Y136" s="2" t="str">
        <f t="shared" si="3"/>
        <v>Unique</v>
      </c>
      <c r="AA136" s="2" t="str">
        <f t="shared" si="4"/>
        <v>Clean</v>
      </c>
      <c r="AB136" s="2" t="str">
        <f t="shared" si="5"/>
        <v>valid</v>
      </c>
      <c r="AC136">
        <f t="shared" si="20"/>
        <v>0.25</v>
      </c>
      <c r="AD136">
        <f t="shared" si="21"/>
        <v>1436.625</v>
      </c>
      <c r="AE136">
        <f t="shared" si="22"/>
        <v>524.10500000000002</v>
      </c>
      <c r="AF136">
        <f t="shared" si="23"/>
        <v>0.36481684503610895</v>
      </c>
      <c r="AG136" t="str">
        <f t="shared" si="24"/>
        <v>July</v>
      </c>
      <c r="AH136">
        <f t="shared" si="25"/>
        <v>2025</v>
      </c>
      <c r="AI136" t="str">
        <f t="shared" si="26"/>
        <v>Warning</v>
      </c>
    </row>
    <row r="137" spans="1:35" ht="15.75" customHeight="1">
      <c r="A137" s="3" t="s">
        <v>774</v>
      </c>
      <c r="B137" s="3" t="s">
        <v>775</v>
      </c>
      <c r="C137" s="3" t="s">
        <v>775</v>
      </c>
      <c r="D137" s="3" t="str">
        <f t="shared" si="0"/>
        <v>24-Aug-2025</v>
      </c>
      <c r="E137" s="3" t="str">
        <f t="shared" si="1"/>
        <v>24-Aug-2025</v>
      </c>
      <c r="F137" s="3">
        <f t="shared" si="2"/>
        <v>0</v>
      </c>
      <c r="G137" s="3" t="s">
        <v>776</v>
      </c>
      <c r="H137" s="3" t="s">
        <v>218</v>
      </c>
      <c r="I137" s="3" t="s">
        <v>49</v>
      </c>
      <c r="J137" s="3" t="s">
        <v>70</v>
      </c>
      <c r="K137" s="3" t="s">
        <v>250</v>
      </c>
      <c r="L137" s="3" t="s">
        <v>251</v>
      </c>
      <c r="M137" s="3" t="s">
        <v>53</v>
      </c>
      <c r="N137" s="3" t="s">
        <v>212</v>
      </c>
      <c r="O137" s="3" t="s">
        <v>777</v>
      </c>
      <c r="P137" s="3" t="s">
        <v>75</v>
      </c>
      <c r="Q137" s="3">
        <v>1</v>
      </c>
      <c r="R137" s="3">
        <v>3424.78</v>
      </c>
      <c r="S137" s="3">
        <v>0</v>
      </c>
      <c r="T137" s="3">
        <v>3424.78</v>
      </c>
      <c r="U137" s="3">
        <v>1951.45</v>
      </c>
      <c r="V137" s="3">
        <v>1473.33</v>
      </c>
      <c r="W137" s="3" t="s">
        <v>42</v>
      </c>
      <c r="X137" s="3" t="s">
        <v>43</v>
      </c>
      <c r="Y137" s="2" t="str">
        <f t="shared" si="3"/>
        <v>Unique</v>
      </c>
      <c r="AA137" s="2" t="str">
        <f t="shared" si="4"/>
        <v>Clean</v>
      </c>
      <c r="AB137" s="2" t="str">
        <f t="shared" si="5"/>
        <v>valid</v>
      </c>
      <c r="AC137">
        <f t="shared" si="20"/>
        <v>0</v>
      </c>
      <c r="AD137">
        <f t="shared" si="21"/>
        <v>3424.78</v>
      </c>
      <c r="AE137">
        <f t="shared" si="22"/>
        <v>1473.3300000000002</v>
      </c>
      <c r="AF137">
        <f t="shared" si="23"/>
        <v>0.43019697615613267</v>
      </c>
      <c r="AG137" t="str">
        <f t="shared" si="24"/>
        <v>August</v>
      </c>
      <c r="AH137">
        <f t="shared" si="25"/>
        <v>2025</v>
      </c>
      <c r="AI137" t="str">
        <f t="shared" si="26"/>
        <v>Clean</v>
      </c>
    </row>
    <row r="138" spans="1:35" ht="15.75" customHeight="1">
      <c r="A138" s="3" t="s">
        <v>778</v>
      </c>
      <c r="B138" s="3" t="s">
        <v>779</v>
      </c>
      <c r="C138" s="3" t="s">
        <v>780</v>
      </c>
      <c r="D138" s="3" t="str">
        <f t="shared" si="0"/>
        <v>15-Feb-2025</v>
      </c>
      <c r="E138" s="3" t="str">
        <f t="shared" si="1"/>
        <v>09-Feb-2025</v>
      </c>
      <c r="F138" s="3">
        <f t="shared" si="2"/>
        <v>6</v>
      </c>
      <c r="G138" s="3" t="s">
        <v>781</v>
      </c>
      <c r="H138" s="3" t="s">
        <v>48</v>
      </c>
      <c r="I138" s="3" t="s">
        <v>123</v>
      </c>
      <c r="J138" s="3" t="s">
        <v>50</v>
      </c>
      <c r="K138" s="3" t="s">
        <v>319</v>
      </c>
      <c r="L138" s="3" t="s">
        <v>320</v>
      </c>
      <c r="M138" s="3" t="s">
        <v>38</v>
      </c>
      <c r="N138" s="3" t="s">
        <v>206</v>
      </c>
      <c r="O138" s="3" t="s">
        <v>782</v>
      </c>
      <c r="P138" s="3" t="s">
        <v>75</v>
      </c>
      <c r="Q138" s="3">
        <v>9</v>
      </c>
      <c r="R138" s="3">
        <v>4330.33</v>
      </c>
      <c r="S138" s="3">
        <v>0.2</v>
      </c>
      <c r="T138" s="3">
        <v>31178.38</v>
      </c>
      <c r="U138" s="3">
        <v>21421.09</v>
      </c>
      <c r="V138" s="3">
        <v>9757.2900000000009</v>
      </c>
      <c r="W138" s="3" t="s">
        <v>42</v>
      </c>
      <c r="X138" s="3" t="s">
        <v>43</v>
      </c>
      <c r="Y138" s="2" t="str">
        <f t="shared" si="3"/>
        <v>Unique</v>
      </c>
      <c r="AA138" s="2" t="str">
        <f t="shared" si="4"/>
        <v>Clean</v>
      </c>
      <c r="AB138" s="2" t="str">
        <f t="shared" si="5"/>
        <v>valid</v>
      </c>
      <c r="AC138">
        <f t="shared" si="20"/>
        <v>0.2</v>
      </c>
      <c r="AD138">
        <f t="shared" si="21"/>
        <v>31178.376000000004</v>
      </c>
      <c r="AE138">
        <f t="shared" si="22"/>
        <v>9757.2860000000037</v>
      </c>
      <c r="AF138">
        <f t="shared" si="23"/>
        <v>0.31295042435821552</v>
      </c>
      <c r="AG138" t="str">
        <f t="shared" si="24"/>
        <v>February</v>
      </c>
      <c r="AH138">
        <f t="shared" si="25"/>
        <v>2025</v>
      </c>
      <c r="AI138" t="str">
        <f t="shared" si="26"/>
        <v>Clean</v>
      </c>
    </row>
    <row r="139" spans="1:35" ht="15.75" customHeight="1">
      <c r="A139" s="3" t="s">
        <v>783</v>
      </c>
      <c r="B139" s="3" t="s">
        <v>784</v>
      </c>
      <c r="C139" s="3" t="s">
        <v>785</v>
      </c>
      <c r="D139" s="3" t="str">
        <f t="shared" si="0"/>
        <v>09-Jan-2025</v>
      </c>
      <c r="E139" s="3" t="str">
        <f t="shared" si="1"/>
        <v>01-Sep-2025</v>
      </c>
      <c r="F139" s="3">
        <f t="shared" si="2"/>
        <v>-235</v>
      </c>
      <c r="G139" s="3" t="s">
        <v>786</v>
      </c>
      <c r="H139" s="3" t="s">
        <v>176</v>
      </c>
      <c r="I139" s="3" t="s">
        <v>49</v>
      </c>
      <c r="J139" s="3" t="s">
        <v>35</v>
      </c>
      <c r="K139" s="3" t="s">
        <v>36</v>
      </c>
      <c r="L139" s="3" t="s">
        <v>37</v>
      </c>
      <c r="M139" s="3" t="s">
        <v>53</v>
      </c>
      <c r="N139" s="3" t="s">
        <v>84</v>
      </c>
      <c r="O139" s="3" t="s">
        <v>787</v>
      </c>
      <c r="P139" s="3" t="s">
        <v>56</v>
      </c>
      <c r="Q139" s="3">
        <v>8</v>
      </c>
      <c r="R139" s="3">
        <v>2667.07</v>
      </c>
      <c r="S139" s="3">
        <v>0.1</v>
      </c>
      <c r="T139" s="3">
        <v>19202.900000000001</v>
      </c>
      <c r="U139" s="3">
        <v>15526.62</v>
      </c>
      <c r="V139" s="3">
        <v>3676.28</v>
      </c>
      <c r="W139" s="3" t="s">
        <v>42</v>
      </c>
      <c r="X139" s="3" t="s">
        <v>43</v>
      </c>
      <c r="Y139" s="2" t="str">
        <f t="shared" si="3"/>
        <v>Unique</v>
      </c>
      <c r="AA139" s="2" t="str">
        <f t="shared" si="4"/>
        <v>Clean</v>
      </c>
      <c r="AB139" s="2" t="str">
        <f t="shared" si="5"/>
        <v>Invalid</v>
      </c>
      <c r="AC139">
        <f t="shared" si="20"/>
        <v>0.1</v>
      </c>
      <c r="AD139">
        <f t="shared" si="21"/>
        <v>19202.904000000002</v>
      </c>
      <c r="AE139">
        <f t="shared" si="22"/>
        <v>3676.2840000000015</v>
      </c>
      <c r="AF139">
        <f t="shared" si="23"/>
        <v>0.19144416906942829</v>
      </c>
      <c r="AG139" t="str">
        <f t="shared" si="24"/>
        <v>September</v>
      </c>
      <c r="AH139">
        <f t="shared" si="25"/>
        <v>2025</v>
      </c>
      <c r="AI139" t="str">
        <f t="shared" si="26"/>
        <v>Clean</v>
      </c>
    </row>
    <row r="140" spans="1:35" ht="15.75" customHeight="1">
      <c r="A140" s="3" t="s">
        <v>788</v>
      </c>
      <c r="B140" s="3" t="s">
        <v>789</v>
      </c>
      <c r="C140" s="3" t="s">
        <v>790</v>
      </c>
      <c r="D140" s="3" t="str">
        <f t="shared" si="0"/>
        <v>26-Jan-2024</v>
      </c>
      <c r="E140" s="3" t="str">
        <f t="shared" si="1"/>
        <v>20-Jan-2024</v>
      </c>
      <c r="F140" s="3">
        <f t="shared" si="2"/>
        <v>6</v>
      </c>
      <c r="G140" s="3" t="s">
        <v>791</v>
      </c>
      <c r="H140" s="3" t="s">
        <v>218</v>
      </c>
      <c r="I140" s="3" t="s">
        <v>123</v>
      </c>
      <c r="J140" s="3" t="s">
        <v>50</v>
      </c>
      <c r="K140" s="3" t="s">
        <v>319</v>
      </c>
      <c r="L140" s="3" t="s">
        <v>320</v>
      </c>
      <c r="M140" s="3" t="s">
        <v>94</v>
      </c>
      <c r="N140" s="3" t="s">
        <v>391</v>
      </c>
      <c r="O140" s="3" t="s">
        <v>792</v>
      </c>
      <c r="P140" s="3" t="s">
        <v>75</v>
      </c>
      <c r="Q140" s="3">
        <v>8</v>
      </c>
      <c r="R140" s="3">
        <v>4003.05</v>
      </c>
      <c r="S140" s="3">
        <v>0.25</v>
      </c>
      <c r="T140" s="3">
        <v>24018.3</v>
      </c>
      <c r="U140" s="3">
        <v>14070.78</v>
      </c>
      <c r="V140" s="3">
        <v>9947.52</v>
      </c>
      <c r="W140" s="3" t="s">
        <v>42</v>
      </c>
      <c r="X140" s="3" t="s">
        <v>43</v>
      </c>
      <c r="Y140" s="2" t="str">
        <f t="shared" si="3"/>
        <v>Unique</v>
      </c>
      <c r="AA140" s="2" t="str">
        <f t="shared" si="4"/>
        <v>Clean</v>
      </c>
      <c r="AB140" s="2" t="str">
        <f t="shared" si="5"/>
        <v>valid</v>
      </c>
      <c r="AC140">
        <f t="shared" si="20"/>
        <v>0.25</v>
      </c>
      <c r="AD140">
        <f t="shared" si="21"/>
        <v>24018.300000000003</v>
      </c>
      <c r="AE140">
        <f t="shared" si="22"/>
        <v>9947.5200000000023</v>
      </c>
      <c r="AF140">
        <f t="shared" si="23"/>
        <v>0.41416419979765434</v>
      </c>
      <c r="AG140" t="str">
        <f t="shared" si="24"/>
        <v>January</v>
      </c>
      <c r="AH140">
        <f t="shared" si="25"/>
        <v>2024</v>
      </c>
      <c r="AI140" t="str">
        <f t="shared" si="26"/>
        <v>Clean</v>
      </c>
    </row>
    <row r="141" spans="1:35" ht="15.75" customHeight="1">
      <c r="A141" s="3" t="s">
        <v>793</v>
      </c>
      <c r="B141" s="3" t="s">
        <v>794</v>
      </c>
      <c r="C141" s="3" t="s">
        <v>795</v>
      </c>
      <c r="D141" s="3" t="str">
        <f t="shared" si="0"/>
        <v>07-Mar-2025</v>
      </c>
      <c r="E141" s="3" t="str">
        <f t="shared" si="1"/>
        <v>03-Feb-2025</v>
      </c>
      <c r="F141" s="3">
        <f t="shared" si="2"/>
        <v>32</v>
      </c>
      <c r="G141" s="3" t="s">
        <v>796</v>
      </c>
      <c r="H141" s="3" t="s">
        <v>101</v>
      </c>
      <c r="I141" s="3" t="s">
        <v>123</v>
      </c>
      <c r="J141" s="3" t="s">
        <v>70</v>
      </c>
      <c r="K141" s="3" t="s">
        <v>237</v>
      </c>
      <c r="L141" s="3" t="s">
        <v>238</v>
      </c>
      <c r="M141" s="3" t="s">
        <v>38</v>
      </c>
      <c r="N141" s="3" t="s">
        <v>117</v>
      </c>
      <c r="O141" s="3" t="s">
        <v>797</v>
      </c>
      <c r="P141" s="3" t="s">
        <v>75</v>
      </c>
      <c r="Q141" s="3">
        <v>8</v>
      </c>
      <c r="R141" s="3">
        <v>1287.6300000000001</v>
      </c>
      <c r="S141" s="3">
        <v>0</v>
      </c>
      <c r="T141" s="3">
        <v>10301.040000000001</v>
      </c>
      <c r="U141" s="3">
        <v>6564.06</v>
      </c>
      <c r="V141" s="3">
        <v>3736.98</v>
      </c>
      <c r="W141" s="3" t="s">
        <v>42</v>
      </c>
      <c r="X141" s="3" t="s">
        <v>43</v>
      </c>
      <c r="Y141" s="2" t="str">
        <f t="shared" si="3"/>
        <v>Unique</v>
      </c>
      <c r="AA141" s="2" t="str">
        <f t="shared" si="4"/>
        <v>Clean</v>
      </c>
      <c r="AB141" s="2" t="str">
        <f t="shared" si="5"/>
        <v>valid</v>
      </c>
      <c r="AC141">
        <f t="shared" si="20"/>
        <v>0</v>
      </c>
      <c r="AD141">
        <f t="shared" si="21"/>
        <v>10301.040000000001</v>
      </c>
      <c r="AE141">
        <f t="shared" si="22"/>
        <v>3736.9800000000005</v>
      </c>
      <c r="AF141">
        <f t="shared" si="23"/>
        <v>0.3627769623261341</v>
      </c>
      <c r="AG141" t="str">
        <f t="shared" si="24"/>
        <v>February</v>
      </c>
      <c r="AH141">
        <f t="shared" si="25"/>
        <v>2025</v>
      </c>
      <c r="AI141" t="str">
        <f t="shared" si="26"/>
        <v>Clean</v>
      </c>
    </row>
    <row r="142" spans="1:35" ht="15.75" customHeight="1">
      <c r="A142" s="3" t="s">
        <v>798</v>
      </c>
      <c r="B142" s="3" t="s">
        <v>799</v>
      </c>
      <c r="C142" s="3" t="s">
        <v>800</v>
      </c>
      <c r="D142" s="3" t="str">
        <f t="shared" si="0"/>
        <v>01-Jun-2024</v>
      </c>
      <c r="E142" s="3" t="str">
        <f t="shared" si="1"/>
        <v>31-May-2024</v>
      </c>
      <c r="F142" s="3">
        <f t="shared" si="2"/>
        <v>1</v>
      </c>
      <c r="G142" s="3" t="s">
        <v>801</v>
      </c>
      <c r="H142" s="3" t="s">
        <v>48</v>
      </c>
      <c r="I142" s="3" t="s">
        <v>116</v>
      </c>
      <c r="J142" s="3" t="s">
        <v>70</v>
      </c>
      <c r="K142" s="3" t="s">
        <v>237</v>
      </c>
      <c r="L142" s="3" t="s">
        <v>238</v>
      </c>
      <c r="M142" s="3" t="s">
        <v>53</v>
      </c>
      <c r="N142" s="3" t="s">
        <v>212</v>
      </c>
      <c r="O142" s="3" t="s">
        <v>802</v>
      </c>
      <c r="P142" s="3" t="s">
        <v>56</v>
      </c>
      <c r="Q142" s="3">
        <v>3</v>
      </c>
      <c r="R142" s="3">
        <v>2914.55</v>
      </c>
      <c r="S142" s="3">
        <v>0</v>
      </c>
      <c r="T142" s="3">
        <v>8743.65</v>
      </c>
      <c r="U142" s="3">
        <v>6603.76</v>
      </c>
      <c r="V142" s="3">
        <v>2139.89</v>
      </c>
      <c r="W142" s="3" t="s">
        <v>42</v>
      </c>
      <c r="X142" s="3" t="s">
        <v>43</v>
      </c>
      <c r="Y142" s="2" t="str">
        <f t="shared" si="3"/>
        <v>Unique</v>
      </c>
      <c r="AA142" s="2" t="str">
        <f t="shared" si="4"/>
        <v>Clean</v>
      </c>
      <c r="AB142" s="2" t="str">
        <f t="shared" si="5"/>
        <v>valid</v>
      </c>
      <c r="AC142">
        <f t="shared" si="20"/>
        <v>0</v>
      </c>
      <c r="AD142">
        <f t="shared" si="21"/>
        <v>8743.6500000000015</v>
      </c>
      <c r="AE142">
        <f t="shared" si="22"/>
        <v>2139.8900000000012</v>
      </c>
      <c r="AF142">
        <f t="shared" si="23"/>
        <v>0.24473646589239059</v>
      </c>
      <c r="AG142" t="str">
        <f t="shared" si="24"/>
        <v>May</v>
      </c>
      <c r="AH142">
        <f t="shared" si="25"/>
        <v>2024</v>
      </c>
      <c r="AI142" t="str">
        <f t="shared" si="26"/>
        <v>Clean</v>
      </c>
    </row>
    <row r="143" spans="1:35" ht="15.75" customHeight="1">
      <c r="A143" s="3" t="s">
        <v>803</v>
      </c>
      <c r="B143" s="3" t="s">
        <v>804</v>
      </c>
      <c r="C143" s="3" t="s">
        <v>805</v>
      </c>
      <c r="D143" s="3" t="str">
        <f t="shared" si="0"/>
        <v>29-Mar-2024</v>
      </c>
      <c r="E143" s="3" t="str">
        <f t="shared" si="1"/>
        <v>23-Mar-2024</v>
      </c>
      <c r="F143" s="3">
        <f t="shared" si="2"/>
        <v>6</v>
      </c>
      <c r="G143" s="3" t="s">
        <v>806</v>
      </c>
      <c r="H143" s="3" t="s">
        <v>150</v>
      </c>
      <c r="I143" s="3" t="s">
        <v>116</v>
      </c>
      <c r="J143" s="3" t="s">
        <v>35</v>
      </c>
      <c r="K143" s="3" t="s">
        <v>515</v>
      </c>
      <c r="L143" s="3" t="s">
        <v>516</v>
      </c>
      <c r="M143" s="3" t="s">
        <v>53</v>
      </c>
      <c r="N143" s="3" t="s">
        <v>212</v>
      </c>
      <c r="O143" s="3" t="s">
        <v>807</v>
      </c>
      <c r="P143" s="3" t="s">
        <v>56</v>
      </c>
      <c r="Q143" s="3">
        <v>7</v>
      </c>
      <c r="R143" s="3">
        <v>634.29</v>
      </c>
      <c r="S143" s="3">
        <v>0.1</v>
      </c>
      <c r="T143" s="3">
        <v>3996.03</v>
      </c>
      <c r="U143" s="3">
        <v>2859.51</v>
      </c>
      <c r="V143" s="3">
        <v>1136.52</v>
      </c>
      <c r="W143" s="3" t="s">
        <v>42</v>
      </c>
      <c r="X143" s="3" t="s">
        <v>133</v>
      </c>
      <c r="Y143" s="2" t="str">
        <f t="shared" si="3"/>
        <v>Unique</v>
      </c>
      <c r="AA143" s="2" t="str">
        <f t="shared" si="4"/>
        <v>Clean</v>
      </c>
      <c r="AB143" s="2" t="str">
        <f t="shared" si="5"/>
        <v>valid</v>
      </c>
      <c r="AC143">
        <f t="shared" si="20"/>
        <v>0.1</v>
      </c>
      <c r="AD143">
        <f t="shared" si="21"/>
        <v>3996.027</v>
      </c>
      <c r="AE143">
        <f t="shared" si="22"/>
        <v>1136.5169999999998</v>
      </c>
      <c r="AF143">
        <f t="shared" si="23"/>
        <v>0.28441174196270441</v>
      </c>
      <c r="AG143" t="str">
        <f t="shared" si="24"/>
        <v>March</v>
      </c>
      <c r="AH143">
        <f t="shared" si="25"/>
        <v>2024</v>
      </c>
      <c r="AI143" t="str">
        <f t="shared" si="26"/>
        <v>Clean</v>
      </c>
    </row>
    <row r="144" spans="1:35" ht="15.75" customHeight="1">
      <c r="A144" s="3" t="s">
        <v>808</v>
      </c>
      <c r="B144" s="3" t="s">
        <v>809</v>
      </c>
      <c r="C144" s="3" t="s">
        <v>810</v>
      </c>
      <c r="D144" s="3" t="str">
        <f t="shared" si="0"/>
        <v>26-Mar-2024</v>
      </c>
      <c r="E144" s="3" t="str">
        <f t="shared" si="1"/>
        <v>30-Mar-2024</v>
      </c>
      <c r="F144" s="3">
        <f t="shared" si="2"/>
        <v>-4</v>
      </c>
      <c r="G144" s="3" t="s">
        <v>811</v>
      </c>
      <c r="H144" s="3" t="s">
        <v>115</v>
      </c>
      <c r="I144" s="3" t="s">
        <v>123</v>
      </c>
      <c r="J144" s="3" t="s">
        <v>35</v>
      </c>
      <c r="K144" s="3" t="s">
        <v>36</v>
      </c>
      <c r="L144" s="3" t="s">
        <v>37</v>
      </c>
      <c r="M144" s="3" t="s">
        <v>94</v>
      </c>
      <c r="N144" s="3" t="s">
        <v>231</v>
      </c>
      <c r="O144" s="3" t="s">
        <v>812</v>
      </c>
      <c r="P144" s="3" t="s">
        <v>41</v>
      </c>
      <c r="Q144" s="3">
        <v>5</v>
      </c>
      <c r="R144" s="3">
        <v>907.54</v>
      </c>
      <c r="S144" s="3">
        <v>0.15</v>
      </c>
      <c r="T144" s="3">
        <v>3857.04</v>
      </c>
      <c r="U144" s="3">
        <v>2769.26</v>
      </c>
      <c r="V144" s="3">
        <v>1087.78</v>
      </c>
      <c r="W144" s="3" t="s">
        <v>42</v>
      </c>
      <c r="X144" s="3" t="s">
        <v>43</v>
      </c>
      <c r="Y144" s="2" t="str">
        <f t="shared" si="3"/>
        <v>Duplicate Order ID</v>
      </c>
      <c r="Z144" s="5" t="s">
        <v>722</v>
      </c>
      <c r="AA144" s="2" t="str">
        <f t="shared" si="4"/>
        <v>Clean</v>
      </c>
      <c r="AB144" s="2" t="str">
        <f t="shared" si="5"/>
        <v>Invalid</v>
      </c>
      <c r="AC144">
        <f t="shared" si="20"/>
        <v>0.15</v>
      </c>
      <c r="AD144">
        <f t="shared" si="21"/>
        <v>3857.0449999999996</v>
      </c>
      <c r="AE144">
        <f t="shared" si="22"/>
        <v>1087.7849999999994</v>
      </c>
      <c r="AF144">
        <f t="shared" si="23"/>
        <v>0.28202548842442843</v>
      </c>
      <c r="AG144" t="str">
        <f t="shared" si="24"/>
        <v>March</v>
      </c>
      <c r="AH144">
        <f t="shared" si="25"/>
        <v>2024</v>
      </c>
      <c r="AI144" t="str">
        <f t="shared" si="26"/>
        <v>Clean</v>
      </c>
    </row>
    <row r="145" spans="1:35" ht="15.75" customHeight="1">
      <c r="A145" s="3" t="s">
        <v>813</v>
      </c>
      <c r="B145" s="3" t="s">
        <v>551</v>
      </c>
      <c r="C145" s="3" t="s">
        <v>814</v>
      </c>
      <c r="D145" s="3" t="str">
        <f t="shared" si="0"/>
        <v>26-Mar-2024</v>
      </c>
      <c r="E145" s="3" t="str">
        <f t="shared" si="1"/>
        <v>24-Mar-2024</v>
      </c>
      <c r="F145" s="3">
        <f t="shared" si="2"/>
        <v>2</v>
      </c>
      <c r="G145" s="3" t="s">
        <v>815</v>
      </c>
      <c r="H145" s="3" t="s">
        <v>150</v>
      </c>
      <c r="I145" s="3" t="s">
        <v>34</v>
      </c>
      <c r="J145" s="3" t="s">
        <v>81</v>
      </c>
      <c r="K145" s="3" t="s">
        <v>243</v>
      </c>
      <c r="L145" s="3" t="s">
        <v>244</v>
      </c>
      <c r="M145" s="3" t="s">
        <v>38</v>
      </c>
      <c r="N145" s="3" t="s">
        <v>39</v>
      </c>
      <c r="O145" s="3" t="s">
        <v>816</v>
      </c>
      <c r="P145" s="3" t="s">
        <v>41</v>
      </c>
      <c r="Q145" s="3">
        <v>1</v>
      </c>
      <c r="R145" s="3">
        <v>3409.5</v>
      </c>
      <c r="S145" s="3">
        <v>0.1</v>
      </c>
      <c r="T145" s="3">
        <v>3068.55</v>
      </c>
      <c r="U145" s="3">
        <v>1916.16</v>
      </c>
      <c r="V145" s="3">
        <v>1152.3900000000001</v>
      </c>
      <c r="W145" s="3" t="s">
        <v>42</v>
      </c>
      <c r="X145" s="3" t="s">
        <v>133</v>
      </c>
      <c r="Y145" s="2" t="str">
        <f t="shared" si="3"/>
        <v>Unique</v>
      </c>
      <c r="AA145" s="2" t="str">
        <f t="shared" si="4"/>
        <v>Clean</v>
      </c>
      <c r="AB145" s="2" t="str">
        <f t="shared" si="5"/>
        <v>valid</v>
      </c>
      <c r="AC145">
        <f t="shared" si="20"/>
        <v>0.1</v>
      </c>
      <c r="AD145">
        <f t="shared" si="21"/>
        <v>3068.55</v>
      </c>
      <c r="AE145">
        <f t="shared" si="22"/>
        <v>1152.3900000000001</v>
      </c>
      <c r="AF145">
        <f t="shared" si="23"/>
        <v>0.3755487119323459</v>
      </c>
      <c r="AG145" t="str">
        <f t="shared" si="24"/>
        <v>March</v>
      </c>
      <c r="AH145">
        <f t="shared" si="25"/>
        <v>2024</v>
      </c>
      <c r="AI145" t="str">
        <f t="shared" si="26"/>
        <v>Clean</v>
      </c>
    </row>
    <row r="146" spans="1:35" ht="15.75" customHeight="1">
      <c r="A146" s="3" t="s">
        <v>817</v>
      </c>
      <c r="B146" s="3" t="s">
        <v>588</v>
      </c>
      <c r="C146" s="3" t="s">
        <v>818</v>
      </c>
      <c r="D146" s="3" t="str">
        <f t="shared" si="0"/>
        <v>15-Jun-2024</v>
      </c>
      <c r="E146" s="3" t="str">
        <f t="shared" si="1"/>
        <v>07-Jun-2024</v>
      </c>
      <c r="F146" s="3">
        <f t="shared" si="2"/>
        <v>8</v>
      </c>
      <c r="G146" s="3" t="s">
        <v>819</v>
      </c>
      <c r="H146" s="3" t="s">
        <v>375</v>
      </c>
      <c r="I146" s="3" t="s">
        <v>49</v>
      </c>
      <c r="J146" s="3" t="s">
        <v>70</v>
      </c>
      <c r="K146" s="3" t="s">
        <v>71</v>
      </c>
      <c r="L146" s="3" t="s">
        <v>72</v>
      </c>
      <c r="M146" s="3" t="s">
        <v>94</v>
      </c>
      <c r="N146" s="3" t="s">
        <v>95</v>
      </c>
      <c r="O146" s="3" t="s">
        <v>820</v>
      </c>
      <c r="P146" s="3" t="s">
        <v>64</v>
      </c>
      <c r="Q146" s="3">
        <v>7</v>
      </c>
      <c r="R146" s="3">
        <v>2147.9899999999998</v>
      </c>
      <c r="S146" s="3">
        <v>0.25</v>
      </c>
      <c r="T146" s="3">
        <v>11276.95</v>
      </c>
      <c r="U146" s="3">
        <v>6908.76</v>
      </c>
      <c r="V146" s="3">
        <v>4368.1899999999996</v>
      </c>
      <c r="W146" s="3" t="s">
        <v>132</v>
      </c>
      <c r="X146" s="3" t="s">
        <v>133</v>
      </c>
      <c r="Y146" s="2" t="str">
        <f t="shared" si="3"/>
        <v>Unique</v>
      </c>
      <c r="AA146" s="2" t="str">
        <f t="shared" si="4"/>
        <v>Clean</v>
      </c>
      <c r="AB146" s="2" t="str">
        <f t="shared" si="5"/>
        <v>valid</v>
      </c>
      <c r="AC146">
        <f t="shared" si="20"/>
        <v>0.25</v>
      </c>
      <c r="AD146">
        <f t="shared" si="21"/>
        <v>11276.947499999998</v>
      </c>
      <c r="AE146">
        <f t="shared" si="22"/>
        <v>4368.1874999999982</v>
      </c>
      <c r="AF146">
        <f t="shared" si="23"/>
        <v>0.38735548782150481</v>
      </c>
      <c r="AG146" t="str">
        <f t="shared" si="24"/>
        <v>June</v>
      </c>
      <c r="AH146">
        <f t="shared" si="25"/>
        <v>2024</v>
      </c>
      <c r="AI146" t="str">
        <f t="shared" si="26"/>
        <v>Clean</v>
      </c>
    </row>
    <row r="147" spans="1:35" ht="15.75" customHeight="1">
      <c r="A147" s="3" t="s">
        <v>821</v>
      </c>
      <c r="B147" s="3" t="s">
        <v>822</v>
      </c>
      <c r="C147" s="3" t="s">
        <v>823</v>
      </c>
      <c r="D147" s="3" t="str">
        <f t="shared" si="0"/>
        <v>13-Apr-2025</v>
      </c>
      <c r="E147" s="3" t="str">
        <f t="shared" si="1"/>
        <v>11-Apr-2025</v>
      </c>
      <c r="F147" s="3">
        <f t="shared" si="2"/>
        <v>2</v>
      </c>
      <c r="G147" s="3" t="s">
        <v>824</v>
      </c>
      <c r="H147" s="3" t="s">
        <v>48</v>
      </c>
      <c r="I147" s="3" t="s">
        <v>49</v>
      </c>
      <c r="J147" s="3" t="s">
        <v>81</v>
      </c>
      <c r="K147" s="3" t="s">
        <v>257</v>
      </c>
      <c r="L147" s="3" t="s">
        <v>258</v>
      </c>
      <c r="M147" s="3" t="s">
        <v>38</v>
      </c>
      <c r="N147" s="3" t="s">
        <v>39</v>
      </c>
      <c r="O147" s="3" t="s">
        <v>825</v>
      </c>
      <c r="P147" s="3" t="s">
        <v>75</v>
      </c>
      <c r="Q147" s="3">
        <v>4</v>
      </c>
      <c r="R147" s="3">
        <v>4182.1499999999996</v>
      </c>
      <c r="S147" s="3">
        <v>0.1</v>
      </c>
      <c r="T147" s="3">
        <v>15055.74</v>
      </c>
      <c r="U147" s="3">
        <v>9808.83</v>
      </c>
      <c r="V147" s="3">
        <v>5246.91</v>
      </c>
      <c r="W147" s="3" t="s">
        <v>42</v>
      </c>
      <c r="X147" s="3" t="s">
        <v>43</v>
      </c>
      <c r="Y147" s="2" t="str">
        <f t="shared" si="3"/>
        <v>Unique</v>
      </c>
      <c r="AA147" s="2" t="str">
        <f t="shared" si="4"/>
        <v>Clean</v>
      </c>
      <c r="AB147" s="2" t="str">
        <f t="shared" si="5"/>
        <v>valid</v>
      </c>
      <c r="AC147">
        <f t="shared" si="20"/>
        <v>0.1</v>
      </c>
      <c r="AD147">
        <f t="shared" si="21"/>
        <v>15055.74</v>
      </c>
      <c r="AE147">
        <f t="shared" si="22"/>
        <v>5246.91</v>
      </c>
      <c r="AF147">
        <f t="shared" si="23"/>
        <v>0.34849897779850075</v>
      </c>
      <c r="AG147" t="str">
        <f t="shared" si="24"/>
        <v>April</v>
      </c>
      <c r="AH147">
        <f t="shared" si="25"/>
        <v>2025</v>
      </c>
      <c r="AI147" t="str">
        <f t="shared" si="26"/>
        <v>Clean</v>
      </c>
    </row>
    <row r="148" spans="1:35" ht="15.75" customHeight="1">
      <c r="A148" s="3" t="s">
        <v>826</v>
      </c>
      <c r="B148" s="3" t="s">
        <v>827</v>
      </c>
      <c r="C148" s="3" t="s">
        <v>828</v>
      </c>
      <c r="D148" s="3" t="str">
        <f t="shared" si="0"/>
        <v>08-Jan-2025</v>
      </c>
      <c r="E148" s="3" t="str">
        <f t="shared" si="1"/>
        <v>30-Jul-2025</v>
      </c>
      <c r="F148" s="3">
        <f t="shared" si="2"/>
        <v>-203</v>
      </c>
      <c r="G148" s="3" t="s">
        <v>829</v>
      </c>
      <c r="H148" s="3" t="s">
        <v>176</v>
      </c>
      <c r="I148" s="3" t="s">
        <v>49</v>
      </c>
      <c r="J148" s="3" t="s">
        <v>70</v>
      </c>
      <c r="K148" s="3" t="s">
        <v>347</v>
      </c>
      <c r="L148" s="3" t="s">
        <v>348</v>
      </c>
      <c r="M148" s="3" t="s">
        <v>38</v>
      </c>
      <c r="N148" s="3" t="s">
        <v>164</v>
      </c>
      <c r="O148" s="3" t="s">
        <v>830</v>
      </c>
      <c r="P148" s="3" t="s">
        <v>56</v>
      </c>
      <c r="Q148" s="3">
        <v>9</v>
      </c>
      <c r="R148" s="3">
        <v>3165.43</v>
      </c>
      <c r="S148" s="3">
        <v>0.1</v>
      </c>
      <c r="T148" s="3">
        <v>25639.98</v>
      </c>
      <c r="U148" s="3">
        <v>21635.08</v>
      </c>
      <c r="V148" s="3">
        <v>4004.9</v>
      </c>
      <c r="W148" s="3" t="s">
        <v>42</v>
      </c>
      <c r="X148" s="3" t="s">
        <v>43</v>
      </c>
      <c r="Y148" s="2" t="str">
        <f t="shared" si="3"/>
        <v>Unique</v>
      </c>
      <c r="AA148" s="2" t="str">
        <f t="shared" si="4"/>
        <v>Clean</v>
      </c>
      <c r="AB148" s="2" t="str">
        <f t="shared" si="5"/>
        <v>Invalid</v>
      </c>
      <c r="AC148">
        <f t="shared" si="20"/>
        <v>0.1</v>
      </c>
      <c r="AD148">
        <f t="shared" si="21"/>
        <v>25639.983</v>
      </c>
      <c r="AE148">
        <f t="shared" si="22"/>
        <v>4004.9029999999984</v>
      </c>
      <c r="AF148">
        <f t="shared" si="23"/>
        <v>0.1561975684617263</v>
      </c>
      <c r="AG148" t="str">
        <f t="shared" si="24"/>
        <v>July</v>
      </c>
      <c r="AH148">
        <f t="shared" si="25"/>
        <v>2025</v>
      </c>
      <c r="AI148" t="str">
        <f t="shared" si="26"/>
        <v>Clean</v>
      </c>
    </row>
    <row r="149" spans="1:35" ht="15.75" customHeight="1">
      <c r="A149" s="3" t="s">
        <v>831</v>
      </c>
      <c r="B149" s="3" t="s">
        <v>832</v>
      </c>
      <c r="C149" s="3" t="s">
        <v>833</v>
      </c>
      <c r="D149" s="3" t="str">
        <f t="shared" si="0"/>
        <v>30-Dec-2024</v>
      </c>
      <c r="E149" s="3" t="str">
        <f t="shared" si="1"/>
        <v>23-Dec-2024</v>
      </c>
      <c r="F149" s="3">
        <f t="shared" si="2"/>
        <v>7</v>
      </c>
      <c r="G149" s="3" t="s">
        <v>834</v>
      </c>
      <c r="H149" s="3" t="s">
        <v>150</v>
      </c>
      <c r="I149" s="3" t="s">
        <v>123</v>
      </c>
      <c r="J149" s="3" t="s">
        <v>81</v>
      </c>
      <c r="K149" s="3" t="s">
        <v>257</v>
      </c>
      <c r="L149" s="3" t="s">
        <v>258</v>
      </c>
      <c r="M149" s="3" t="s">
        <v>53</v>
      </c>
      <c r="N149" s="3" t="s">
        <v>73</v>
      </c>
      <c r="O149" s="3" t="s">
        <v>835</v>
      </c>
      <c r="P149" s="3" t="s">
        <v>64</v>
      </c>
      <c r="Q149" s="3">
        <v>8</v>
      </c>
      <c r="R149" s="3">
        <v>386.1</v>
      </c>
      <c r="S149" s="3">
        <v>0.1</v>
      </c>
      <c r="T149" s="3">
        <v>2779.92</v>
      </c>
      <c r="U149" s="3">
        <v>1744.05</v>
      </c>
      <c r="V149" s="3">
        <v>1035.8699999999999</v>
      </c>
      <c r="W149" s="3" t="s">
        <v>42</v>
      </c>
      <c r="X149" s="3" t="s">
        <v>43</v>
      </c>
      <c r="Y149" s="2" t="str">
        <f t="shared" si="3"/>
        <v>Unique</v>
      </c>
      <c r="AA149" s="2" t="str">
        <f t="shared" si="4"/>
        <v>Clean</v>
      </c>
      <c r="AB149" s="2" t="str">
        <f t="shared" si="5"/>
        <v>valid</v>
      </c>
      <c r="AC149">
        <f t="shared" si="20"/>
        <v>0.1</v>
      </c>
      <c r="AD149">
        <f t="shared" si="21"/>
        <v>2779.92</v>
      </c>
      <c r="AE149">
        <f t="shared" si="22"/>
        <v>1035.8700000000001</v>
      </c>
      <c r="AF149">
        <f t="shared" si="23"/>
        <v>0.37262583095916435</v>
      </c>
      <c r="AG149" t="str">
        <f t="shared" si="24"/>
        <v>December</v>
      </c>
      <c r="AH149">
        <f t="shared" si="25"/>
        <v>2024</v>
      </c>
      <c r="AI149" t="str">
        <f t="shared" si="26"/>
        <v>Clean</v>
      </c>
    </row>
    <row r="150" spans="1:35" ht="15.75" customHeight="1">
      <c r="A150" s="3" t="s">
        <v>836</v>
      </c>
      <c r="B150" s="3" t="s">
        <v>837</v>
      </c>
      <c r="C150" s="3" t="s">
        <v>838</v>
      </c>
      <c r="D150" s="3" t="str">
        <f t="shared" si="0"/>
        <v>13-Feb-2025</v>
      </c>
      <c r="E150" s="3" t="str">
        <f t="shared" si="1"/>
        <v>09-Feb-2025</v>
      </c>
      <c r="F150" s="3">
        <f t="shared" si="2"/>
        <v>4</v>
      </c>
      <c r="G150" s="3" t="s">
        <v>839</v>
      </c>
      <c r="H150" s="3" t="s">
        <v>48</v>
      </c>
      <c r="I150" s="3" t="s">
        <v>123</v>
      </c>
      <c r="J150" s="3" t="s">
        <v>81</v>
      </c>
      <c r="K150" s="3" t="s">
        <v>92</v>
      </c>
      <c r="L150" s="3" t="s">
        <v>93</v>
      </c>
      <c r="M150" s="3" t="s">
        <v>94</v>
      </c>
      <c r="N150" s="3" t="s">
        <v>231</v>
      </c>
      <c r="O150" s="3" t="s">
        <v>840</v>
      </c>
      <c r="P150" s="3" t="s">
        <v>280</v>
      </c>
      <c r="Q150" s="3">
        <v>8</v>
      </c>
      <c r="R150" s="3">
        <v>1696.07</v>
      </c>
      <c r="S150" s="3">
        <v>0.25</v>
      </c>
      <c r="T150" s="3">
        <v>10176.42</v>
      </c>
      <c r="U150" s="3">
        <v>7604.47</v>
      </c>
      <c r="V150" s="3">
        <v>2571.9499999999998</v>
      </c>
      <c r="W150" s="3" t="s">
        <v>42</v>
      </c>
      <c r="X150" s="3" t="s">
        <v>43</v>
      </c>
      <c r="Y150" s="2" t="str">
        <f t="shared" si="3"/>
        <v>Unique</v>
      </c>
      <c r="AA150" s="2" t="str">
        <f t="shared" si="4"/>
        <v>Clean</v>
      </c>
      <c r="AB150" s="2" t="str">
        <f t="shared" si="5"/>
        <v>valid</v>
      </c>
      <c r="AC150">
        <f t="shared" si="20"/>
        <v>0.25</v>
      </c>
      <c r="AD150">
        <f t="shared" si="21"/>
        <v>10176.42</v>
      </c>
      <c r="AE150">
        <f t="shared" si="22"/>
        <v>2571.9499999999998</v>
      </c>
      <c r="AF150">
        <f t="shared" si="23"/>
        <v>0.252736227474888</v>
      </c>
      <c r="AG150" t="str">
        <f t="shared" si="24"/>
        <v>February</v>
      </c>
      <c r="AH150">
        <f t="shared" si="25"/>
        <v>2025</v>
      </c>
      <c r="AI150" t="str">
        <f t="shared" si="26"/>
        <v>Clean</v>
      </c>
    </row>
    <row r="151" spans="1:35" ht="15.75" customHeight="1">
      <c r="A151" s="3" t="s">
        <v>841</v>
      </c>
      <c r="B151" s="3" t="s">
        <v>842</v>
      </c>
      <c r="C151" s="3" t="s">
        <v>842</v>
      </c>
      <c r="D151" s="3" t="str">
        <f t="shared" si="0"/>
        <v>30-Jan-2024</v>
      </c>
      <c r="E151" s="3" t="str">
        <f t="shared" si="1"/>
        <v>30-Jan-2024</v>
      </c>
      <c r="F151" s="3">
        <f t="shared" si="2"/>
        <v>0</v>
      </c>
      <c r="G151" s="3" t="s">
        <v>843</v>
      </c>
      <c r="H151" s="3" t="s">
        <v>170</v>
      </c>
      <c r="I151" s="3" t="s">
        <v>49</v>
      </c>
      <c r="J151" s="3" t="s">
        <v>81</v>
      </c>
      <c r="K151" s="3" t="s">
        <v>36</v>
      </c>
      <c r="L151" s="3" t="s">
        <v>143</v>
      </c>
      <c r="M151" s="3" t="s">
        <v>94</v>
      </c>
      <c r="N151" s="3" t="s">
        <v>102</v>
      </c>
      <c r="O151" s="3" t="s">
        <v>844</v>
      </c>
      <c r="P151" s="3" t="s">
        <v>56</v>
      </c>
      <c r="Q151" s="3">
        <v>7</v>
      </c>
      <c r="R151" s="3">
        <v>2527.61</v>
      </c>
      <c r="S151" s="3">
        <v>0.25</v>
      </c>
      <c r="T151" s="3">
        <v>13269.95</v>
      </c>
      <c r="U151" s="3">
        <v>8977.1</v>
      </c>
      <c r="V151" s="3">
        <v>4292.8500000000004</v>
      </c>
      <c r="W151" s="3" t="s">
        <v>42</v>
      </c>
      <c r="X151" s="3" t="s">
        <v>43</v>
      </c>
      <c r="Y151" s="2" t="str">
        <f t="shared" si="3"/>
        <v>Unique</v>
      </c>
      <c r="AA151" s="2" t="str">
        <f t="shared" si="4"/>
        <v>Clean</v>
      </c>
      <c r="AB151" s="2" t="str">
        <f t="shared" si="5"/>
        <v>valid</v>
      </c>
      <c r="AC151">
        <f t="shared" si="20"/>
        <v>0.25</v>
      </c>
      <c r="AD151">
        <f t="shared" si="21"/>
        <v>13269.952499999999</v>
      </c>
      <c r="AE151">
        <f t="shared" si="22"/>
        <v>4292.8524999999991</v>
      </c>
      <c r="AF151">
        <f t="shared" si="23"/>
        <v>0.32350172315989822</v>
      </c>
      <c r="AG151" t="str">
        <f t="shared" si="24"/>
        <v>January</v>
      </c>
      <c r="AH151">
        <f t="shared" si="25"/>
        <v>2024</v>
      </c>
      <c r="AI151" t="str">
        <f t="shared" si="26"/>
        <v>Clean</v>
      </c>
    </row>
    <row r="152" spans="1:35" ht="15.75" customHeight="1">
      <c r="A152" s="3" t="s">
        <v>845</v>
      </c>
      <c r="B152" s="3" t="s">
        <v>846</v>
      </c>
      <c r="C152" s="3" t="s">
        <v>847</v>
      </c>
      <c r="D152" s="3" t="str">
        <f t="shared" si="0"/>
        <v>12-Mar-2024</v>
      </c>
      <c r="E152" s="3" t="str">
        <f t="shared" si="1"/>
        <v>04-Mar-2024</v>
      </c>
      <c r="F152" s="3">
        <f t="shared" si="2"/>
        <v>8</v>
      </c>
      <c r="G152" s="3" t="s">
        <v>848</v>
      </c>
      <c r="H152" s="3" t="s">
        <v>69</v>
      </c>
      <c r="I152" s="3" t="s">
        <v>34</v>
      </c>
      <c r="J152" s="3" t="s">
        <v>280</v>
      </c>
      <c r="K152" s="3" t="s">
        <v>243</v>
      </c>
      <c r="L152" s="3" t="s">
        <v>244</v>
      </c>
      <c r="M152" s="3" t="s">
        <v>53</v>
      </c>
      <c r="N152" s="3" t="s">
        <v>212</v>
      </c>
      <c r="O152" s="3" t="s">
        <v>849</v>
      </c>
      <c r="P152" s="3" t="s">
        <v>64</v>
      </c>
      <c r="Q152" s="3">
        <v>1</v>
      </c>
      <c r="R152" s="3">
        <v>1554.12</v>
      </c>
      <c r="S152" s="3">
        <v>0.1</v>
      </c>
      <c r="T152" s="3">
        <v>1398.71</v>
      </c>
      <c r="U152" s="3">
        <v>1056.92</v>
      </c>
      <c r="V152" s="3">
        <v>341.79</v>
      </c>
      <c r="W152" s="3" t="s">
        <v>42</v>
      </c>
      <c r="X152" s="3" t="s">
        <v>43</v>
      </c>
      <c r="Y152" s="2" t="str">
        <f t="shared" si="3"/>
        <v>Unique</v>
      </c>
      <c r="AA152" s="2" t="str">
        <f t="shared" si="4"/>
        <v>Clean</v>
      </c>
      <c r="AB152" s="2" t="str">
        <f t="shared" si="5"/>
        <v>valid</v>
      </c>
      <c r="AC152">
        <f t="shared" si="20"/>
        <v>0.1</v>
      </c>
      <c r="AD152">
        <f t="shared" si="21"/>
        <v>1398.7079999999999</v>
      </c>
      <c r="AE152">
        <f t="shared" si="22"/>
        <v>341.78799999999978</v>
      </c>
      <c r="AF152">
        <f t="shared" si="23"/>
        <v>0.24435979489643286</v>
      </c>
      <c r="AG152" t="str">
        <f t="shared" si="24"/>
        <v>March</v>
      </c>
      <c r="AH152">
        <f t="shared" si="25"/>
        <v>2024</v>
      </c>
      <c r="AI152" t="str">
        <f t="shared" si="26"/>
        <v>Clean</v>
      </c>
    </row>
    <row r="153" spans="1:35" ht="15.75" customHeight="1">
      <c r="A153" s="3" t="s">
        <v>850</v>
      </c>
      <c r="B153" s="3" t="s">
        <v>851</v>
      </c>
      <c r="C153" s="3" t="s">
        <v>852</v>
      </c>
      <c r="D153" s="3" t="str">
        <f t="shared" si="0"/>
        <v>27-Jun-2024</v>
      </c>
      <c r="E153" s="3" t="str">
        <f t="shared" si="1"/>
        <v>27-Jun-2024</v>
      </c>
      <c r="F153" s="3">
        <f t="shared" si="2"/>
        <v>0</v>
      </c>
      <c r="G153" s="3" t="s">
        <v>853</v>
      </c>
      <c r="H153" s="3" t="s">
        <v>101</v>
      </c>
      <c r="I153" s="3" t="s">
        <v>123</v>
      </c>
      <c r="J153" s="3" t="s">
        <v>280</v>
      </c>
      <c r="K153" s="3" t="s">
        <v>92</v>
      </c>
      <c r="L153" s="3" t="s">
        <v>93</v>
      </c>
      <c r="M153" s="3" t="s">
        <v>94</v>
      </c>
      <c r="N153" s="3" t="s">
        <v>102</v>
      </c>
      <c r="O153" s="3" t="s">
        <v>854</v>
      </c>
      <c r="P153" s="3" t="s">
        <v>75</v>
      </c>
      <c r="Q153" s="3">
        <v>2</v>
      </c>
      <c r="R153" s="3">
        <v>3859.11</v>
      </c>
      <c r="S153" s="3">
        <v>0</v>
      </c>
      <c r="T153" s="3">
        <v>7718.22</v>
      </c>
      <c r="U153" s="3">
        <v>5355.93</v>
      </c>
      <c r="V153" s="3">
        <v>2362.29</v>
      </c>
      <c r="W153" s="3" t="s">
        <v>145</v>
      </c>
      <c r="X153" s="3" t="s">
        <v>133</v>
      </c>
      <c r="Y153" s="2" t="str">
        <f t="shared" si="3"/>
        <v>Unique</v>
      </c>
      <c r="AA153" s="2" t="str">
        <f t="shared" si="4"/>
        <v>Clean</v>
      </c>
      <c r="AB153" s="2" t="str">
        <f t="shared" si="5"/>
        <v>valid</v>
      </c>
      <c r="AC153">
        <f t="shared" si="20"/>
        <v>0</v>
      </c>
      <c r="AD153">
        <f t="shared" si="21"/>
        <v>7718.22</v>
      </c>
      <c r="AE153">
        <f t="shared" si="22"/>
        <v>2362.29</v>
      </c>
      <c r="AF153">
        <f t="shared" si="23"/>
        <v>0.30606668376905555</v>
      </c>
      <c r="AG153" t="str">
        <f t="shared" si="24"/>
        <v>June</v>
      </c>
      <c r="AH153">
        <f t="shared" si="25"/>
        <v>2024</v>
      </c>
      <c r="AI153" t="str">
        <f t="shared" si="26"/>
        <v>Clean</v>
      </c>
    </row>
    <row r="154" spans="1:35" ht="15.75" customHeight="1">
      <c r="A154" s="3" t="s">
        <v>855</v>
      </c>
      <c r="B154" s="3" t="s">
        <v>856</v>
      </c>
      <c r="C154" s="3" t="s">
        <v>857</v>
      </c>
      <c r="D154" s="3" t="str">
        <f t="shared" si="0"/>
        <v>17-Jun-2024</v>
      </c>
      <c r="E154" s="3" t="str">
        <f t="shared" si="1"/>
        <v>14-Jun-2024</v>
      </c>
      <c r="F154" s="3">
        <f t="shared" si="2"/>
        <v>3</v>
      </c>
      <c r="G154" s="3" t="s">
        <v>858</v>
      </c>
      <c r="H154" s="3" t="s">
        <v>375</v>
      </c>
      <c r="I154" s="3" t="s">
        <v>49</v>
      </c>
      <c r="J154" s="3" t="s">
        <v>70</v>
      </c>
      <c r="K154" s="3" t="s">
        <v>250</v>
      </c>
      <c r="L154" s="3" t="s">
        <v>251</v>
      </c>
      <c r="M154" s="3" t="s">
        <v>53</v>
      </c>
      <c r="N154" s="3" t="s">
        <v>54</v>
      </c>
      <c r="O154" s="3" t="s">
        <v>859</v>
      </c>
      <c r="P154" s="3" t="s">
        <v>41</v>
      </c>
      <c r="Q154" s="3">
        <v>6</v>
      </c>
      <c r="R154" s="3">
        <v>1088.04</v>
      </c>
      <c r="S154" s="3">
        <v>0.1</v>
      </c>
      <c r="T154" s="3">
        <v>5875.42</v>
      </c>
      <c r="U154" s="3">
        <v>4380.55</v>
      </c>
      <c r="V154" s="3">
        <v>1494.87</v>
      </c>
      <c r="W154" s="3" t="s">
        <v>145</v>
      </c>
      <c r="X154" s="3" t="s">
        <v>133</v>
      </c>
      <c r="Y154" s="2" t="str">
        <f t="shared" si="3"/>
        <v>Unique</v>
      </c>
      <c r="AA154" s="2" t="str">
        <f t="shared" si="4"/>
        <v>Clean</v>
      </c>
      <c r="AB154" s="2" t="str">
        <f t="shared" si="5"/>
        <v>valid</v>
      </c>
      <c r="AC154">
        <f t="shared" si="20"/>
        <v>0.1</v>
      </c>
      <c r="AD154">
        <f t="shared" si="21"/>
        <v>5875.4160000000002</v>
      </c>
      <c r="AE154">
        <f t="shared" si="22"/>
        <v>1494.866</v>
      </c>
      <c r="AF154">
        <f t="shared" si="23"/>
        <v>0.25442726098032886</v>
      </c>
      <c r="AG154" t="str">
        <f t="shared" si="24"/>
        <v>June</v>
      </c>
      <c r="AH154">
        <f t="shared" si="25"/>
        <v>2024</v>
      </c>
      <c r="AI154" t="str">
        <f t="shared" si="26"/>
        <v>Clean</v>
      </c>
    </row>
    <row r="155" spans="1:35" ht="15.75" customHeight="1">
      <c r="A155" s="3" t="s">
        <v>860</v>
      </c>
      <c r="B155" s="3" t="s">
        <v>861</v>
      </c>
      <c r="C155" s="3" t="s">
        <v>862</v>
      </c>
      <c r="D155" s="3" t="str">
        <f t="shared" si="0"/>
        <v>25-Sep-2025</v>
      </c>
      <c r="E155" s="3" t="str">
        <f t="shared" si="1"/>
        <v>23-Sep-2025</v>
      </c>
      <c r="F155" s="3">
        <f t="shared" si="2"/>
        <v>2</v>
      </c>
      <c r="G155" s="3" t="s">
        <v>863</v>
      </c>
      <c r="H155" s="3" t="s">
        <v>115</v>
      </c>
      <c r="I155" s="3" t="s">
        <v>34</v>
      </c>
      <c r="J155" s="3" t="s">
        <v>50</v>
      </c>
      <c r="K155" s="3" t="s">
        <v>51</v>
      </c>
      <c r="L155" s="3" t="s">
        <v>52</v>
      </c>
      <c r="M155" s="3" t="s">
        <v>38</v>
      </c>
      <c r="N155" s="3" t="s">
        <v>117</v>
      </c>
      <c r="O155" s="3" t="s">
        <v>864</v>
      </c>
      <c r="P155" s="3" t="s">
        <v>75</v>
      </c>
      <c r="Q155" s="3">
        <v>7</v>
      </c>
      <c r="R155" s="3">
        <v>3280.31</v>
      </c>
      <c r="S155" s="3">
        <v>0</v>
      </c>
      <c r="T155" s="3">
        <v>22962.17</v>
      </c>
      <c r="U155" s="3">
        <v>15716.5</v>
      </c>
      <c r="V155" s="3">
        <v>7245.67</v>
      </c>
      <c r="W155" s="3" t="s">
        <v>132</v>
      </c>
      <c r="X155" s="3" t="s">
        <v>133</v>
      </c>
      <c r="Y155" s="2" t="str">
        <f t="shared" si="3"/>
        <v>Unique</v>
      </c>
      <c r="AA155" s="2" t="str">
        <f t="shared" si="4"/>
        <v>Clean</v>
      </c>
      <c r="AB155" s="2" t="str">
        <f t="shared" si="5"/>
        <v>valid</v>
      </c>
      <c r="AC155">
        <f t="shared" si="20"/>
        <v>0</v>
      </c>
      <c r="AD155">
        <f t="shared" si="21"/>
        <v>22962.17</v>
      </c>
      <c r="AE155">
        <f t="shared" si="22"/>
        <v>7245.6699999999983</v>
      </c>
      <c r="AF155">
        <f t="shared" si="23"/>
        <v>0.31554813852523517</v>
      </c>
      <c r="AG155" t="str">
        <f t="shared" si="24"/>
        <v>September</v>
      </c>
      <c r="AH155">
        <f t="shared" si="25"/>
        <v>2025</v>
      </c>
      <c r="AI155" t="str">
        <f t="shared" si="26"/>
        <v>Clean</v>
      </c>
    </row>
    <row r="156" spans="1:35" ht="15.75" customHeight="1">
      <c r="A156" s="3" t="s">
        <v>865</v>
      </c>
      <c r="B156" s="3" t="s">
        <v>866</v>
      </c>
      <c r="C156" s="3" t="s">
        <v>867</v>
      </c>
      <c r="D156" s="3" t="str">
        <f t="shared" si="0"/>
        <v>02-Nov-2024</v>
      </c>
      <c r="E156" s="3" t="str">
        <f t="shared" si="1"/>
        <v>12-Feb-2024</v>
      </c>
      <c r="F156" s="3">
        <f t="shared" si="2"/>
        <v>264</v>
      </c>
      <c r="G156" s="3" t="s">
        <v>679</v>
      </c>
      <c r="H156" s="3" t="s">
        <v>150</v>
      </c>
      <c r="I156" s="3" t="s">
        <v>34</v>
      </c>
      <c r="J156" s="3" t="s">
        <v>70</v>
      </c>
      <c r="K156" s="3" t="s">
        <v>347</v>
      </c>
      <c r="L156" s="3" t="s">
        <v>348</v>
      </c>
      <c r="M156" s="3" t="s">
        <v>53</v>
      </c>
      <c r="N156" s="3" t="s">
        <v>212</v>
      </c>
      <c r="O156" s="3" t="s">
        <v>868</v>
      </c>
      <c r="P156" s="3" t="s">
        <v>56</v>
      </c>
      <c r="Q156" s="3">
        <v>1</v>
      </c>
      <c r="R156" s="3">
        <v>2599.12</v>
      </c>
      <c r="S156" s="3">
        <v>0.15</v>
      </c>
      <c r="T156" s="3">
        <v>2209.25</v>
      </c>
      <c r="U156" s="3">
        <v>1523.78</v>
      </c>
      <c r="V156" s="3">
        <v>685.47</v>
      </c>
      <c r="W156" s="3" t="s">
        <v>42</v>
      </c>
      <c r="X156" s="3" t="s">
        <v>43</v>
      </c>
      <c r="Y156" s="2" t="str">
        <f t="shared" si="3"/>
        <v>Unique</v>
      </c>
      <c r="AA156" s="2" t="str">
        <f t="shared" si="4"/>
        <v>Clean</v>
      </c>
      <c r="AB156" s="2" t="str">
        <f t="shared" si="5"/>
        <v>valid</v>
      </c>
      <c r="AC156">
        <f t="shared" si="20"/>
        <v>0.15</v>
      </c>
      <c r="AD156">
        <f t="shared" si="21"/>
        <v>2209.252</v>
      </c>
      <c r="AE156">
        <f t="shared" si="22"/>
        <v>685.47199999999998</v>
      </c>
      <c r="AF156">
        <f t="shared" si="23"/>
        <v>0.31027334138432372</v>
      </c>
      <c r="AG156" t="str">
        <f t="shared" si="24"/>
        <v>February</v>
      </c>
      <c r="AH156">
        <f t="shared" si="25"/>
        <v>2024</v>
      </c>
      <c r="AI156" t="str">
        <f t="shared" si="26"/>
        <v>Clean</v>
      </c>
    </row>
    <row r="157" spans="1:35" ht="15.75" customHeight="1">
      <c r="A157" s="3" t="s">
        <v>869</v>
      </c>
      <c r="B157" s="3" t="s">
        <v>569</v>
      </c>
      <c r="C157" s="3" t="s">
        <v>449</v>
      </c>
      <c r="D157" s="3" t="str">
        <f t="shared" si="0"/>
        <v>03-Feb-2025</v>
      </c>
      <c r="E157" s="3" t="str">
        <f t="shared" si="1"/>
        <v>26-Jan-2025</v>
      </c>
      <c r="F157" s="3">
        <f t="shared" si="2"/>
        <v>8</v>
      </c>
      <c r="G157" s="3" t="s">
        <v>870</v>
      </c>
      <c r="H157" s="3" t="s">
        <v>33</v>
      </c>
      <c r="I157" s="3" t="s">
        <v>116</v>
      </c>
      <c r="J157" s="3" t="s">
        <v>81</v>
      </c>
      <c r="K157" s="3" t="s">
        <v>36</v>
      </c>
      <c r="L157" s="3" t="s">
        <v>143</v>
      </c>
      <c r="M157" s="3" t="s">
        <v>53</v>
      </c>
      <c r="N157" s="3" t="s">
        <v>73</v>
      </c>
      <c r="O157" s="3" t="s">
        <v>871</v>
      </c>
      <c r="P157" s="3" t="s">
        <v>56</v>
      </c>
      <c r="Q157" s="3">
        <v>3</v>
      </c>
      <c r="R157" s="3">
        <v>2859.32</v>
      </c>
      <c r="S157" s="3">
        <v>0.1</v>
      </c>
      <c r="T157" s="3">
        <v>7720.16</v>
      </c>
      <c r="U157" s="3">
        <v>5881</v>
      </c>
      <c r="V157" s="3">
        <v>1839.16</v>
      </c>
      <c r="W157" s="3" t="s">
        <v>132</v>
      </c>
      <c r="X157" s="3" t="s">
        <v>133</v>
      </c>
      <c r="Y157" s="2" t="str">
        <f t="shared" si="3"/>
        <v>Unique</v>
      </c>
      <c r="AA157" s="2" t="str">
        <f t="shared" si="4"/>
        <v>Clean</v>
      </c>
      <c r="AB157" s="2" t="str">
        <f t="shared" si="5"/>
        <v>valid</v>
      </c>
      <c r="AC157">
        <f t="shared" si="20"/>
        <v>0.1</v>
      </c>
      <c r="AD157">
        <f t="shared" si="21"/>
        <v>7720.1640000000007</v>
      </c>
      <c r="AE157">
        <f t="shared" si="22"/>
        <v>1839.1640000000007</v>
      </c>
      <c r="AF157">
        <f t="shared" si="23"/>
        <v>0.23822861794127695</v>
      </c>
      <c r="AG157" t="str">
        <f t="shared" si="24"/>
        <v>January</v>
      </c>
      <c r="AH157">
        <f t="shared" si="25"/>
        <v>2025</v>
      </c>
      <c r="AI157" t="str">
        <f t="shared" si="26"/>
        <v>Clean</v>
      </c>
    </row>
    <row r="158" spans="1:35" ht="15.75" customHeight="1">
      <c r="A158" s="3" t="s">
        <v>872</v>
      </c>
      <c r="B158" s="3" t="s">
        <v>873</v>
      </c>
      <c r="C158" s="3" t="s">
        <v>874</v>
      </c>
      <c r="D158" s="3" t="str">
        <f t="shared" si="0"/>
        <v>27-Mar-2025</v>
      </c>
      <c r="E158" s="3" t="str">
        <f t="shared" si="1"/>
        <v>27-Mar-2025</v>
      </c>
      <c r="F158" s="3">
        <f t="shared" si="2"/>
        <v>0</v>
      </c>
      <c r="G158" s="3" t="s">
        <v>875</v>
      </c>
      <c r="H158" s="3" t="s">
        <v>91</v>
      </c>
      <c r="I158" s="3" t="s">
        <v>49</v>
      </c>
      <c r="J158" s="3" t="s">
        <v>50</v>
      </c>
      <c r="K158" s="3" t="s">
        <v>194</v>
      </c>
      <c r="L158" s="3" t="s">
        <v>195</v>
      </c>
      <c r="M158" s="3" t="s">
        <v>94</v>
      </c>
      <c r="N158" s="3" t="s">
        <v>391</v>
      </c>
      <c r="O158" s="3" t="s">
        <v>876</v>
      </c>
      <c r="P158" s="3" t="s">
        <v>41</v>
      </c>
      <c r="Q158" s="3">
        <v>7</v>
      </c>
      <c r="R158" s="3">
        <v>2305.37</v>
      </c>
      <c r="S158" s="3">
        <v>0.25</v>
      </c>
      <c r="T158" s="3">
        <v>12103.19</v>
      </c>
      <c r="U158" s="3">
        <v>6717.87</v>
      </c>
      <c r="V158" s="3">
        <v>5385.32</v>
      </c>
      <c r="W158" s="3" t="s">
        <v>42</v>
      </c>
      <c r="X158" s="3" t="s">
        <v>43</v>
      </c>
      <c r="Y158" s="2" t="str">
        <f t="shared" si="3"/>
        <v>Unique</v>
      </c>
      <c r="AA158" s="2" t="str">
        <f t="shared" si="4"/>
        <v>Clean</v>
      </c>
      <c r="AB158" s="2" t="str">
        <f t="shared" si="5"/>
        <v>valid</v>
      </c>
      <c r="AC158">
        <f t="shared" si="20"/>
        <v>0.25</v>
      </c>
      <c r="AD158">
        <f t="shared" si="21"/>
        <v>12103.192500000001</v>
      </c>
      <c r="AE158">
        <f t="shared" si="22"/>
        <v>5385.3225000000011</v>
      </c>
      <c r="AF158">
        <f t="shared" si="23"/>
        <v>0.44495057812225997</v>
      </c>
      <c r="AG158" t="str">
        <f t="shared" si="24"/>
        <v>March</v>
      </c>
      <c r="AH158">
        <f t="shared" si="25"/>
        <v>2025</v>
      </c>
      <c r="AI158" t="str">
        <f t="shared" si="26"/>
        <v>Clean</v>
      </c>
    </row>
    <row r="159" spans="1:35" ht="15.75" customHeight="1">
      <c r="A159" s="3" t="s">
        <v>877</v>
      </c>
      <c r="B159" s="3" t="s">
        <v>878</v>
      </c>
      <c r="C159" s="3" t="s">
        <v>879</v>
      </c>
      <c r="D159" s="3" t="str">
        <f t="shared" si="0"/>
        <v>24-Oct-2024</v>
      </c>
      <c r="E159" s="3" t="str">
        <f t="shared" si="1"/>
        <v>22-Oct-2024</v>
      </c>
      <c r="F159" s="3">
        <f t="shared" si="2"/>
        <v>2</v>
      </c>
      <c r="G159" s="3" t="s">
        <v>880</v>
      </c>
      <c r="H159" s="3" t="s">
        <v>188</v>
      </c>
      <c r="I159" s="3" t="s">
        <v>49</v>
      </c>
      <c r="J159" s="3" t="s">
        <v>70</v>
      </c>
      <c r="K159" s="3" t="s">
        <v>108</v>
      </c>
      <c r="L159" s="3" t="s">
        <v>109</v>
      </c>
      <c r="M159" s="3" t="s">
        <v>53</v>
      </c>
      <c r="N159" s="3" t="s">
        <v>212</v>
      </c>
      <c r="O159" s="3" t="s">
        <v>881</v>
      </c>
      <c r="P159" s="3" t="s">
        <v>75</v>
      </c>
      <c r="Q159" s="3">
        <v>3</v>
      </c>
      <c r="R159" s="3">
        <v>915.84</v>
      </c>
      <c r="S159" s="3">
        <v>0.15</v>
      </c>
      <c r="T159" s="3">
        <v>2335.39</v>
      </c>
      <c r="U159" s="3">
        <v>1466.15</v>
      </c>
      <c r="V159" s="3">
        <v>869.24</v>
      </c>
      <c r="W159" s="3" t="s">
        <v>42</v>
      </c>
      <c r="X159" s="3" t="s">
        <v>43</v>
      </c>
      <c r="Y159" s="2" t="str">
        <f t="shared" si="3"/>
        <v>Unique</v>
      </c>
      <c r="AA159" s="2" t="str">
        <f t="shared" si="4"/>
        <v>Clean</v>
      </c>
      <c r="AB159" s="2" t="str">
        <f t="shared" si="5"/>
        <v>valid</v>
      </c>
      <c r="AC159">
        <f t="shared" si="20"/>
        <v>0.15</v>
      </c>
      <c r="AD159">
        <f t="shared" si="21"/>
        <v>2335.3919999999998</v>
      </c>
      <c r="AE159">
        <f t="shared" si="22"/>
        <v>869.24199999999973</v>
      </c>
      <c r="AF159">
        <f t="shared" si="23"/>
        <v>0.3722038955344541</v>
      </c>
      <c r="AG159" t="str">
        <f t="shared" si="24"/>
        <v>October</v>
      </c>
      <c r="AH159">
        <f t="shared" si="25"/>
        <v>2024</v>
      </c>
      <c r="AI159" t="str">
        <f t="shared" si="26"/>
        <v>Clean</v>
      </c>
    </row>
    <row r="160" spans="1:35" ht="15.75" customHeight="1">
      <c r="A160" s="3" t="s">
        <v>882</v>
      </c>
      <c r="B160" s="3" t="s">
        <v>883</v>
      </c>
      <c r="C160" s="3" t="s">
        <v>884</v>
      </c>
      <c r="D160" s="3" t="str">
        <f t="shared" si="0"/>
        <v>09-Nov-2024</v>
      </c>
      <c r="E160" s="3" t="str">
        <f t="shared" si="1"/>
        <v>09-Sep-2024</v>
      </c>
      <c r="F160" s="3">
        <f t="shared" si="2"/>
        <v>61</v>
      </c>
      <c r="G160" s="3" t="s">
        <v>885</v>
      </c>
      <c r="H160" s="3" t="s">
        <v>101</v>
      </c>
      <c r="I160" s="3" t="s">
        <v>123</v>
      </c>
      <c r="J160" s="3" t="s">
        <v>70</v>
      </c>
      <c r="K160" s="3" t="s">
        <v>71</v>
      </c>
      <c r="L160" s="3" t="s">
        <v>72</v>
      </c>
      <c r="M160" s="3" t="s">
        <v>53</v>
      </c>
      <c r="N160" s="3" t="s">
        <v>212</v>
      </c>
      <c r="O160" s="3" t="s">
        <v>886</v>
      </c>
      <c r="P160" s="3" t="s">
        <v>64</v>
      </c>
      <c r="Q160" s="3">
        <v>1</v>
      </c>
      <c r="R160" s="3">
        <v>4199.54</v>
      </c>
      <c r="S160" s="3">
        <v>0.05</v>
      </c>
      <c r="T160" s="3">
        <v>3989.56</v>
      </c>
      <c r="U160" s="3">
        <v>2381.38</v>
      </c>
      <c r="V160" s="3">
        <v>1608.18</v>
      </c>
      <c r="W160" s="3" t="s">
        <v>42</v>
      </c>
      <c r="X160" s="3" t="s">
        <v>43</v>
      </c>
      <c r="Y160" s="2" t="str">
        <f t="shared" si="3"/>
        <v>Unique</v>
      </c>
      <c r="AA160" s="2" t="str">
        <f t="shared" si="4"/>
        <v>Clean</v>
      </c>
      <c r="AB160" s="2" t="str">
        <f t="shared" si="5"/>
        <v>valid</v>
      </c>
      <c r="AC160">
        <f t="shared" si="20"/>
        <v>0.05</v>
      </c>
      <c r="AD160">
        <f t="shared" si="21"/>
        <v>3989.5629999999996</v>
      </c>
      <c r="AE160">
        <f t="shared" si="22"/>
        <v>1608.1829999999995</v>
      </c>
      <c r="AF160">
        <f t="shared" si="23"/>
        <v>0.40309753223598666</v>
      </c>
      <c r="AG160" t="str">
        <f t="shared" si="24"/>
        <v>September</v>
      </c>
      <c r="AH160">
        <f t="shared" si="25"/>
        <v>2024</v>
      </c>
      <c r="AI160" t="str">
        <f t="shared" si="26"/>
        <v>Clean</v>
      </c>
    </row>
    <row r="161" spans="1:35" ht="15.75" customHeight="1">
      <c r="A161" s="3" t="s">
        <v>887</v>
      </c>
      <c r="B161" s="3" t="s">
        <v>888</v>
      </c>
      <c r="C161" s="3" t="s">
        <v>889</v>
      </c>
      <c r="D161" s="3" t="str">
        <f t="shared" si="0"/>
        <v>04-Feb-2025</v>
      </c>
      <c r="E161" s="3" t="str">
        <f t="shared" si="1"/>
        <v>30-Jan-2025</v>
      </c>
      <c r="F161" s="3">
        <f t="shared" si="2"/>
        <v>5</v>
      </c>
      <c r="G161" s="3" t="s">
        <v>890</v>
      </c>
      <c r="H161" s="3" t="s">
        <v>150</v>
      </c>
      <c r="I161" s="3" t="s">
        <v>116</v>
      </c>
      <c r="J161" s="3" t="s">
        <v>35</v>
      </c>
      <c r="K161" s="3" t="s">
        <v>331</v>
      </c>
      <c r="L161" s="3" t="s">
        <v>332</v>
      </c>
      <c r="M161" s="3" t="s">
        <v>53</v>
      </c>
      <c r="N161" s="3" t="s">
        <v>84</v>
      </c>
      <c r="O161" s="3" t="s">
        <v>891</v>
      </c>
      <c r="P161" s="3" t="s">
        <v>56</v>
      </c>
      <c r="Q161" s="3">
        <v>9</v>
      </c>
      <c r="R161" s="3">
        <v>4430.5</v>
      </c>
      <c r="S161" s="3">
        <v>0.15</v>
      </c>
      <c r="T161" s="3">
        <v>33893.32</v>
      </c>
      <c r="U161" s="3">
        <v>25750.35</v>
      </c>
      <c r="V161" s="3">
        <v>8142.97</v>
      </c>
      <c r="W161" s="3" t="s">
        <v>145</v>
      </c>
      <c r="X161" s="3" t="s">
        <v>86</v>
      </c>
      <c r="Y161" s="2" t="str">
        <f t="shared" si="3"/>
        <v>Unique</v>
      </c>
      <c r="AA161" s="2" t="str">
        <f t="shared" si="4"/>
        <v>Clean</v>
      </c>
      <c r="AB161" s="2" t="str">
        <f t="shared" si="5"/>
        <v>valid</v>
      </c>
      <c r="AC161">
        <f t="shared" si="20"/>
        <v>0.15</v>
      </c>
      <c r="AD161">
        <f t="shared" si="21"/>
        <v>33893.324999999997</v>
      </c>
      <c r="AE161">
        <f t="shared" si="22"/>
        <v>8142.9749999999985</v>
      </c>
      <c r="AF161">
        <f t="shared" si="23"/>
        <v>0.24025305867748292</v>
      </c>
      <c r="AG161" t="str">
        <f t="shared" si="24"/>
        <v>January</v>
      </c>
      <c r="AH161">
        <f t="shared" si="25"/>
        <v>2025</v>
      </c>
      <c r="AI161" t="str">
        <f t="shared" si="26"/>
        <v>Warning</v>
      </c>
    </row>
    <row r="162" spans="1:35" ht="15.75" customHeight="1">
      <c r="A162" s="3" t="s">
        <v>892</v>
      </c>
      <c r="B162" s="3" t="s">
        <v>893</v>
      </c>
      <c r="C162" s="3" t="s">
        <v>894</v>
      </c>
      <c r="D162" s="3" t="str">
        <f t="shared" si="0"/>
        <v>10-Jun-2025</v>
      </c>
      <c r="E162" s="3" t="str">
        <f t="shared" si="1"/>
        <v>08-Oct-2025</v>
      </c>
      <c r="F162" s="3">
        <f t="shared" si="2"/>
        <v>-120</v>
      </c>
      <c r="G162" s="3" t="s">
        <v>895</v>
      </c>
      <c r="H162" s="3" t="s">
        <v>91</v>
      </c>
      <c r="I162" s="3" t="s">
        <v>49</v>
      </c>
      <c r="J162" s="3" t="s">
        <v>81</v>
      </c>
      <c r="K162" s="3" t="s">
        <v>82</v>
      </c>
      <c r="L162" s="3" t="s">
        <v>83</v>
      </c>
      <c r="M162" s="3" t="s">
        <v>38</v>
      </c>
      <c r="N162" s="3" t="s">
        <v>39</v>
      </c>
      <c r="O162" s="3" t="s">
        <v>896</v>
      </c>
      <c r="P162" s="3" t="s">
        <v>41</v>
      </c>
      <c r="Q162" s="3">
        <v>4</v>
      </c>
      <c r="R162" s="3">
        <v>1260.42</v>
      </c>
      <c r="S162" s="3">
        <v>0.05</v>
      </c>
      <c r="T162" s="3">
        <v>4789.6000000000004</v>
      </c>
      <c r="U162" s="3">
        <v>4037.64</v>
      </c>
      <c r="V162" s="3">
        <v>751.96</v>
      </c>
      <c r="W162" s="3" t="s">
        <v>145</v>
      </c>
      <c r="X162" s="3" t="s">
        <v>86</v>
      </c>
      <c r="Y162" s="2" t="str">
        <f t="shared" si="3"/>
        <v>Unique</v>
      </c>
      <c r="AA162" s="2" t="str">
        <f t="shared" si="4"/>
        <v>Clean</v>
      </c>
      <c r="AB162" s="2" t="str">
        <f t="shared" si="5"/>
        <v>Invalid</v>
      </c>
      <c r="AC162">
        <f t="shared" si="20"/>
        <v>0.05</v>
      </c>
      <c r="AD162">
        <f t="shared" si="21"/>
        <v>4789.5960000000005</v>
      </c>
      <c r="AE162">
        <f t="shared" si="22"/>
        <v>751.95600000000059</v>
      </c>
      <c r="AF162">
        <f t="shared" si="23"/>
        <v>0.1569977927157114</v>
      </c>
      <c r="AG162" t="str">
        <f t="shared" si="24"/>
        <v>October</v>
      </c>
      <c r="AH162">
        <f t="shared" si="25"/>
        <v>2025</v>
      </c>
      <c r="AI162" t="str">
        <f t="shared" si="26"/>
        <v>Warning</v>
      </c>
    </row>
    <row r="163" spans="1:35" ht="15.75" customHeight="1">
      <c r="A163" s="3" t="s">
        <v>897</v>
      </c>
      <c r="B163" s="3" t="s">
        <v>898</v>
      </c>
      <c r="C163" s="3" t="s">
        <v>899</v>
      </c>
      <c r="D163" s="3" t="str">
        <f t="shared" si="0"/>
        <v>30-Jul-2025</v>
      </c>
      <c r="E163" s="3" t="str">
        <f t="shared" si="1"/>
        <v>24-Jul-2025</v>
      </c>
      <c r="F163" s="3">
        <f t="shared" si="2"/>
        <v>6</v>
      </c>
      <c r="G163" s="3" t="s">
        <v>900</v>
      </c>
      <c r="H163" s="3" t="s">
        <v>69</v>
      </c>
      <c r="I163" s="3" t="s">
        <v>34</v>
      </c>
      <c r="J163" s="3" t="s">
        <v>81</v>
      </c>
      <c r="K163" s="3" t="s">
        <v>36</v>
      </c>
      <c r="L163" s="3" t="s">
        <v>143</v>
      </c>
      <c r="M163" s="3" t="s">
        <v>38</v>
      </c>
      <c r="N163" s="3" t="s">
        <v>206</v>
      </c>
      <c r="O163" s="3" t="s">
        <v>901</v>
      </c>
      <c r="P163" s="3" t="s">
        <v>75</v>
      </c>
      <c r="Q163" s="3">
        <v>1</v>
      </c>
      <c r="R163" s="3">
        <v>1643.41</v>
      </c>
      <c r="S163" s="3">
        <v>0</v>
      </c>
      <c r="T163" s="3">
        <v>1643.41</v>
      </c>
      <c r="U163" s="3">
        <v>907.4</v>
      </c>
      <c r="V163" s="3">
        <v>736.01</v>
      </c>
      <c r="W163" s="3" t="s">
        <v>145</v>
      </c>
      <c r="X163" s="3" t="s">
        <v>86</v>
      </c>
      <c r="Y163" s="2" t="str">
        <f t="shared" si="3"/>
        <v>Unique</v>
      </c>
      <c r="AA163" s="2" t="str">
        <f t="shared" si="4"/>
        <v>Clean</v>
      </c>
      <c r="AB163" s="2" t="str">
        <f t="shared" si="5"/>
        <v>valid</v>
      </c>
      <c r="AC163">
        <f t="shared" si="20"/>
        <v>0</v>
      </c>
      <c r="AD163">
        <f t="shared" si="21"/>
        <v>1643.41</v>
      </c>
      <c r="AE163">
        <f t="shared" si="22"/>
        <v>736.0100000000001</v>
      </c>
      <c r="AF163">
        <f t="shared" si="23"/>
        <v>0.44785537388722235</v>
      </c>
      <c r="AG163" t="str">
        <f t="shared" si="24"/>
        <v>July</v>
      </c>
      <c r="AH163">
        <f t="shared" si="25"/>
        <v>2025</v>
      </c>
      <c r="AI163" t="str">
        <f t="shared" si="26"/>
        <v>Warning</v>
      </c>
    </row>
    <row r="164" spans="1:35" ht="15.75" customHeight="1">
      <c r="A164" s="3" t="s">
        <v>902</v>
      </c>
      <c r="B164" s="3" t="s">
        <v>903</v>
      </c>
      <c r="C164" s="3" t="s">
        <v>904</v>
      </c>
      <c r="D164" s="3" t="str">
        <f t="shared" si="0"/>
        <v>14-Mar-2024</v>
      </c>
      <c r="E164" s="3" t="str">
        <f t="shared" si="1"/>
        <v>09-Mar-2024</v>
      </c>
      <c r="F164" s="3">
        <f t="shared" si="2"/>
        <v>5</v>
      </c>
      <c r="G164" s="3" t="s">
        <v>905</v>
      </c>
      <c r="H164" s="3" t="s">
        <v>101</v>
      </c>
      <c r="I164" s="3" t="s">
        <v>49</v>
      </c>
      <c r="J164" s="3" t="s">
        <v>81</v>
      </c>
      <c r="K164" s="3" t="s">
        <v>257</v>
      </c>
      <c r="L164" s="3" t="s">
        <v>258</v>
      </c>
      <c r="M164" s="3" t="s">
        <v>53</v>
      </c>
      <c r="N164" s="3" t="s">
        <v>73</v>
      </c>
      <c r="O164" s="3" t="s">
        <v>906</v>
      </c>
      <c r="P164" s="3" t="s">
        <v>41</v>
      </c>
      <c r="Q164" s="3">
        <v>8</v>
      </c>
      <c r="R164" s="3">
        <v>4472.84</v>
      </c>
      <c r="S164" s="3">
        <v>0</v>
      </c>
      <c r="T164" s="3">
        <v>35997.620000000003</v>
      </c>
      <c r="U164" s="3">
        <v>26424.41</v>
      </c>
      <c r="V164" s="3">
        <v>9358.31</v>
      </c>
      <c r="W164" s="3" t="s">
        <v>145</v>
      </c>
      <c r="X164" s="3" t="s">
        <v>133</v>
      </c>
      <c r="Y164" s="2" t="str">
        <f t="shared" si="3"/>
        <v>Unique</v>
      </c>
      <c r="AA164" s="2" t="str">
        <f t="shared" si="4"/>
        <v>Clean</v>
      </c>
      <c r="AB164" s="2" t="str">
        <f t="shared" si="5"/>
        <v>valid</v>
      </c>
      <c r="AC164">
        <f t="shared" si="20"/>
        <v>0</v>
      </c>
      <c r="AD164">
        <f t="shared" si="21"/>
        <v>35782.720000000001</v>
      </c>
      <c r="AE164">
        <f t="shared" si="22"/>
        <v>9358.3100000000013</v>
      </c>
      <c r="AF164">
        <f t="shared" si="23"/>
        <v>0.2615315437171909</v>
      </c>
      <c r="AG164" t="str">
        <f t="shared" si="24"/>
        <v>March</v>
      </c>
      <c r="AH164">
        <f t="shared" si="25"/>
        <v>2024</v>
      </c>
      <c r="AI164" t="str">
        <f t="shared" si="26"/>
        <v>Clean</v>
      </c>
    </row>
    <row r="165" spans="1:35" ht="15.75" customHeight="1">
      <c r="A165" s="3" t="s">
        <v>907</v>
      </c>
      <c r="B165" s="3" t="s">
        <v>908</v>
      </c>
      <c r="C165" s="3" t="s">
        <v>734</v>
      </c>
      <c r="D165" s="3" t="str">
        <f t="shared" si="0"/>
        <v>26-Sep-2025</v>
      </c>
      <c r="E165" s="3" t="str">
        <f t="shared" si="1"/>
        <v>21-Sep-2025</v>
      </c>
      <c r="F165" s="3">
        <f t="shared" si="2"/>
        <v>5</v>
      </c>
      <c r="G165" s="3" t="s">
        <v>909</v>
      </c>
      <c r="H165" s="3" t="s">
        <v>188</v>
      </c>
      <c r="I165" s="3" t="s">
        <v>123</v>
      </c>
      <c r="J165" s="3" t="s">
        <v>81</v>
      </c>
      <c r="K165" s="3" t="s">
        <v>243</v>
      </c>
      <c r="L165" s="3" t="s">
        <v>244</v>
      </c>
      <c r="M165" s="3" t="s">
        <v>53</v>
      </c>
      <c r="N165" s="3" t="s">
        <v>54</v>
      </c>
      <c r="O165" s="3" t="s">
        <v>910</v>
      </c>
      <c r="P165" s="3" t="s">
        <v>280</v>
      </c>
      <c r="Q165" s="3">
        <v>6</v>
      </c>
      <c r="R165" s="3">
        <v>2903.58</v>
      </c>
      <c r="S165" s="3">
        <v>0.1</v>
      </c>
      <c r="T165" s="3">
        <v>15679.33</v>
      </c>
      <c r="U165" s="3">
        <v>12477.82</v>
      </c>
      <c r="V165" s="3">
        <v>3201.51</v>
      </c>
      <c r="W165" s="3" t="s">
        <v>145</v>
      </c>
      <c r="X165" s="3" t="s">
        <v>133</v>
      </c>
      <c r="Y165" s="2" t="str">
        <f t="shared" si="3"/>
        <v>Unique</v>
      </c>
      <c r="AA165" s="2" t="str">
        <f t="shared" si="4"/>
        <v>Clean</v>
      </c>
      <c r="AB165" s="2" t="str">
        <f t="shared" si="5"/>
        <v>valid</v>
      </c>
      <c r="AC165">
        <f t="shared" si="20"/>
        <v>0.1</v>
      </c>
      <c r="AD165">
        <f t="shared" si="21"/>
        <v>15679.332</v>
      </c>
      <c r="AE165">
        <f t="shared" si="22"/>
        <v>3201.5120000000006</v>
      </c>
      <c r="AF165">
        <f t="shared" si="23"/>
        <v>0.20418675999717339</v>
      </c>
      <c r="AG165" t="str">
        <f t="shared" si="24"/>
        <v>September</v>
      </c>
      <c r="AH165">
        <f t="shared" si="25"/>
        <v>2025</v>
      </c>
      <c r="AI165" t="str">
        <f t="shared" si="26"/>
        <v>Clean</v>
      </c>
    </row>
    <row r="166" spans="1:35" ht="15.75" customHeight="1">
      <c r="A166" s="3" t="s">
        <v>911</v>
      </c>
      <c r="B166" s="3" t="s">
        <v>912</v>
      </c>
      <c r="C166" s="3" t="s">
        <v>913</v>
      </c>
      <c r="D166" s="3" t="str">
        <f t="shared" si="0"/>
        <v>14-Sep-2025</v>
      </c>
      <c r="E166" s="3" t="str">
        <f t="shared" si="1"/>
        <v>09-Sep-2025</v>
      </c>
      <c r="F166" s="3">
        <f t="shared" si="2"/>
        <v>5</v>
      </c>
      <c r="G166" s="3" t="s">
        <v>914</v>
      </c>
      <c r="H166" s="3" t="s">
        <v>156</v>
      </c>
      <c r="I166" s="3" t="s">
        <v>49</v>
      </c>
      <c r="J166" s="3" t="s">
        <v>50</v>
      </c>
      <c r="K166" s="3" t="s">
        <v>129</v>
      </c>
      <c r="L166" s="3" t="s">
        <v>130</v>
      </c>
      <c r="M166" s="3" t="s">
        <v>53</v>
      </c>
      <c r="N166" s="3" t="s">
        <v>212</v>
      </c>
      <c r="O166" s="3" t="s">
        <v>915</v>
      </c>
      <c r="P166" s="3" t="s">
        <v>41</v>
      </c>
      <c r="Q166" s="3">
        <v>1</v>
      </c>
      <c r="R166" s="3">
        <v>3154.42</v>
      </c>
      <c r="S166" s="3">
        <v>0.25</v>
      </c>
      <c r="T166" s="3">
        <v>2365.8200000000002</v>
      </c>
      <c r="U166" s="3">
        <v>1547.99</v>
      </c>
      <c r="V166" s="3">
        <v>817.83</v>
      </c>
      <c r="W166" s="3" t="s">
        <v>42</v>
      </c>
      <c r="X166" s="3" t="s">
        <v>43</v>
      </c>
      <c r="Y166" s="2" t="str">
        <f t="shared" si="3"/>
        <v>Unique</v>
      </c>
      <c r="AA166" s="2" t="str">
        <f t="shared" si="4"/>
        <v>Clean</v>
      </c>
      <c r="AB166" s="2" t="str">
        <f t="shared" si="5"/>
        <v>valid</v>
      </c>
      <c r="AC166">
        <f t="shared" si="20"/>
        <v>0.25</v>
      </c>
      <c r="AD166">
        <f t="shared" si="21"/>
        <v>2365.8150000000001</v>
      </c>
      <c r="AE166">
        <f t="shared" si="22"/>
        <v>817.82500000000005</v>
      </c>
      <c r="AF166">
        <f t="shared" si="23"/>
        <v>0.34568425679945392</v>
      </c>
      <c r="AG166" t="str">
        <f t="shared" si="24"/>
        <v>September</v>
      </c>
      <c r="AH166">
        <f t="shared" si="25"/>
        <v>2025</v>
      </c>
      <c r="AI166" t="str">
        <f t="shared" si="26"/>
        <v>Clean</v>
      </c>
    </row>
    <row r="167" spans="1:35" ht="15.75" customHeight="1">
      <c r="A167" s="3" t="s">
        <v>916</v>
      </c>
      <c r="B167" s="3" t="s">
        <v>917</v>
      </c>
      <c r="C167" s="3" t="s">
        <v>918</v>
      </c>
      <c r="D167" s="3" t="str">
        <f t="shared" si="0"/>
        <v>29-Nov-2024</v>
      </c>
      <c r="E167" s="3" t="str">
        <f t="shared" si="1"/>
        <v>22-Nov-2024</v>
      </c>
      <c r="F167" s="3">
        <f t="shared" si="2"/>
        <v>7</v>
      </c>
      <c r="G167" s="3" t="s">
        <v>919</v>
      </c>
      <c r="H167" s="3" t="s">
        <v>48</v>
      </c>
      <c r="I167" s="3" t="s">
        <v>123</v>
      </c>
      <c r="J167" s="3" t="s">
        <v>50</v>
      </c>
      <c r="K167" s="3" t="s">
        <v>194</v>
      </c>
      <c r="L167" s="3" t="s">
        <v>195</v>
      </c>
      <c r="M167" s="3" t="s">
        <v>53</v>
      </c>
      <c r="N167" s="3" t="s">
        <v>84</v>
      </c>
      <c r="O167" s="3" t="s">
        <v>920</v>
      </c>
      <c r="P167" s="3" t="s">
        <v>75</v>
      </c>
      <c r="Q167" s="3">
        <v>4</v>
      </c>
      <c r="R167" s="3">
        <v>3422.99</v>
      </c>
      <c r="S167" s="3">
        <v>0.25</v>
      </c>
      <c r="T167" s="3">
        <v>10268.969999999999</v>
      </c>
      <c r="U167" s="3">
        <v>6470.92</v>
      </c>
      <c r="V167" s="3">
        <v>3798.05</v>
      </c>
      <c r="W167" s="3" t="s">
        <v>42</v>
      </c>
      <c r="X167" s="3" t="s">
        <v>43</v>
      </c>
      <c r="Y167" s="2" t="str">
        <f t="shared" si="3"/>
        <v>Unique</v>
      </c>
      <c r="AA167" s="2" t="str">
        <f t="shared" si="4"/>
        <v>Clean</v>
      </c>
      <c r="AB167" s="2" t="str">
        <f t="shared" si="5"/>
        <v>valid</v>
      </c>
      <c r="AC167">
        <f t="shared" si="20"/>
        <v>0.25</v>
      </c>
      <c r="AD167">
        <f t="shared" si="21"/>
        <v>10268.969999999999</v>
      </c>
      <c r="AE167">
        <f t="shared" si="22"/>
        <v>3798.0499999999993</v>
      </c>
      <c r="AF167">
        <f t="shared" si="23"/>
        <v>0.36985695741637181</v>
      </c>
      <c r="AG167" t="str">
        <f t="shared" si="24"/>
        <v>November</v>
      </c>
      <c r="AH167">
        <f t="shared" si="25"/>
        <v>2024</v>
      </c>
      <c r="AI167" t="str">
        <f t="shared" si="26"/>
        <v>Clean</v>
      </c>
    </row>
    <row r="168" spans="1:35" ht="15.75" customHeight="1">
      <c r="A168" s="3" t="s">
        <v>921</v>
      </c>
      <c r="B168" s="3" t="s">
        <v>922</v>
      </c>
      <c r="C168" s="3" t="s">
        <v>106</v>
      </c>
      <c r="D168" s="3" t="str">
        <f t="shared" si="0"/>
        <v>26-Feb-2025</v>
      </c>
      <c r="E168" s="3" t="str">
        <f t="shared" si="1"/>
        <v>20-Feb-2025</v>
      </c>
      <c r="F168" s="3">
        <f t="shared" si="2"/>
        <v>6</v>
      </c>
      <c r="G168" s="3" t="s">
        <v>923</v>
      </c>
      <c r="H168" s="3" t="s">
        <v>33</v>
      </c>
      <c r="I168" s="3" t="s">
        <v>49</v>
      </c>
      <c r="J168" s="3" t="s">
        <v>81</v>
      </c>
      <c r="K168" s="3" t="s">
        <v>243</v>
      </c>
      <c r="L168" s="3" t="s">
        <v>244</v>
      </c>
      <c r="M168" s="3" t="s">
        <v>38</v>
      </c>
      <c r="N168" s="3" t="s">
        <v>117</v>
      </c>
      <c r="O168" s="3" t="s">
        <v>924</v>
      </c>
      <c r="P168" s="3" t="s">
        <v>64</v>
      </c>
      <c r="Q168" s="3">
        <v>1</v>
      </c>
      <c r="R168" s="3">
        <v>2557.85</v>
      </c>
      <c r="S168" s="3">
        <v>0.2</v>
      </c>
      <c r="T168" s="3">
        <v>2046.28</v>
      </c>
      <c r="U168" s="3">
        <v>1449.54</v>
      </c>
      <c r="V168" s="3">
        <v>596.74</v>
      </c>
      <c r="W168" s="3" t="s">
        <v>42</v>
      </c>
      <c r="X168" s="3" t="s">
        <v>43</v>
      </c>
      <c r="Y168" s="2" t="str">
        <f t="shared" si="3"/>
        <v>Unique</v>
      </c>
      <c r="AA168" s="2" t="str">
        <f t="shared" si="4"/>
        <v>Clean</v>
      </c>
      <c r="AB168" s="2" t="str">
        <f t="shared" si="5"/>
        <v>valid</v>
      </c>
      <c r="AC168">
        <f t="shared" si="20"/>
        <v>0.2</v>
      </c>
      <c r="AD168">
        <f t="shared" si="21"/>
        <v>2046.28</v>
      </c>
      <c r="AE168">
        <f t="shared" si="22"/>
        <v>596.74</v>
      </c>
      <c r="AF168">
        <f t="shared" si="23"/>
        <v>0.29162186992982386</v>
      </c>
      <c r="AG168" t="str">
        <f t="shared" si="24"/>
        <v>February</v>
      </c>
      <c r="AH168">
        <f t="shared" si="25"/>
        <v>2025</v>
      </c>
      <c r="AI168" t="str">
        <f t="shared" si="26"/>
        <v>Clean</v>
      </c>
    </row>
    <row r="169" spans="1:35" ht="15.75" customHeight="1">
      <c r="A169" s="3" t="s">
        <v>925</v>
      </c>
      <c r="B169" s="3" t="s">
        <v>926</v>
      </c>
      <c r="C169" s="3" t="s">
        <v>927</v>
      </c>
      <c r="D169" s="3" t="str">
        <f t="shared" si="0"/>
        <v>18-Aug-2025</v>
      </c>
      <c r="E169" s="3" t="str">
        <f t="shared" si="1"/>
        <v>18-Aug-2025</v>
      </c>
      <c r="F169" s="3">
        <f t="shared" si="2"/>
        <v>0</v>
      </c>
      <c r="G169" s="3" t="s">
        <v>928</v>
      </c>
      <c r="H169" s="3" t="s">
        <v>69</v>
      </c>
      <c r="I169" s="3" t="s">
        <v>123</v>
      </c>
      <c r="J169" s="3" t="s">
        <v>70</v>
      </c>
      <c r="K169" s="3" t="s">
        <v>237</v>
      </c>
      <c r="L169" s="3" t="s">
        <v>238</v>
      </c>
      <c r="M169" s="3" t="s">
        <v>38</v>
      </c>
      <c r="N169" s="3" t="s">
        <v>164</v>
      </c>
      <c r="O169" s="3" t="s">
        <v>929</v>
      </c>
      <c r="P169" s="3" t="s">
        <v>64</v>
      </c>
      <c r="Q169" s="3">
        <v>9</v>
      </c>
      <c r="R169" s="3">
        <v>3030.93</v>
      </c>
      <c r="S169" s="3">
        <v>0.15</v>
      </c>
      <c r="T169" s="3">
        <v>23186.61</v>
      </c>
      <c r="U169" s="3">
        <v>17906.54</v>
      </c>
      <c r="V169" s="3">
        <v>5280.07</v>
      </c>
      <c r="W169" s="3" t="s">
        <v>42</v>
      </c>
      <c r="X169" s="3" t="s">
        <v>133</v>
      </c>
      <c r="Y169" s="2" t="str">
        <f t="shared" si="3"/>
        <v>Unique</v>
      </c>
      <c r="AA169" s="2" t="str">
        <f t="shared" si="4"/>
        <v>Clean</v>
      </c>
      <c r="AB169" s="2" t="str">
        <f t="shared" si="5"/>
        <v>valid</v>
      </c>
      <c r="AC169">
        <f t="shared" si="20"/>
        <v>0.15</v>
      </c>
      <c r="AD169">
        <f t="shared" si="21"/>
        <v>23186.6145</v>
      </c>
      <c r="AE169">
        <f t="shared" si="22"/>
        <v>5280.0744999999988</v>
      </c>
      <c r="AF169">
        <f t="shared" si="23"/>
        <v>0.22772080417345961</v>
      </c>
      <c r="AG169" t="str">
        <f t="shared" si="24"/>
        <v>August</v>
      </c>
      <c r="AH169">
        <f t="shared" si="25"/>
        <v>2025</v>
      </c>
      <c r="AI169" t="str">
        <f t="shared" si="26"/>
        <v>Clean</v>
      </c>
    </row>
    <row r="170" spans="1:35" ht="15.75" customHeight="1">
      <c r="A170" s="3" t="s">
        <v>930</v>
      </c>
      <c r="B170" s="3" t="s">
        <v>931</v>
      </c>
      <c r="C170" s="3" t="s">
        <v>192</v>
      </c>
      <c r="D170" s="3" t="str">
        <f t="shared" si="0"/>
        <v>23-Jan-2025</v>
      </c>
      <c r="E170" s="3" t="str">
        <f t="shared" si="1"/>
        <v>20-Jan-2025</v>
      </c>
      <c r="F170" s="3">
        <f t="shared" si="2"/>
        <v>3</v>
      </c>
      <c r="G170" s="3" t="s">
        <v>932</v>
      </c>
      <c r="H170" s="3" t="s">
        <v>375</v>
      </c>
      <c r="I170" s="3" t="s">
        <v>34</v>
      </c>
      <c r="J170" s="3" t="s">
        <v>81</v>
      </c>
      <c r="K170" s="3" t="s">
        <v>82</v>
      </c>
      <c r="L170" s="3" t="s">
        <v>83</v>
      </c>
      <c r="M170" s="3" t="s">
        <v>94</v>
      </c>
      <c r="N170" s="3" t="s">
        <v>95</v>
      </c>
      <c r="O170" s="3" t="s">
        <v>933</v>
      </c>
      <c r="P170" s="3" t="s">
        <v>56</v>
      </c>
      <c r="Q170" s="3">
        <v>5</v>
      </c>
      <c r="R170" s="3">
        <v>639.27</v>
      </c>
      <c r="S170" s="3">
        <v>0.2</v>
      </c>
      <c r="T170" s="3">
        <v>2557.08</v>
      </c>
      <c r="U170" s="3">
        <v>2025.69</v>
      </c>
      <c r="V170" s="3">
        <v>531.39</v>
      </c>
      <c r="W170" s="3" t="s">
        <v>42</v>
      </c>
      <c r="X170" s="3" t="s">
        <v>86</v>
      </c>
      <c r="Y170" s="2" t="str">
        <f t="shared" si="3"/>
        <v>Unique</v>
      </c>
      <c r="AA170" s="2" t="str">
        <f t="shared" si="4"/>
        <v>Clean</v>
      </c>
      <c r="AB170" s="2" t="str">
        <f t="shared" si="5"/>
        <v>valid</v>
      </c>
      <c r="AC170">
        <f t="shared" si="20"/>
        <v>0.2</v>
      </c>
      <c r="AD170">
        <f t="shared" si="21"/>
        <v>2557.08</v>
      </c>
      <c r="AE170">
        <f t="shared" si="22"/>
        <v>531.38999999999987</v>
      </c>
      <c r="AF170">
        <f t="shared" si="23"/>
        <v>0.2078112534609789</v>
      </c>
      <c r="AG170" t="str">
        <f t="shared" si="24"/>
        <v>January</v>
      </c>
      <c r="AH170">
        <f t="shared" si="25"/>
        <v>2025</v>
      </c>
      <c r="AI170" t="str">
        <f t="shared" si="26"/>
        <v>Warning</v>
      </c>
    </row>
    <row r="171" spans="1:35" ht="15.75" customHeight="1">
      <c r="A171" s="3" t="s">
        <v>934</v>
      </c>
      <c r="B171" s="3" t="s">
        <v>935</v>
      </c>
      <c r="C171" s="3" t="s">
        <v>936</v>
      </c>
      <c r="D171" s="3" t="str">
        <f t="shared" si="0"/>
        <v>13-Sep-2025</v>
      </c>
      <c r="E171" s="3" t="str">
        <f t="shared" si="1"/>
        <v>13-Sep-2025</v>
      </c>
      <c r="F171" s="3">
        <f t="shared" si="2"/>
        <v>0</v>
      </c>
      <c r="G171" s="3" t="s">
        <v>937</v>
      </c>
      <c r="H171" s="3" t="s">
        <v>218</v>
      </c>
      <c r="I171" s="3" t="s">
        <v>34</v>
      </c>
      <c r="J171" s="3" t="s">
        <v>50</v>
      </c>
      <c r="K171" s="3" t="s">
        <v>224</v>
      </c>
      <c r="L171" s="3" t="s">
        <v>225</v>
      </c>
      <c r="M171" s="3" t="s">
        <v>38</v>
      </c>
      <c r="N171" s="3" t="s">
        <v>62</v>
      </c>
      <c r="O171" s="3" t="s">
        <v>938</v>
      </c>
      <c r="P171" s="3" t="s">
        <v>75</v>
      </c>
      <c r="Q171" s="3">
        <v>8</v>
      </c>
      <c r="R171" s="3">
        <v>733.9</v>
      </c>
      <c r="S171" s="3">
        <v>0.05</v>
      </c>
      <c r="T171" s="3">
        <v>5577.64</v>
      </c>
      <c r="U171" s="3">
        <v>3541.29</v>
      </c>
      <c r="V171" s="3">
        <v>2036.35</v>
      </c>
      <c r="W171" s="3" t="s">
        <v>145</v>
      </c>
      <c r="X171" s="3" t="s">
        <v>133</v>
      </c>
      <c r="Y171" s="2" t="str">
        <f t="shared" si="3"/>
        <v>Unique</v>
      </c>
      <c r="AA171" s="2" t="str">
        <f t="shared" si="4"/>
        <v>Clean</v>
      </c>
      <c r="AB171" s="2" t="str">
        <f t="shared" si="5"/>
        <v>valid</v>
      </c>
      <c r="AC171">
        <f t="shared" si="20"/>
        <v>0.05</v>
      </c>
      <c r="AD171">
        <f t="shared" si="21"/>
        <v>5577.6399999999994</v>
      </c>
      <c r="AE171">
        <f t="shared" si="22"/>
        <v>2036.3499999999995</v>
      </c>
      <c r="AF171">
        <f t="shared" si="23"/>
        <v>0.36509168752375548</v>
      </c>
      <c r="AG171" t="str">
        <f t="shared" si="24"/>
        <v>September</v>
      </c>
      <c r="AH171">
        <f t="shared" si="25"/>
        <v>2025</v>
      </c>
      <c r="AI171" t="str">
        <f t="shared" si="26"/>
        <v>Clean</v>
      </c>
    </row>
    <row r="172" spans="1:35" ht="15.75" customHeight="1">
      <c r="A172" s="3" t="s">
        <v>939</v>
      </c>
      <c r="B172" s="3" t="s">
        <v>120</v>
      </c>
      <c r="C172" s="3" t="s">
        <v>940</v>
      </c>
      <c r="D172" s="3" t="str">
        <f t="shared" si="0"/>
        <v>15-Sep-2025</v>
      </c>
      <c r="E172" s="3" t="str">
        <f t="shared" si="1"/>
        <v>07-Sep-2025</v>
      </c>
      <c r="F172" s="3">
        <f t="shared" si="2"/>
        <v>8</v>
      </c>
      <c r="G172" s="3" t="s">
        <v>941</v>
      </c>
      <c r="H172" s="3" t="s">
        <v>188</v>
      </c>
      <c r="I172" s="3" t="s">
        <v>116</v>
      </c>
      <c r="J172" s="3" t="s">
        <v>50</v>
      </c>
      <c r="K172" s="3" t="s">
        <v>194</v>
      </c>
      <c r="L172" s="3" t="s">
        <v>195</v>
      </c>
      <c r="M172" s="3" t="s">
        <v>94</v>
      </c>
      <c r="N172" s="3" t="s">
        <v>102</v>
      </c>
      <c r="O172" s="3" t="s">
        <v>942</v>
      </c>
      <c r="P172" s="3" t="s">
        <v>75</v>
      </c>
      <c r="Q172" s="3">
        <v>3</v>
      </c>
      <c r="R172" s="3">
        <v>1711.32</v>
      </c>
      <c r="S172" s="3">
        <v>0</v>
      </c>
      <c r="T172" s="3">
        <v>5133.96</v>
      </c>
      <c r="U172" s="3">
        <v>3930</v>
      </c>
      <c r="V172" s="3">
        <v>1203.96</v>
      </c>
      <c r="W172" s="3" t="s">
        <v>42</v>
      </c>
      <c r="X172" s="3" t="s">
        <v>43</v>
      </c>
      <c r="Y172" s="2" t="str">
        <f t="shared" si="3"/>
        <v>Duplicate Order ID</v>
      </c>
      <c r="Z172" s="5" t="s">
        <v>722</v>
      </c>
      <c r="AA172" s="2" t="str">
        <f t="shared" si="4"/>
        <v>Clean</v>
      </c>
      <c r="AB172" s="2" t="str">
        <f t="shared" si="5"/>
        <v>valid</v>
      </c>
      <c r="AC172">
        <f t="shared" si="20"/>
        <v>0</v>
      </c>
      <c r="AD172">
        <f t="shared" si="21"/>
        <v>5133.96</v>
      </c>
      <c r="AE172">
        <f t="shared" si="22"/>
        <v>1203.96</v>
      </c>
      <c r="AF172">
        <f t="shared" si="23"/>
        <v>0.23450903396208775</v>
      </c>
      <c r="AG172" t="str">
        <f t="shared" si="24"/>
        <v>September</v>
      </c>
      <c r="AH172">
        <f t="shared" si="25"/>
        <v>2025</v>
      </c>
      <c r="AI172" t="str">
        <f t="shared" si="26"/>
        <v>Clean</v>
      </c>
    </row>
    <row r="173" spans="1:35" ht="15.75" customHeight="1">
      <c r="A173" s="3" t="s">
        <v>943</v>
      </c>
      <c r="B173" s="3" t="s">
        <v>105</v>
      </c>
      <c r="C173" s="3" t="s">
        <v>944</v>
      </c>
      <c r="D173" s="3" t="str">
        <f t="shared" si="0"/>
        <v>25-Feb-2025</v>
      </c>
      <c r="E173" s="3" t="str">
        <f t="shared" si="1"/>
        <v>23-Feb-2025</v>
      </c>
      <c r="F173" s="3">
        <f t="shared" si="2"/>
        <v>2</v>
      </c>
      <c r="G173" s="3" t="s">
        <v>945</v>
      </c>
      <c r="H173" s="3" t="s">
        <v>33</v>
      </c>
      <c r="I173" s="3" t="s">
        <v>116</v>
      </c>
      <c r="J173" s="3" t="s">
        <v>50</v>
      </c>
      <c r="K173" s="3" t="s">
        <v>194</v>
      </c>
      <c r="L173" s="3" t="s">
        <v>195</v>
      </c>
      <c r="M173" s="3" t="s">
        <v>38</v>
      </c>
      <c r="N173" s="3" t="s">
        <v>117</v>
      </c>
      <c r="O173" s="3" t="s">
        <v>946</v>
      </c>
      <c r="P173" s="3" t="s">
        <v>56</v>
      </c>
      <c r="Q173" s="3">
        <v>5</v>
      </c>
      <c r="R173" s="3">
        <v>4246.2700000000004</v>
      </c>
      <c r="S173" s="3">
        <v>0.25</v>
      </c>
      <c r="T173" s="3">
        <v>15923.51</v>
      </c>
      <c r="U173" s="3">
        <v>11291.8</v>
      </c>
      <c r="V173" s="3">
        <v>4631.71</v>
      </c>
      <c r="W173" s="3" t="s">
        <v>42</v>
      </c>
      <c r="X173" s="3" t="s">
        <v>43</v>
      </c>
      <c r="Y173" s="2" t="str">
        <f t="shared" si="3"/>
        <v>Unique</v>
      </c>
      <c r="AA173" s="2" t="str">
        <f t="shared" si="4"/>
        <v>Clean</v>
      </c>
      <c r="AB173" s="2" t="str">
        <f t="shared" si="5"/>
        <v>valid</v>
      </c>
      <c r="AC173">
        <f t="shared" si="20"/>
        <v>0.25</v>
      </c>
      <c r="AD173">
        <f t="shared" si="21"/>
        <v>15923.512500000001</v>
      </c>
      <c r="AE173">
        <f t="shared" si="22"/>
        <v>4631.7125000000015</v>
      </c>
      <c r="AF173">
        <f t="shared" si="23"/>
        <v>0.29087253832971849</v>
      </c>
      <c r="AG173" t="str">
        <f t="shared" si="24"/>
        <v>February</v>
      </c>
      <c r="AH173">
        <f t="shared" si="25"/>
        <v>2025</v>
      </c>
      <c r="AI173" t="str">
        <f t="shared" si="26"/>
        <v>Clean</v>
      </c>
    </row>
    <row r="174" spans="1:35" ht="15.75" customHeight="1">
      <c r="A174" s="3" t="s">
        <v>947</v>
      </c>
      <c r="B174" s="3" t="s">
        <v>948</v>
      </c>
      <c r="C174" s="3" t="s">
        <v>949</v>
      </c>
      <c r="D174" s="3" t="str">
        <f t="shared" si="0"/>
        <v>10-Aug-2025</v>
      </c>
      <c r="E174" s="3" t="str">
        <f t="shared" si="1"/>
        <v>02-Aug-2025</v>
      </c>
      <c r="F174" s="3">
        <f t="shared" si="2"/>
        <v>8</v>
      </c>
      <c r="G174" s="3" t="s">
        <v>950</v>
      </c>
      <c r="H174" s="3" t="s">
        <v>33</v>
      </c>
      <c r="I174" s="3" t="s">
        <v>116</v>
      </c>
      <c r="J174" s="3" t="s">
        <v>35</v>
      </c>
      <c r="K174" s="3" t="s">
        <v>515</v>
      </c>
      <c r="L174" s="3" t="s">
        <v>516</v>
      </c>
      <c r="M174" s="3" t="s">
        <v>53</v>
      </c>
      <c r="N174" s="3" t="s">
        <v>73</v>
      </c>
      <c r="O174" s="3" t="s">
        <v>951</v>
      </c>
      <c r="P174" s="3" t="s">
        <v>56</v>
      </c>
      <c r="Q174" s="3">
        <v>9</v>
      </c>
      <c r="R174" s="3">
        <v>2962.62</v>
      </c>
      <c r="S174" s="3">
        <v>0.1</v>
      </c>
      <c r="T174" s="3">
        <v>23997.22</v>
      </c>
      <c r="U174" s="3">
        <v>16134.63</v>
      </c>
      <c r="V174" s="3">
        <v>7862.59</v>
      </c>
      <c r="W174" s="3" t="s">
        <v>132</v>
      </c>
      <c r="X174" s="3" t="s">
        <v>133</v>
      </c>
      <c r="Y174" s="2" t="str">
        <f t="shared" si="3"/>
        <v>Unique</v>
      </c>
      <c r="AA174" s="2" t="str">
        <f t="shared" si="4"/>
        <v>Clean</v>
      </c>
      <c r="AB174" s="2" t="str">
        <f t="shared" si="5"/>
        <v>valid</v>
      </c>
      <c r="AC174">
        <f t="shared" si="20"/>
        <v>0.1</v>
      </c>
      <c r="AD174">
        <f t="shared" si="21"/>
        <v>23997.221999999998</v>
      </c>
      <c r="AE174">
        <f t="shared" si="22"/>
        <v>7862.5919999999987</v>
      </c>
      <c r="AF174">
        <f t="shared" si="23"/>
        <v>0.32764592501582057</v>
      </c>
      <c r="AG174" t="str">
        <f t="shared" si="24"/>
        <v>August</v>
      </c>
      <c r="AH174">
        <f t="shared" si="25"/>
        <v>2025</v>
      </c>
      <c r="AI174" t="str">
        <f t="shared" si="26"/>
        <v>Clean</v>
      </c>
    </row>
    <row r="175" spans="1:35" ht="15.75" customHeight="1">
      <c r="A175" s="3" t="s">
        <v>952</v>
      </c>
      <c r="B175" s="3" t="s">
        <v>953</v>
      </c>
      <c r="C175" s="3" t="s">
        <v>954</v>
      </c>
      <c r="D175" s="3" t="str">
        <f t="shared" si="0"/>
        <v>08-May-2024</v>
      </c>
      <c r="E175" s="3" t="str">
        <f t="shared" si="1"/>
        <v>02-May-2024</v>
      </c>
      <c r="F175" s="3">
        <f t="shared" si="2"/>
        <v>6</v>
      </c>
      <c r="G175" s="3" t="s">
        <v>955</v>
      </c>
      <c r="H175" s="3" t="s">
        <v>956</v>
      </c>
      <c r="I175" s="3" t="s">
        <v>123</v>
      </c>
      <c r="J175" s="3" t="s">
        <v>35</v>
      </c>
      <c r="K175" s="3" t="s">
        <v>162</v>
      </c>
      <c r="L175" s="3" t="s">
        <v>163</v>
      </c>
      <c r="M175" s="3" t="s">
        <v>94</v>
      </c>
      <c r="N175" s="3" t="s">
        <v>102</v>
      </c>
      <c r="O175" s="3" t="s">
        <v>957</v>
      </c>
      <c r="P175" s="3" t="s">
        <v>41</v>
      </c>
      <c r="Q175" s="3">
        <v>1</v>
      </c>
      <c r="R175" s="3">
        <v>2312.25</v>
      </c>
      <c r="S175" s="3">
        <v>0.25</v>
      </c>
      <c r="T175" s="3">
        <v>1734.19</v>
      </c>
      <c r="U175" s="3">
        <v>1386.07</v>
      </c>
      <c r="V175" s="3">
        <v>348.12</v>
      </c>
      <c r="W175" s="3" t="s">
        <v>42</v>
      </c>
      <c r="X175" s="3" t="s">
        <v>43</v>
      </c>
      <c r="Y175" s="2" t="str">
        <f t="shared" si="3"/>
        <v>Unique</v>
      </c>
      <c r="AA175" s="2" t="str">
        <f t="shared" si="4"/>
        <v>Clean</v>
      </c>
      <c r="AB175" s="2" t="str">
        <f t="shared" si="5"/>
        <v>valid</v>
      </c>
      <c r="AC175">
        <f t="shared" si="20"/>
        <v>0.25</v>
      </c>
      <c r="AD175">
        <f t="shared" si="21"/>
        <v>1734.1875</v>
      </c>
      <c r="AE175">
        <f t="shared" si="22"/>
        <v>348.11750000000006</v>
      </c>
      <c r="AF175">
        <f t="shared" si="23"/>
        <v>0.20073809781237614</v>
      </c>
      <c r="AG175" t="str">
        <f t="shared" si="24"/>
        <v>May</v>
      </c>
      <c r="AH175">
        <f t="shared" si="25"/>
        <v>2024</v>
      </c>
      <c r="AI175" t="str">
        <f t="shared" si="26"/>
        <v>Clean</v>
      </c>
    </row>
    <row r="176" spans="1:35" ht="15.75" customHeight="1">
      <c r="A176" s="3" t="s">
        <v>958</v>
      </c>
      <c r="B176" s="3" t="s">
        <v>959</v>
      </c>
      <c r="C176" s="3" t="s">
        <v>960</v>
      </c>
      <c r="D176" s="3" t="str">
        <f t="shared" si="0"/>
        <v>04-Oct-2025</v>
      </c>
      <c r="E176" s="3" t="str">
        <f t="shared" si="1"/>
        <v>28-Sep-2025</v>
      </c>
      <c r="F176" s="3">
        <f t="shared" si="2"/>
        <v>6</v>
      </c>
      <c r="G176" s="3" t="s">
        <v>961</v>
      </c>
      <c r="H176" s="3" t="s">
        <v>33</v>
      </c>
      <c r="I176" s="3" t="s">
        <v>49</v>
      </c>
      <c r="J176" s="3" t="s">
        <v>70</v>
      </c>
      <c r="K176" s="3" t="s">
        <v>237</v>
      </c>
      <c r="L176" s="3" t="s">
        <v>238</v>
      </c>
      <c r="M176" s="3" t="s">
        <v>53</v>
      </c>
      <c r="N176" s="3" t="s">
        <v>212</v>
      </c>
      <c r="O176" s="3" t="s">
        <v>962</v>
      </c>
      <c r="P176" s="3" t="s">
        <v>64</v>
      </c>
      <c r="Q176" s="3">
        <v>6</v>
      </c>
      <c r="R176" s="3">
        <v>1620.53</v>
      </c>
      <c r="S176" s="3">
        <v>0.15</v>
      </c>
      <c r="T176" s="3">
        <v>8264.7000000000007</v>
      </c>
      <c r="U176" s="3">
        <v>4768.75</v>
      </c>
      <c r="V176" s="3">
        <v>3495.95</v>
      </c>
      <c r="W176" s="3" t="s">
        <v>145</v>
      </c>
      <c r="X176" s="3" t="s">
        <v>133</v>
      </c>
      <c r="Y176" s="2" t="str">
        <f t="shared" si="3"/>
        <v>Unique</v>
      </c>
      <c r="AA176" s="2" t="str">
        <f t="shared" si="4"/>
        <v>Clean</v>
      </c>
      <c r="AB176" s="2" t="str">
        <f t="shared" si="5"/>
        <v>valid</v>
      </c>
      <c r="AC176">
        <f t="shared" si="20"/>
        <v>0.15</v>
      </c>
      <c r="AD176">
        <f t="shared" si="21"/>
        <v>8264.7029999999995</v>
      </c>
      <c r="AE176">
        <f t="shared" si="22"/>
        <v>3495.9529999999995</v>
      </c>
      <c r="AF176">
        <f t="shared" si="23"/>
        <v>0.42299801940856191</v>
      </c>
      <c r="AG176" t="str">
        <f t="shared" si="24"/>
        <v>September</v>
      </c>
      <c r="AH176">
        <f t="shared" si="25"/>
        <v>2025</v>
      </c>
      <c r="AI176" t="str">
        <f t="shared" si="26"/>
        <v>Clean</v>
      </c>
    </row>
    <row r="177" spans="1:35" ht="15.75" customHeight="1">
      <c r="A177" s="3" t="s">
        <v>963</v>
      </c>
      <c r="B177" s="3" t="s">
        <v>751</v>
      </c>
      <c r="C177" s="3" t="s">
        <v>964</v>
      </c>
      <c r="D177" s="3" t="str">
        <f t="shared" si="0"/>
        <v>03-Feb-2024</v>
      </c>
      <c r="E177" s="3" t="str">
        <f t="shared" si="1"/>
        <v>27-Jan-2024</v>
      </c>
      <c r="F177" s="3">
        <f t="shared" si="2"/>
        <v>7</v>
      </c>
      <c r="G177" s="3" t="s">
        <v>965</v>
      </c>
      <c r="H177" s="3" t="s">
        <v>69</v>
      </c>
      <c r="I177" s="3" t="s">
        <v>49</v>
      </c>
      <c r="J177" s="3" t="s">
        <v>50</v>
      </c>
      <c r="K177" s="3" t="s">
        <v>194</v>
      </c>
      <c r="L177" s="3" t="s">
        <v>195</v>
      </c>
      <c r="M177" s="3" t="s">
        <v>94</v>
      </c>
      <c r="N177" s="3" t="s">
        <v>391</v>
      </c>
      <c r="O177" s="3" t="s">
        <v>966</v>
      </c>
      <c r="P177" s="3" t="s">
        <v>56</v>
      </c>
      <c r="Q177" s="3">
        <v>7</v>
      </c>
      <c r="R177" s="3">
        <v>2673.42</v>
      </c>
      <c r="S177" s="3">
        <v>0.15</v>
      </c>
      <c r="T177" s="3">
        <v>15906.85</v>
      </c>
      <c r="U177" s="3">
        <v>11014.46</v>
      </c>
      <c r="V177" s="3">
        <v>4892.3900000000003</v>
      </c>
      <c r="W177" s="3" t="s">
        <v>42</v>
      </c>
      <c r="X177" s="3" t="s">
        <v>133</v>
      </c>
      <c r="Y177" s="2" t="str">
        <f t="shared" si="3"/>
        <v>Unique</v>
      </c>
      <c r="AA177" s="2" t="str">
        <f t="shared" si="4"/>
        <v>Clean</v>
      </c>
      <c r="AB177" s="2" t="str">
        <f t="shared" si="5"/>
        <v>valid</v>
      </c>
      <c r="AC177">
        <f t="shared" si="20"/>
        <v>0.15</v>
      </c>
      <c r="AD177">
        <f t="shared" si="21"/>
        <v>15906.849000000002</v>
      </c>
      <c r="AE177">
        <f t="shared" si="22"/>
        <v>4892.3890000000029</v>
      </c>
      <c r="AF177">
        <f t="shared" si="23"/>
        <v>0.30756493633654297</v>
      </c>
      <c r="AG177" t="str">
        <f t="shared" si="24"/>
        <v>January</v>
      </c>
      <c r="AH177">
        <f t="shared" si="25"/>
        <v>2024</v>
      </c>
      <c r="AI177" t="str">
        <f t="shared" si="26"/>
        <v>Clean</v>
      </c>
    </row>
    <row r="178" spans="1:35" ht="15.75" customHeight="1">
      <c r="A178" s="3" t="s">
        <v>967</v>
      </c>
      <c r="B178" s="3" t="s">
        <v>968</v>
      </c>
      <c r="C178" s="3" t="s">
        <v>969</v>
      </c>
      <c r="D178" s="3" t="str">
        <f t="shared" si="0"/>
        <v>26-Mar-2025</v>
      </c>
      <c r="E178" s="3" t="str">
        <f t="shared" si="1"/>
        <v>18-Mar-2025</v>
      </c>
      <c r="F178" s="3">
        <f t="shared" si="2"/>
        <v>8</v>
      </c>
      <c r="G178" s="3" t="s">
        <v>970</v>
      </c>
      <c r="H178" s="3" t="s">
        <v>91</v>
      </c>
      <c r="I178" s="3" t="s">
        <v>116</v>
      </c>
      <c r="J178" s="3" t="s">
        <v>50</v>
      </c>
      <c r="K178" s="3" t="s">
        <v>319</v>
      </c>
      <c r="L178" s="3" t="s">
        <v>320</v>
      </c>
      <c r="M178" s="3" t="s">
        <v>53</v>
      </c>
      <c r="N178" s="3" t="s">
        <v>212</v>
      </c>
      <c r="O178" s="3" t="s">
        <v>971</v>
      </c>
      <c r="P178" s="3" t="s">
        <v>75</v>
      </c>
      <c r="Q178" s="3">
        <v>8</v>
      </c>
      <c r="R178" s="3">
        <v>3563.09</v>
      </c>
      <c r="S178" s="3">
        <v>0.15</v>
      </c>
      <c r="T178" s="3">
        <v>24229.01</v>
      </c>
      <c r="U178" s="3">
        <v>13910.64</v>
      </c>
      <c r="V178" s="3">
        <v>10318.370000000001</v>
      </c>
      <c r="W178" s="3" t="s">
        <v>42</v>
      </c>
      <c r="X178" s="3" t="s">
        <v>43</v>
      </c>
      <c r="Y178" s="2" t="str">
        <f t="shared" si="3"/>
        <v>Unique</v>
      </c>
      <c r="AA178" s="2" t="str">
        <f t="shared" si="4"/>
        <v>Clean</v>
      </c>
      <c r="AB178" s="2" t="str">
        <f t="shared" si="5"/>
        <v>valid</v>
      </c>
      <c r="AC178">
        <f t="shared" si="20"/>
        <v>0.15</v>
      </c>
      <c r="AD178">
        <f t="shared" si="21"/>
        <v>24229.011999999999</v>
      </c>
      <c r="AE178">
        <f t="shared" si="22"/>
        <v>10318.371999999999</v>
      </c>
      <c r="AF178">
        <f t="shared" si="23"/>
        <v>0.42586845885420338</v>
      </c>
      <c r="AG178" t="str">
        <f t="shared" si="24"/>
        <v>March</v>
      </c>
      <c r="AH178">
        <f t="shared" si="25"/>
        <v>2025</v>
      </c>
      <c r="AI178" t="str">
        <f t="shared" si="26"/>
        <v>Clean</v>
      </c>
    </row>
    <row r="179" spans="1:35" ht="15.75" customHeight="1">
      <c r="A179" s="3" t="s">
        <v>972</v>
      </c>
      <c r="B179" s="3" t="s">
        <v>973</v>
      </c>
      <c r="C179" s="3" t="s">
        <v>974</v>
      </c>
      <c r="D179" s="3" t="str">
        <f t="shared" si="0"/>
        <v>06-Mar-2024</v>
      </c>
      <c r="E179" s="3" t="str">
        <f t="shared" si="1"/>
        <v>01-Jun-2024</v>
      </c>
      <c r="F179" s="3">
        <f t="shared" si="2"/>
        <v>-87</v>
      </c>
      <c r="G179" s="3" t="s">
        <v>975</v>
      </c>
      <c r="H179" s="3" t="s">
        <v>176</v>
      </c>
      <c r="I179" s="3" t="s">
        <v>123</v>
      </c>
      <c r="J179" s="3" t="s">
        <v>280</v>
      </c>
      <c r="K179" s="3" t="s">
        <v>194</v>
      </c>
      <c r="L179" s="3" t="s">
        <v>195</v>
      </c>
      <c r="M179" s="3" t="s">
        <v>38</v>
      </c>
      <c r="N179" s="3" t="s">
        <v>62</v>
      </c>
      <c r="O179" s="3" t="s">
        <v>976</v>
      </c>
      <c r="P179" s="3" t="s">
        <v>56</v>
      </c>
      <c r="Q179" s="3">
        <v>8</v>
      </c>
      <c r="R179" s="3">
        <v>3879.95</v>
      </c>
      <c r="S179" s="3">
        <v>0</v>
      </c>
      <c r="T179" s="3">
        <v>31039.599999999999</v>
      </c>
      <c r="U179" s="3">
        <v>20866.72</v>
      </c>
      <c r="V179" s="3">
        <v>10172.879999999999</v>
      </c>
      <c r="W179" s="3" t="s">
        <v>42</v>
      </c>
      <c r="X179" s="3" t="s">
        <v>43</v>
      </c>
      <c r="Y179" s="2" t="str">
        <f t="shared" si="3"/>
        <v>Unique</v>
      </c>
      <c r="AA179" s="2" t="str">
        <f t="shared" si="4"/>
        <v>Clean</v>
      </c>
      <c r="AB179" s="2" t="str">
        <f t="shared" si="5"/>
        <v>Invalid</v>
      </c>
      <c r="AC179">
        <f t="shared" si="20"/>
        <v>0</v>
      </c>
      <c r="AD179">
        <f t="shared" si="21"/>
        <v>31039.599999999999</v>
      </c>
      <c r="AE179">
        <f t="shared" si="22"/>
        <v>10172.879999999997</v>
      </c>
      <c r="AF179">
        <f t="shared" si="23"/>
        <v>0.32773875952009685</v>
      </c>
      <c r="AG179" t="str">
        <f t="shared" si="24"/>
        <v>June</v>
      </c>
      <c r="AH179">
        <f t="shared" si="25"/>
        <v>2024</v>
      </c>
      <c r="AI179" t="str">
        <f t="shared" si="26"/>
        <v>Clean</v>
      </c>
    </row>
    <row r="180" spans="1:35" ht="15.75" customHeight="1">
      <c r="A180" s="3" t="s">
        <v>977</v>
      </c>
      <c r="B180" s="3" t="s">
        <v>978</v>
      </c>
      <c r="C180" s="3" t="s">
        <v>979</v>
      </c>
      <c r="D180" s="3" t="str">
        <f t="shared" si="0"/>
        <v>30-Sep-2024</v>
      </c>
      <c r="E180" s="3" t="str">
        <f t="shared" si="1"/>
        <v>30-Sep-2024</v>
      </c>
      <c r="F180" s="3">
        <f t="shared" si="2"/>
        <v>0</v>
      </c>
      <c r="G180" s="3" t="s">
        <v>980</v>
      </c>
      <c r="H180" s="3" t="s">
        <v>61</v>
      </c>
      <c r="I180" s="3" t="s">
        <v>116</v>
      </c>
      <c r="J180" s="3" t="s">
        <v>70</v>
      </c>
      <c r="K180" s="3" t="s">
        <v>71</v>
      </c>
      <c r="L180" s="3" t="s">
        <v>72</v>
      </c>
      <c r="M180" s="3" t="s">
        <v>38</v>
      </c>
      <c r="N180" s="3" t="s">
        <v>62</v>
      </c>
      <c r="O180" s="3" t="s">
        <v>981</v>
      </c>
      <c r="P180" s="3" t="s">
        <v>75</v>
      </c>
      <c r="Q180" s="3">
        <v>4</v>
      </c>
      <c r="R180" s="3">
        <v>3281.74</v>
      </c>
      <c r="S180" s="3">
        <v>0</v>
      </c>
      <c r="T180" s="3">
        <v>13126.96</v>
      </c>
      <c r="U180" s="3">
        <v>10732.44</v>
      </c>
      <c r="V180" s="3">
        <v>2394.52</v>
      </c>
      <c r="W180" s="3" t="s">
        <v>42</v>
      </c>
      <c r="X180" s="3" t="s">
        <v>43</v>
      </c>
      <c r="Y180" s="2" t="str">
        <f t="shared" si="3"/>
        <v>Unique</v>
      </c>
      <c r="AA180" s="2" t="str">
        <f t="shared" si="4"/>
        <v>Clean</v>
      </c>
      <c r="AB180" s="2" t="str">
        <f t="shared" si="5"/>
        <v>valid</v>
      </c>
      <c r="AC180">
        <f t="shared" si="20"/>
        <v>0</v>
      </c>
      <c r="AD180">
        <f t="shared" si="21"/>
        <v>13126.96</v>
      </c>
      <c r="AE180">
        <f t="shared" si="22"/>
        <v>2394.5199999999986</v>
      </c>
      <c r="AF180">
        <f t="shared" si="23"/>
        <v>0.18241237879905162</v>
      </c>
      <c r="AG180" t="str">
        <f t="shared" si="24"/>
        <v>September</v>
      </c>
      <c r="AH180">
        <f t="shared" si="25"/>
        <v>2024</v>
      </c>
      <c r="AI180" t="str">
        <f t="shared" si="26"/>
        <v>Clean</v>
      </c>
    </row>
    <row r="181" spans="1:35" ht="15.75" customHeight="1">
      <c r="A181" s="3" t="s">
        <v>982</v>
      </c>
      <c r="B181" s="3" t="s">
        <v>983</v>
      </c>
      <c r="C181" s="3" t="s">
        <v>984</v>
      </c>
      <c r="D181" s="3" t="str">
        <f t="shared" si="0"/>
        <v>19-Mar-2024</v>
      </c>
      <c r="E181" s="3" t="str">
        <f t="shared" si="1"/>
        <v>15-Mar-2024</v>
      </c>
      <c r="F181" s="3">
        <f t="shared" si="2"/>
        <v>4</v>
      </c>
      <c r="G181" s="3" t="s">
        <v>985</v>
      </c>
      <c r="H181" s="3" t="s">
        <v>80</v>
      </c>
      <c r="I181" s="3" t="s">
        <v>49</v>
      </c>
      <c r="J181" s="3" t="s">
        <v>70</v>
      </c>
      <c r="K181" s="3" t="s">
        <v>347</v>
      </c>
      <c r="L181" s="3" t="s">
        <v>348</v>
      </c>
      <c r="M181" s="3" t="s">
        <v>53</v>
      </c>
      <c r="N181" s="3" t="s">
        <v>73</v>
      </c>
      <c r="O181" s="3" t="s">
        <v>986</v>
      </c>
      <c r="P181" s="3" t="s">
        <v>75</v>
      </c>
      <c r="Q181" s="3">
        <v>4</v>
      </c>
      <c r="R181" s="3">
        <v>3186.3</v>
      </c>
      <c r="S181" s="3">
        <v>0.25</v>
      </c>
      <c r="T181" s="3">
        <v>9558.9</v>
      </c>
      <c r="U181" s="3">
        <v>5516.76</v>
      </c>
      <c r="V181" s="3">
        <v>4042.14</v>
      </c>
      <c r="W181" s="3" t="s">
        <v>132</v>
      </c>
      <c r="X181" s="3" t="s">
        <v>133</v>
      </c>
      <c r="Y181" s="2" t="str">
        <f t="shared" si="3"/>
        <v>Unique</v>
      </c>
      <c r="AA181" s="2" t="str">
        <f t="shared" si="4"/>
        <v>Clean</v>
      </c>
      <c r="AB181" s="2" t="str">
        <f t="shared" si="5"/>
        <v>valid</v>
      </c>
      <c r="AC181">
        <f t="shared" si="20"/>
        <v>0.25</v>
      </c>
      <c r="AD181">
        <f t="shared" si="21"/>
        <v>9558.9000000000015</v>
      </c>
      <c r="AE181">
        <f t="shared" si="22"/>
        <v>4042.1400000000012</v>
      </c>
      <c r="AF181">
        <f t="shared" si="23"/>
        <v>0.42286664783604816</v>
      </c>
      <c r="AG181" t="str">
        <f t="shared" si="24"/>
        <v>March</v>
      </c>
      <c r="AH181">
        <f t="shared" si="25"/>
        <v>2024</v>
      </c>
      <c r="AI181" t="str">
        <f t="shared" si="26"/>
        <v>Clean</v>
      </c>
    </row>
    <row r="182" spans="1:35" ht="15.75" customHeight="1">
      <c r="A182" s="3" t="s">
        <v>987</v>
      </c>
      <c r="B182" s="3" t="s">
        <v>988</v>
      </c>
      <c r="C182" s="3" t="s">
        <v>989</v>
      </c>
      <c r="D182" s="3" t="str">
        <f t="shared" si="0"/>
        <v>26-Aug-2024</v>
      </c>
      <c r="E182" s="3" t="str">
        <f t="shared" si="1"/>
        <v>26-Aug-2024</v>
      </c>
      <c r="F182" s="3">
        <f t="shared" si="2"/>
        <v>0</v>
      </c>
      <c r="G182" s="3" t="s">
        <v>990</v>
      </c>
      <c r="H182" s="3" t="s">
        <v>48</v>
      </c>
      <c r="I182" s="3" t="s">
        <v>123</v>
      </c>
      <c r="J182" s="3" t="s">
        <v>35</v>
      </c>
      <c r="K182" s="3" t="s">
        <v>182</v>
      </c>
      <c r="L182" s="3" t="s">
        <v>183</v>
      </c>
      <c r="M182" s="3" t="s">
        <v>38</v>
      </c>
      <c r="N182" s="3" t="s">
        <v>206</v>
      </c>
      <c r="O182" s="3" t="s">
        <v>991</v>
      </c>
      <c r="P182" s="3" t="s">
        <v>64</v>
      </c>
      <c r="Q182" s="3">
        <v>7</v>
      </c>
      <c r="R182" s="3">
        <v>844.59</v>
      </c>
      <c r="S182" s="3">
        <v>0.1</v>
      </c>
      <c r="T182" s="3">
        <v>5320.92</v>
      </c>
      <c r="U182" s="3">
        <v>3041.5</v>
      </c>
      <c r="V182" s="3">
        <v>2279.42</v>
      </c>
      <c r="W182" s="3" t="s">
        <v>42</v>
      </c>
      <c r="X182" s="3" t="s">
        <v>43</v>
      </c>
      <c r="Y182" s="2" t="str">
        <f t="shared" si="3"/>
        <v>Unique</v>
      </c>
      <c r="AA182" s="2" t="str">
        <f t="shared" si="4"/>
        <v>Clean</v>
      </c>
      <c r="AB182" s="2" t="str">
        <f t="shared" si="5"/>
        <v>valid</v>
      </c>
      <c r="AC182">
        <f t="shared" si="20"/>
        <v>0.1</v>
      </c>
      <c r="AD182">
        <f t="shared" si="21"/>
        <v>5320.9170000000004</v>
      </c>
      <c r="AE182">
        <f t="shared" si="22"/>
        <v>2279.4170000000004</v>
      </c>
      <c r="AF182">
        <f t="shared" si="23"/>
        <v>0.42838800154183954</v>
      </c>
      <c r="AG182" t="str">
        <f t="shared" si="24"/>
        <v>August</v>
      </c>
      <c r="AH182">
        <f t="shared" si="25"/>
        <v>2024</v>
      </c>
      <c r="AI182" t="str">
        <f t="shared" si="26"/>
        <v>Clean</v>
      </c>
    </row>
    <row r="183" spans="1:35" ht="15.75" customHeight="1">
      <c r="A183" s="3" t="s">
        <v>992</v>
      </c>
      <c r="B183" s="3" t="s">
        <v>993</v>
      </c>
      <c r="C183" s="3" t="s">
        <v>994</v>
      </c>
      <c r="D183" s="3" t="str">
        <f t="shared" si="0"/>
        <v>10-Sep-2025</v>
      </c>
      <c r="E183" s="3" t="str">
        <f t="shared" si="1"/>
        <v>09-Sep-2025</v>
      </c>
      <c r="F183" s="3">
        <f t="shared" si="2"/>
        <v>1</v>
      </c>
      <c r="G183" s="3" t="s">
        <v>995</v>
      </c>
      <c r="H183" s="3" t="s">
        <v>150</v>
      </c>
      <c r="I183" s="3" t="s">
        <v>123</v>
      </c>
      <c r="J183" s="3" t="s">
        <v>70</v>
      </c>
      <c r="K183" s="3" t="s">
        <v>347</v>
      </c>
      <c r="L183" s="3" t="s">
        <v>348</v>
      </c>
      <c r="M183" s="3" t="s">
        <v>38</v>
      </c>
      <c r="N183" s="3" t="s">
        <v>62</v>
      </c>
      <c r="O183" s="3" t="s">
        <v>996</v>
      </c>
      <c r="P183" s="3" t="s">
        <v>41</v>
      </c>
      <c r="Q183" s="3">
        <v>4</v>
      </c>
      <c r="R183" s="3">
        <v>2551.4499999999998</v>
      </c>
      <c r="S183" s="3">
        <v>0</v>
      </c>
      <c r="T183" s="3">
        <v>10205.799999999999</v>
      </c>
      <c r="U183" s="3">
        <v>5986.31</v>
      </c>
      <c r="V183" s="3">
        <v>4219.49</v>
      </c>
      <c r="W183" s="3" t="s">
        <v>42</v>
      </c>
      <c r="X183" s="3" t="s">
        <v>43</v>
      </c>
      <c r="Y183" s="2" t="str">
        <f t="shared" si="3"/>
        <v>Unique</v>
      </c>
      <c r="AA183" s="2" t="str">
        <f t="shared" si="4"/>
        <v>Clean</v>
      </c>
      <c r="AB183" s="2" t="str">
        <f t="shared" si="5"/>
        <v>valid</v>
      </c>
      <c r="AC183">
        <f t="shared" si="20"/>
        <v>0</v>
      </c>
      <c r="AD183">
        <f t="shared" si="21"/>
        <v>10205.799999999999</v>
      </c>
      <c r="AE183">
        <f t="shared" si="22"/>
        <v>4219.4899999999989</v>
      </c>
      <c r="AF183">
        <f t="shared" si="23"/>
        <v>0.41344039663720622</v>
      </c>
      <c r="AG183" t="str">
        <f t="shared" si="24"/>
        <v>September</v>
      </c>
      <c r="AH183">
        <f t="shared" si="25"/>
        <v>2025</v>
      </c>
      <c r="AI183" t="str">
        <f t="shared" si="26"/>
        <v>Clean</v>
      </c>
    </row>
    <row r="184" spans="1:35" ht="15.75" customHeight="1">
      <c r="A184" s="3" t="s">
        <v>997</v>
      </c>
      <c r="B184" s="3" t="s">
        <v>307</v>
      </c>
      <c r="C184" s="3" t="s">
        <v>307</v>
      </c>
      <c r="D184" s="3" t="str">
        <f t="shared" si="0"/>
        <v>16-Oct-2024</v>
      </c>
      <c r="E184" s="3" t="str">
        <f t="shared" si="1"/>
        <v>16-Oct-2024</v>
      </c>
      <c r="F184" s="3">
        <f t="shared" si="2"/>
        <v>0</v>
      </c>
      <c r="G184" s="3" t="s">
        <v>998</v>
      </c>
      <c r="H184" s="3" t="s">
        <v>80</v>
      </c>
      <c r="I184" s="3" t="s">
        <v>123</v>
      </c>
      <c r="J184" s="3" t="s">
        <v>50</v>
      </c>
      <c r="K184" s="3" t="s">
        <v>194</v>
      </c>
      <c r="L184" s="3" t="s">
        <v>195</v>
      </c>
      <c r="M184" s="3" t="s">
        <v>94</v>
      </c>
      <c r="N184" s="3" t="s">
        <v>391</v>
      </c>
      <c r="O184" s="3" t="s">
        <v>999</v>
      </c>
      <c r="P184" s="3" t="s">
        <v>75</v>
      </c>
      <c r="Q184" s="3">
        <v>7</v>
      </c>
      <c r="R184" s="3">
        <v>775.77</v>
      </c>
      <c r="S184" s="3">
        <v>0</v>
      </c>
      <c r="T184" s="3">
        <v>5430.39</v>
      </c>
      <c r="U184" s="3">
        <v>3707.66</v>
      </c>
      <c r="V184" s="3">
        <v>1722.73</v>
      </c>
      <c r="W184" s="3" t="s">
        <v>42</v>
      </c>
      <c r="X184" s="3" t="s">
        <v>43</v>
      </c>
      <c r="Y184" s="2" t="str">
        <f t="shared" si="3"/>
        <v>Unique</v>
      </c>
      <c r="AA184" s="2" t="str">
        <f t="shared" si="4"/>
        <v>Clean</v>
      </c>
      <c r="AB184" s="2" t="str">
        <f t="shared" si="5"/>
        <v>valid</v>
      </c>
      <c r="AC184">
        <f t="shared" si="20"/>
        <v>0</v>
      </c>
      <c r="AD184">
        <f t="shared" si="21"/>
        <v>5430.3899999999994</v>
      </c>
      <c r="AE184">
        <f t="shared" si="22"/>
        <v>1722.7299999999996</v>
      </c>
      <c r="AF184">
        <f t="shared" si="23"/>
        <v>0.31723872502711586</v>
      </c>
      <c r="AG184" t="str">
        <f t="shared" si="24"/>
        <v>October</v>
      </c>
      <c r="AH184">
        <f t="shared" si="25"/>
        <v>2024</v>
      </c>
      <c r="AI184" t="str">
        <f t="shared" si="26"/>
        <v>Clean</v>
      </c>
    </row>
    <row r="185" spans="1:35" ht="15.75" customHeight="1">
      <c r="A185" s="3" t="s">
        <v>1000</v>
      </c>
      <c r="B185" s="3" t="s">
        <v>1001</v>
      </c>
      <c r="C185" s="3" t="s">
        <v>1002</v>
      </c>
      <c r="D185" s="3" t="str">
        <f t="shared" si="0"/>
        <v>27-Jun-2025</v>
      </c>
      <c r="E185" s="3" t="str">
        <f t="shared" si="1"/>
        <v>24-Jun-2025</v>
      </c>
      <c r="F185" s="3">
        <f t="shared" si="2"/>
        <v>3</v>
      </c>
      <c r="G185" s="3" t="s">
        <v>1003</v>
      </c>
      <c r="H185" s="3" t="s">
        <v>91</v>
      </c>
      <c r="I185" s="3" t="s">
        <v>123</v>
      </c>
      <c r="J185" s="3" t="s">
        <v>70</v>
      </c>
      <c r="K185" s="3" t="s">
        <v>71</v>
      </c>
      <c r="L185" s="3" t="s">
        <v>72</v>
      </c>
      <c r="M185" s="3" t="s">
        <v>94</v>
      </c>
      <c r="N185" s="3" t="s">
        <v>102</v>
      </c>
      <c r="O185" s="3" t="s">
        <v>1004</v>
      </c>
      <c r="P185" s="3" t="s">
        <v>75</v>
      </c>
      <c r="Q185" s="3">
        <v>7</v>
      </c>
      <c r="R185" s="3">
        <v>2304.86</v>
      </c>
      <c r="S185" s="3">
        <v>0.2</v>
      </c>
      <c r="T185" s="3">
        <v>12907.22</v>
      </c>
      <c r="U185" s="3">
        <v>8327.89</v>
      </c>
      <c r="V185" s="3">
        <v>4579.33</v>
      </c>
      <c r="W185" s="3" t="s">
        <v>42</v>
      </c>
      <c r="X185" s="3" t="s">
        <v>133</v>
      </c>
      <c r="Y185" s="2" t="str">
        <f t="shared" si="3"/>
        <v>Unique</v>
      </c>
      <c r="AA185" s="2" t="str">
        <f t="shared" si="4"/>
        <v>Clean</v>
      </c>
      <c r="AB185" s="2" t="str">
        <f t="shared" si="5"/>
        <v>valid</v>
      </c>
      <c r="AC185">
        <f t="shared" si="20"/>
        <v>0.2</v>
      </c>
      <c r="AD185">
        <f t="shared" si="21"/>
        <v>12907.216</v>
      </c>
      <c r="AE185">
        <f t="shared" si="22"/>
        <v>4579.3260000000009</v>
      </c>
      <c r="AF185">
        <f t="shared" si="23"/>
        <v>0.3547880503433119</v>
      </c>
      <c r="AG185" t="str">
        <f t="shared" si="24"/>
        <v>June</v>
      </c>
      <c r="AH185">
        <f t="shared" si="25"/>
        <v>2025</v>
      </c>
      <c r="AI185" t="str">
        <f t="shared" si="26"/>
        <v>Clean</v>
      </c>
    </row>
    <row r="186" spans="1:35" ht="15.75" customHeight="1">
      <c r="A186" s="3" t="s">
        <v>1005</v>
      </c>
      <c r="B186" s="3" t="s">
        <v>1006</v>
      </c>
      <c r="C186" s="3" t="s">
        <v>356</v>
      </c>
      <c r="D186" s="3" t="str">
        <f t="shared" si="0"/>
        <v>06-Apr-2024</v>
      </c>
      <c r="E186" s="3" t="str">
        <f t="shared" si="1"/>
        <v>02-Apr-2024</v>
      </c>
      <c r="F186" s="3">
        <f t="shared" si="2"/>
        <v>4</v>
      </c>
      <c r="G186" s="3" t="s">
        <v>1007</v>
      </c>
      <c r="H186" s="3" t="s">
        <v>91</v>
      </c>
      <c r="I186" s="3" t="s">
        <v>116</v>
      </c>
      <c r="J186" s="3" t="s">
        <v>81</v>
      </c>
      <c r="K186" s="3" t="s">
        <v>92</v>
      </c>
      <c r="L186" s="3" t="s">
        <v>93</v>
      </c>
      <c r="M186" s="3" t="s">
        <v>53</v>
      </c>
      <c r="N186" s="3" t="s">
        <v>212</v>
      </c>
      <c r="O186" s="3" t="s">
        <v>1008</v>
      </c>
      <c r="P186" s="3" t="s">
        <v>75</v>
      </c>
      <c r="Q186" s="3">
        <v>2</v>
      </c>
      <c r="R186" s="3">
        <v>888.98</v>
      </c>
      <c r="S186" s="3">
        <v>0</v>
      </c>
      <c r="T186" s="3">
        <v>1777.96</v>
      </c>
      <c r="U186" s="3">
        <v>1021.16</v>
      </c>
      <c r="V186" s="3">
        <v>756.8</v>
      </c>
      <c r="W186" s="3" t="s">
        <v>132</v>
      </c>
      <c r="X186" s="3" t="s">
        <v>133</v>
      </c>
      <c r="Y186" s="2" t="str">
        <f t="shared" si="3"/>
        <v>Unique</v>
      </c>
      <c r="AA186" s="2" t="str">
        <f t="shared" si="4"/>
        <v>Clean</v>
      </c>
      <c r="AB186" s="2" t="str">
        <f t="shared" si="5"/>
        <v>valid</v>
      </c>
      <c r="AC186">
        <f t="shared" si="20"/>
        <v>0</v>
      </c>
      <c r="AD186">
        <f t="shared" si="21"/>
        <v>1777.96</v>
      </c>
      <c r="AE186">
        <f t="shared" si="22"/>
        <v>756.80000000000007</v>
      </c>
      <c r="AF186">
        <f t="shared" si="23"/>
        <v>0.42565637022205227</v>
      </c>
      <c r="AG186" t="str">
        <f t="shared" si="24"/>
        <v>April</v>
      </c>
      <c r="AH186">
        <f t="shared" si="25"/>
        <v>2024</v>
      </c>
      <c r="AI186" t="str">
        <f t="shared" si="26"/>
        <v>Clean</v>
      </c>
    </row>
    <row r="187" spans="1:35" ht="15.75" customHeight="1">
      <c r="A187" s="3" t="s">
        <v>1009</v>
      </c>
      <c r="B187" s="3" t="s">
        <v>112</v>
      </c>
      <c r="C187" s="3" t="s">
        <v>1010</v>
      </c>
      <c r="D187" s="3" t="str">
        <f t="shared" si="0"/>
        <v>13-Nov-2024</v>
      </c>
      <c r="E187" s="3" t="str">
        <f t="shared" si="1"/>
        <v>11-May-2024</v>
      </c>
      <c r="F187" s="3">
        <f t="shared" si="2"/>
        <v>186</v>
      </c>
      <c r="G187" s="3" t="s">
        <v>1011</v>
      </c>
      <c r="H187" s="3" t="s">
        <v>69</v>
      </c>
      <c r="I187" s="3" t="s">
        <v>34</v>
      </c>
      <c r="J187" s="3" t="s">
        <v>280</v>
      </c>
      <c r="K187" s="3" t="s">
        <v>162</v>
      </c>
      <c r="L187" s="3" t="s">
        <v>163</v>
      </c>
      <c r="M187" s="3" t="s">
        <v>38</v>
      </c>
      <c r="N187" s="3" t="s">
        <v>117</v>
      </c>
      <c r="O187" s="3" t="s">
        <v>1012</v>
      </c>
      <c r="P187" s="3" t="s">
        <v>41</v>
      </c>
      <c r="Q187" s="3">
        <v>2</v>
      </c>
      <c r="R187" s="3">
        <v>1003.17</v>
      </c>
      <c r="S187" s="3">
        <v>0.2</v>
      </c>
      <c r="T187" s="3">
        <v>1605.07</v>
      </c>
      <c r="U187" s="3">
        <v>1337.28</v>
      </c>
      <c r="V187" s="3">
        <v>267.79000000000002</v>
      </c>
      <c r="W187" s="3" t="s">
        <v>42</v>
      </c>
      <c r="X187" s="3" t="s">
        <v>43</v>
      </c>
      <c r="Y187" s="2" t="str">
        <f t="shared" si="3"/>
        <v>Unique</v>
      </c>
      <c r="AA187" s="2" t="str">
        <f t="shared" si="4"/>
        <v>Clean</v>
      </c>
      <c r="AB187" s="2" t="str">
        <f t="shared" si="5"/>
        <v>valid</v>
      </c>
      <c r="AC187">
        <f t="shared" si="20"/>
        <v>0.2</v>
      </c>
      <c r="AD187">
        <f t="shared" si="21"/>
        <v>1605.0720000000001</v>
      </c>
      <c r="AE187">
        <f t="shared" si="22"/>
        <v>267.79200000000014</v>
      </c>
      <c r="AF187">
        <f t="shared" si="23"/>
        <v>0.16684111366966722</v>
      </c>
      <c r="AG187" t="str">
        <f t="shared" si="24"/>
        <v>May</v>
      </c>
      <c r="AH187">
        <f t="shared" si="25"/>
        <v>2024</v>
      </c>
      <c r="AI187" t="str">
        <f t="shared" si="26"/>
        <v>Clean</v>
      </c>
    </row>
    <row r="188" spans="1:35" ht="15.75" customHeight="1">
      <c r="A188" s="3" t="s">
        <v>1013</v>
      </c>
      <c r="B188" s="3" t="s">
        <v>340</v>
      </c>
      <c r="C188" s="3" t="s">
        <v>1014</v>
      </c>
      <c r="D188" s="3" t="str">
        <f t="shared" si="0"/>
        <v>20-Jul-2024</v>
      </c>
      <c r="E188" s="3" t="str">
        <f t="shared" si="1"/>
        <v>19-Jul-2024</v>
      </c>
      <c r="F188" s="3">
        <f t="shared" si="2"/>
        <v>1</v>
      </c>
      <c r="G188" s="3" t="s">
        <v>374</v>
      </c>
      <c r="H188" s="3" t="s">
        <v>91</v>
      </c>
      <c r="I188" s="3" t="s">
        <v>34</v>
      </c>
      <c r="J188" s="3" t="s">
        <v>70</v>
      </c>
      <c r="K188" s="3" t="s">
        <v>347</v>
      </c>
      <c r="L188" s="3" t="s">
        <v>348</v>
      </c>
      <c r="M188" s="3" t="s">
        <v>53</v>
      </c>
      <c r="N188" s="3" t="s">
        <v>54</v>
      </c>
      <c r="O188" s="3" t="s">
        <v>1015</v>
      </c>
      <c r="P188" s="3" t="s">
        <v>64</v>
      </c>
      <c r="Q188" s="3">
        <v>7</v>
      </c>
      <c r="R188" s="3">
        <v>3608.43</v>
      </c>
      <c r="S188" s="3">
        <v>0.05</v>
      </c>
      <c r="T188" s="3">
        <v>23996.06</v>
      </c>
      <c r="U188" s="3">
        <v>20167.28</v>
      </c>
      <c r="V188" s="3">
        <v>3828.78</v>
      </c>
      <c r="W188" s="3" t="s">
        <v>42</v>
      </c>
      <c r="X188" s="3" t="s">
        <v>43</v>
      </c>
      <c r="Y188" s="2" t="str">
        <f t="shared" si="3"/>
        <v>Unique</v>
      </c>
      <c r="AA188" s="2" t="str">
        <f t="shared" si="4"/>
        <v>Clean</v>
      </c>
      <c r="AB188" s="2" t="str">
        <f t="shared" si="5"/>
        <v>valid</v>
      </c>
      <c r="AC188">
        <f t="shared" si="20"/>
        <v>0.05</v>
      </c>
      <c r="AD188">
        <f t="shared" si="21"/>
        <v>23996.059499999996</v>
      </c>
      <c r="AE188">
        <f t="shared" si="22"/>
        <v>3828.7794999999969</v>
      </c>
      <c r="AF188">
        <f t="shared" si="23"/>
        <v>0.15955867670689838</v>
      </c>
      <c r="AG188" t="str">
        <f t="shared" si="24"/>
        <v>July</v>
      </c>
      <c r="AH188">
        <f t="shared" si="25"/>
        <v>2024</v>
      </c>
      <c r="AI188" t="str">
        <f t="shared" si="26"/>
        <v>Clean</v>
      </c>
    </row>
    <row r="189" spans="1:35" ht="15.75" customHeight="1">
      <c r="A189" s="3" t="s">
        <v>1016</v>
      </c>
      <c r="B189" s="3" t="s">
        <v>1017</v>
      </c>
      <c r="C189" s="3" t="s">
        <v>1018</v>
      </c>
      <c r="D189" s="3" t="str">
        <f t="shared" si="0"/>
        <v>02-May-2025</v>
      </c>
      <c r="E189" s="3" t="str">
        <f t="shared" si="1"/>
        <v>01-May-2025</v>
      </c>
      <c r="F189" s="3">
        <f t="shared" si="2"/>
        <v>1</v>
      </c>
      <c r="G189" s="3" t="s">
        <v>1019</v>
      </c>
      <c r="H189" s="3" t="s">
        <v>48</v>
      </c>
      <c r="I189" s="3" t="s">
        <v>34</v>
      </c>
      <c r="J189" s="3" t="s">
        <v>81</v>
      </c>
      <c r="K189" s="3" t="s">
        <v>92</v>
      </c>
      <c r="L189" s="3" t="s">
        <v>93</v>
      </c>
      <c r="M189" s="3" t="s">
        <v>53</v>
      </c>
      <c r="N189" s="3" t="s">
        <v>84</v>
      </c>
      <c r="O189" s="3" t="s">
        <v>1020</v>
      </c>
      <c r="P189" s="3" t="s">
        <v>56</v>
      </c>
      <c r="Q189" s="3">
        <v>3</v>
      </c>
      <c r="R189" s="3">
        <v>2905.74</v>
      </c>
      <c r="S189" s="3">
        <v>0</v>
      </c>
      <c r="T189" s="3">
        <v>8717.2199999999993</v>
      </c>
      <c r="U189" s="3">
        <v>6215.96</v>
      </c>
      <c r="V189" s="3">
        <v>2501.2600000000002</v>
      </c>
      <c r="W189" s="3" t="s">
        <v>42</v>
      </c>
      <c r="X189" s="3" t="s">
        <v>133</v>
      </c>
      <c r="Y189" s="2" t="str">
        <f t="shared" si="3"/>
        <v>Unique</v>
      </c>
      <c r="AA189" s="2" t="str">
        <f t="shared" si="4"/>
        <v>Clean</v>
      </c>
      <c r="AB189" s="2" t="str">
        <f t="shared" si="5"/>
        <v>valid</v>
      </c>
      <c r="AC189">
        <f t="shared" si="20"/>
        <v>0</v>
      </c>
      <c r="AD189">
        <f t="shared" si="21"/>
        <v>8717.2199999999993</v>
      </c>
      <c r="AE189">
        <f t="shared" si="22"/>
        <v>2501.2599999999993</v>
      </c>
      <c r="AF189">
        <f t="shared" si="23"/>
        <v>0.28693321953558582</v>
      </c>
      <c r="AG189" t="str">
        <f t="shared" si="24"/>
        <v>May</v>
      </c>
      <c r="AH189">
        <f t="shared" si="25"/>
        <v>2025</v>
      </c>
      <c r="AI189" t="str">
        <f t="shared" si="26"/>
        <v>Clean</v>
      </c>
    </row>
    <row r="190" spans="1:35" ht="15.75" customHeight="1">
      <c r="A190" s="3" t="s">
        <v>1021</v>
      </c>
      <c r="B190" s="3" t="s">
        <v>1022</v>
      </c>
      <c r="C190" s="3" t="s">
        <v>1023</v>
      </c>
      <c r="D190" s="3" t="str">
        <f t="shared" si="0"/>
        <v>28-May-2025</v>
      </c>
      <c r="E190" s="3" t="str">
        <f t="shared" si="1"/>
        <v>21-May-2025</v>
      </c>
      <c r="F190" s="3">
        <f t="shared" si="2"/>
        <v>7</v>
      </c>
      <c r="G190" s="3" t="s">
        <v>1024</v>
      </c>
      <c r="H190" s="3" t="s">
        <v>150</v>
      </c>
      <c r="I190" s="3" t="s">
        <v>116</v>
      </c>
      <c r="J190" s="3" t="s">
        <v>50</v>
      </c>
      <c r="K190" s="3" t="s">
        <v>129</v>
      </c>
      <c r="L190" s="3" t="s">
        <v>130</v>
      </c>
      <c r="M190" s="3" t="s">
        <v>53</v>
      </c>
      <c r="N190" s="3" t="s">
        <v>212</v>
      </c>
      <c r="O190" s="3" t="s">
        <v>1025</v>
      </c>
      <c r="P190" s="3" t="s">
        <v>56</v>
      </c>
      <c r="Q190" s="3">
        <v>2</v>
      </c>
      <c r="R190" s="3">
        <v>3559.57</v>
      </c>
      <c r="S190" s="3">
        <v>0.1</v>
      </c>
      <c r="T190" s="3">
        <v>6553.95</v>
      </c>
      <c r="U190" s="3">
        <v>4923.09</v>
      </c>
      <c r="V190" s="3">
        <v>1484.14</v>
      </c>
      <c r="W190" s="3" t="s">
        <v>42</v>
      </c>
      <c r="X190" s="3" t="s">
        <v>43</v>
      </c>
      <c r="Y190" s="2" t="str">
        <f t="shared" si="3"/>
        <v>Unique</v>
      </c>
      <c r="AA190" s="2" t="str">
        <f t="shared" si="4"/>
        <v>Clean</v>
      </c>
      <c r="AB190" s="2" t="str">
        <f t="shared" si="5"/>
        <v>valid</v>
      </c>
      <c r="AC190">
        <f t="shared" si="20"/>
        <v>0.1</v>
      </c>
      <c r="AD190">
        <f t="shared" si="21"/>
        <v>6407.2260000000006</v>
      </c>
      <c r="AE190">
        <f t="shared" si="22"/>
        <v>1484.1360000000004</v>
      </c>
      <c r="AF190">
        <f t="shared" si="23"/>
        <v>0.23163471992403581</v>
      </c>
      <c r="AG190" t="str">
        <f t="shared" si="24"/>
        <v>May</v>
      </c>
      <c r="AH190">
        <f t="shared" si="25"/>
        <v>2025</v>
      </c>
      <c r="AI190" t="str">
        <f t="shared" si="26"/>
        <v>Clean</v>
      </c>
    </row>
    <row r="191" spans="1:35" ht="15.75" customHeight="1">
      <c r="A191" s="3" t="s">
        <v>1026</v>
      </c>
      <c r="B191" s="3" t="s">
        <v>1027</v>
      </c>
      <c r="C191" s="3" t="s">
        <v>1028</v>
      </c>
      <c r="D191" s="3" t="str">
        <f t="shared" si="0"/>
        <v>07-May-2025</v>
      </c>
      <c r="E191" s="3" t="str">
        <f t="shared" si="1"/>
        <v>06-May-2025</v>
      </c>
      <c r="F191" s="3">
        <f t="shared" si="2"/>
        <v>1</v>
      </c>
      <c r="G191" s="3" t="s">
        <v>1029</v>
      </c>
      <c r="H191" s="3" t="s">
        <v>69</v>
      </c>
      <c r="I191" s="3" t="s">
        <v>34</v>
      </c>
      <c r="J191" s="3" t="s">
        <v>81</v>
      </c>
      <c r="K191" s="3" t="s">
        <v>36</v>
      </c>
      <c r="L191" s="3" t="s">
        <v>143</v>
      </c>
      <c r="M191" s="3" t="s">
        <v>53</v>
      </c>
      <c r="N191" s="3" t="s">
        <v>212</v>
      </c>
      <c r="O191" s="3" t="s">
        <v>1030</v>
      </c>
      <c r="P191" s="3" t="s">
        <v>64</v>
      </c>
      <c r="Q191" s="3">
        <v>9</v>
      </c>
      <c r="R191" s="3">
        <v>3318.24</v>
      </c>
      <c r="S191" s="3">
        <v>0</v>
      </c>
      <c r="T191" s="3">
        <v>25384.54</v>
      </c>
      <c r="U191" s="3">
        <v>16872.39</v>
      </c>
      <c r="V191" s="3">
        <v>8512.15</v>
      </c>
      <c r="W191" s="3" t="s">
        <v>42</v>
      </c>
      <c r="X191" s="3" t="s">
        <v>43</v>
      </c>
      <c r="Y191" s="4" t="str">
        <f t="shared" si="3"/>
        <v>Unique</v>
      </c>
      <c r="AA191" s="2" t="str">
        <f t="shared" si="4"/>
        <v>Clean</v>
      </c>
      <c r="AB191" s="2" t="str">
        <f t="shared" si="5"/>
        <v>valid</v>
      </c>
      <c r="AC191">
        <f t="shared" si="20"/>
        <v>0</v>
      </c>
      <c r="AD191">
        <f t="shared" si="21"/>
        <v>29864.159999999996</v>
      </c>
      <c r="AE191">
        <f t="shared" si="22"/>
        <v>12991.769999999997</v>
      </c>
      <c r="AF191">
        <f t="shared" si="23"/>
        <v>0.43502881045373448</v>
      </c>
      <c r="AG191" t="str">
        <f t="shared" si="24"/>
        <v>May</v>
      </c>
      <c r="AH191">
        <f t="shared" si="25"/>
        <v>2025</v>
      </c>
      <c r="AI191" t="str">
        <f t="shared" si="26"/>
        <v>Clean</v>
      </c>
    </row>
    <row r="192" spans="1:35" ht="15.75" customHeight="1">
      <c r="A192" s="3" t="s">
        <v>1031</v>
      </c>
      <c r="B192" s="3" t="s">
        <v>1032</v>
      </c>
      <c r="C192" s="3" t="s">
        <v>1033</v>
      </c>
      <c r="D192" s="3" t="str">
        <f t="shared" si="0"/>
        <v>21-Apr-2025</v>
      </c>
      <c r="E192" s="3" t="str">
        <f t="shared" si="1"/>
        <v>20-Apr-2025</v>
      </c>
      <c r="F192" s="3">
        <f t="shared" si="2"/>
        <v>1</v>
      </c>
      <c r="G192" s="3" t="s">
        <v>1034</v>
      </c>
      <c r="H192" s="3" t="s">
        <v>115</v>
      </c>
      <c r="I192" s="3" t="s">
        <v>34</v>
      </c>
      <c r="J192" s="3" t="s">
        <v>70</v>
      </c>
      <c r="K192" s="3" t="s">
        <v>347</v>
      </c>
      <c r="L192" s="3" t="s">
        <v>348</v>
      </c>
      <c r="M192" s="3" t="s">
        <v>38</v>
      </c>
      <c r="N192" s="3" t="s">
        <v>164</v>
      </c>
      <c r="O192" s="3" t="s">
        <v>1035</v>
      </c>
      <c r="P192" s="3" t="s">
        <v>64</v>
      </c>
      <c r="Q192" s="3">
        <v>3</v>
      </c>
      <c r="R192" s="3">
        <v>540.09</v>
      </c>
      <c r="S192" s="3">
        <v>0.1</v>
      </c>
      <c r="T192" s="3">
        <v>1458.24</v>
      </c>
      <c r="U192" s="3">
        <v>943.32</v>
      </c>
      <c r="V192" s="3">
        <v>514.91999999999996</v>
      </c>
      <c r="W192" s="3" t="s">
        <v>42</v>
      </c>
      <c r="X192" s="3" t="s">
        <v>43</v>
      </c>
      <c r="Y192" s="2" t="str">
        <f t="shared" si="3"/>
        <v>Unique</v>
      </c>
      <c r="AA192" s="2" t="str">
        <f t="shared" si="4"/>
        <v>Clean</v>
      </c>
      <c r="AB192" s="2" t="str">
        <f t="shared" si="5"/>
        <v>valid</v>
      </c>
      <c r="AC192">
        <f t="shared" si="20"/>
        <v>0.1</v>
      </c>
      <c r="AD192">
        <f t="shared" si="21"/>
        <v>1458.2429999999999</v>
      </c>
      <c r="AE192">
        <f t="shared" si="22"/>
        <v>514.92299999999989</v>
      </c>
      <c r="AF192">
        <f t="shared" si="23"/>
        <v>0.35311192990468659</v>
      </c>
      <c r="AG192" t="str">
        <f t="shared" si="24"/>
        <v>April</v>
      </c>
      <c r="AH192">
        <f t="shared" si="25"/>
        <v>2025</v>
      </c>
      <c r="AI192" t="str">
        <f t="shared" si="26"/>
        <v>Clean</v>
      </c>
    </row>
    <row r="193" spans="1:35" ht="15.75" customHeight="1">
      <c r="A193" s="3" t="s">
        <v>1036</v>
      </c>
      <c r="B193" s="3" t="s">
        <v>1037</v>
      </c>
      <c r="C193" s="3" t="s">
        <v>655</v>
      </c>
      <c r="D193" s="3" t="str">
        <f t="shared" si="0"/>
        <v>24-Oct-2024</v>
      </c>
      <c r="E193" s="3" t="str">
        <f t="shared" si="1"/>
        <v>19-Oct-2024</v>
      </c>
      <c r="F193" s="3">
        <f t="shared" si="2"/>
        <v>5</v>
      </c>
      <c r="G193" s="3" t="s">
        <v>1038</v>
      </c>
      <c r="H193" s="3" t="s">
        <v>176</v>
      </c>
      <c r="I193" s="3" t="s">
        <v>49</v>
      </c>
      <c r="J193" s="3" t="s">
        <v>70</v>
      </c>
      <c r="K193" s="3" t="s">
        <v>347</v>
      </c>
      <c r="L193" s="3" t="s">
        <v>348</v>
      </c>
      <c r="M193" s="3" t="s">
        <v>53</v>
      </c>
      <c r="N193" s="3" t="s">
        <v>212</v>
      </c>
      <c r="O193" s="3" t="s">
        <v>1039</v>
      </c>
      <c r="P193" s="3" t="s">
        <v>41</v>
      </c>
      <c r="Q193" s="3">
        <v>6</v>
      </c>
      <c r="R193" s="3">
        <v>4308.3999999999996</v>
      </c>
      <c r="S193" s="3">
        <v>0.65</v>
      </c>
      <c r="T193" s="3">
        <v>25850.400000000001</v>
      </c>
      <c r="U193" s="3">
        <v>19397.68</v>
      </c>
      <c r="V193" s="3">
        <v>6452.72</v>
      </c>
      <c r="W193" s="3" t="s">
        <v>42</v>
      </c>
      <c r="X193" s="3" t="s">
        <v>43</v>
      </c>
      <c r="Y193" s="2" t="str">
        <f t="shared" si="3"/>
        <v>Unique</v>
      </c>
      <c r="AA193" s="2" t="str">
        <f t="shared" si="4"/>
        <v>Invalid</v>
      </c>
      <c r="AB193" s="2" t="str">
        <f t="shared" si="5"/>
        <v>valid</v>
      </c>
      <c r="AC193">
        <f t="shared" si="20"/>
        <v>0.65</v>
      </c>
      <c r="AD193">
        <f t="shared" si="21"/>
        <v>9047.64</v>
      </c>
      <c r="AE193">
        <f t="shared" si="22"/>
        <v>-10350.040000000001</v>
      </c>
      <c r="AF193">
        <f t="shared" si="23"/>
        <v>-1.1439491403283069</v>
      </c>
      <c r="AG193" t="str">
        <f t="shared" si="24"/>
        <v>October</v>
      </c>
      <c r="AH193">
        <f t="shared" si="25"/>
        <v>2024</v>
      </c>
      <c r="AI193" t="str">
        <f t="shared" si="26"/>
        <v>Invalid</v>
      </c>
    </row>
    <row r="194" spans="1:35" ht="15.75" customHeight="1">
      <c r="A194" s="3" t="s">
        <v>1040</v>
      </c>
      <c r="B194" s="3" t="s">
        <v>1041</v>
      </c>
      <c r="C194" s="3" t="s">
        <v>1042</v>
      </c>
      <c r="D194" s="3" t="str">
        <f t="shared" si="0"/>
        <v>16-Dec-2024</v>
      </c>
      <c r="E194" s="3" t="str">
        <f t="shared" si="1"/>
        <v>09-Dec-2024</v>
      </c>
      <c r="F194" s="3">
        <f t="shared" si="2"/>
        <v>7</v>
      </c>
      <c r="G194" s="3" t="s">
        <v>1043</v>
      </c>
      <c r="H194" s="3" t="s">
        <v>61</v>
      </c>
      <c r="I194" s="3" t="s">
        <v>123</v>
      </c>
      <c r="J194" s="3" t="s">
        <v>81</v>
      </c>
      <c r="K194" s="3" t="s">
        <v>243</v>
      </c>
      <c r="L194" s="3" t="s">
        <v>244</v>
      </c>
      <c r="M194" s="3" t="s">
        <v>53</v>
      </c>
      <c r="N194" s="3" t="s">
        <v>84</v>
      </c>
      <c r="O194" s="3" t="s">
        <v>1044</v>
      </c>
      <c r="P194" s="3" t="s">
        <v>64</v>
      </c>
      <c r="Q194" s="3">
        <v>4</v>
      </c>
      <c r="R194" s="3">
        <v>2191.0300000000002</v>
      </c>
      <c r="S194" s="3">
        <v>0</v>
      </c>
      <c r="T194" s="3">
        <v>8764.1200000000008</v>
      </c>
      <c r="U194" s="3">
        <v>7220.05</v>
      </c>
      <c r="V194" s="3">
        <v>1544.07</v>
      </c>
      <c r="W194" s="3" t="s">
        <v>42</v>
      </c>
      <c r="X194" s="3" t="s">
        <v>43</v>
      </c>
      <c r="Y194" s="2" t="str">
        <f t="shared" si="3"/>
        <v>Unique</v>
      </c>
      <c r="AA194" s="2" t="str">
        <f t="shared" si="4"/>
        <v>Clean</v>
      </c>
      <c r="AB194" s="2" t="str">
        <f t="shared" si="5"/>
        <v>valid</v>
      </c>
      <c r="AC194">
        <f t="shared" si="20"/>
        <v>0</v>
      </c>
      <c r="AD194">
        <f t="shared" si="21"/>
        <v>8764.1200000000008</v>
      </c>
      <c r="AE194">
        <f t="shared" si="22"/>
        <v>1544.0700000000006</v>
      </c>
      <c r="AF194">
        <f t="shared" si="23"/>
        <v>0.17618083732308554</v>
      </c>
      <c r="AG194" t="str">
        <f t="shared" si="24"/>
        <v>December</v>
      </c>
      <c r="AH194">
        <f t="shared" si="25"/>
        <v>2024</v>
      </c>
      <c r="AI194" t="str">
        <f t="shared" si="26"/>
        <v>Clean</v>
      </c>
    </row>
    <row r="195" spans="1:35" ht="15.75" customHeight="1">
      <c r="A195" s="3" t="s">
        <v>1045</v>
      </c>
      <c r="B195" s="3" t="s">
        <v>1046</v>
      </c>
      <c r="C195" s="3" t="s">
        <v>1047</v>
      </c>
      <c r="D195" s="3" t="str">
        <f t="shared" si="0"/>
        <v>28-Jun-2024</v>
      </c>
      <c r="E195" s="3" t="str">
        <f t="shared" si="1"/>
        <v>23-Jun-2024</v>
      </c>
      <c r="F195" s="3">
        <f t="shared" si="2"/>
        <v>5</v>
      </c>
      <c r="G195" s="3" t="s">
        <v>1048</v>
      </c>
      <c r="H195" s="3" t="s">
        <v>150</v>
      </c>
      <c r="I195" s="3" t="s">
        <v>49</v>
      </c>
      <c r="J195" s="3" t="s">
        <v>35</v>
      </c>
      <c r="K195" s="3" t="s">
        <v>162</v>
      </c>
      <c r="L195" s="3" t="s">
        <v>163</v>
      </c>
      <c r="M195" s="3" t="s">
        <v>94</v>
      </c>
      <c r="N195" s="3" t="s">
        <v>102</v>
      </c>
      <c r="O195" s="3" t="s">
        <v>1049</v>
      </c>
      <c r="P195" s="3" t="s">
        <v>56</v>
      </c>
      <c r="Q195" s="3">
        <v>6</v>
      </c>
      <c r="R195" s="3">
        <v>1956.63</v>
      </c>
      <c r="S195" s="3">
        <v>0.2</v>
      </c>
      <c r="T195" s="3">
        <v>9391.82</v>
      </c>
      <c r="U195" s="3">
        <v>6013.22</v>
      </c>
      <c r="V195" s="3">
        <v>3378.6</v>
      </c>
      <c r="W195" s="3" t="s">
        <v>132</v>
      </c>
      <c r="X195" s="3" t="s">
        <v>133</v>
      </c>
      <c r="Y195" s="2" t="str">
        <f t="shared" si="3"/>
        <v>Unique</v>
      </c>
      <c r="AA195" s="2" t="str">
        <f t="shared" si="4"/>
        <v>Clean</v>
      </c>
      <c r="AB195" s="2" t="str">
        <f t="shared" si="5"/>
        <v>valid</v>
      </c>
      <c r="AC195">
        <f t="shared" ref="AC195:AC258" si="27">IF(S195="",0,IF(S195&gt;1,S195/100,S195))</f>
        <v>0.2</v>
      </c>
      <c r="AD195">
        <f t="shared" ref="AD195:AD258" si="28">Q195*R195*(1-AC195)</f>
        <v>9391.8240000000005</v>
      </c>
      <c r="AE195">
        <f t="shared" ref="AE195:AE258" si="29">AD195-U195</f>
        <v>3378.6040000000003</v>
      </c>
      <c r="AF195">
        <f t="shared" ref="AF195:AF258" si="30">AE195/AD195</f>
        <v>0.35973885370935399</v>
      </c>
      <c r="AG195" t="str">
        <f t="shared" ref="AG195:AG258" si="31">TEXT(E195,"mmmm")</f>
        <v>June</v>
      </c>
      <c r="AH195">
        <f t="shared" ref="AH195:AH258" si="32">YEAR(E195)</f>
        <v>2024</v>
      </c>
      <c r="AI195" t="str">
        <f t="shared" ref="AI195:AI258" si="33">IF(OR(AC195&lt;0,AC195&gt;0.5,F195="Invalid Shipping Record"),"Invalid",
IF(OR(X195="Cancelled",W195="Failed"),"Warning","Clean"))</f>
        <v>Clean</v>
      </c>
    </row>
    <row r="196" spans="1:35" ht="15.75" customHeight="1">
      <c r="A196" s="3" t="s">
        <v>1050</v>
      </c>
      <c r="B196" s="3" t="s">
        <v>1051</v>
      </c>
      <c r="C196" s="3" t="s">
        <v>1052</v>
      </c>
      <c r="D196" s="3" t="str">
        <f t="shared" si="0"/>
        <v>31-Jan-2025</v>
      </c>
      <c r="E196" s="3" t="str">
        <f t="shared" si="1"/>
        <v>28-Jan-2025</v>
      </c>
      <c r="F196" s="3">
        <f t="shared" si="2"/>
        <v>3</v>
      </c>
      <c r="G196" s="3" t="s">
        <v>1053</v>
      </c>
      <c r="H196" s="3" t="s">
        <v>150</v>
      </c>
      <c r="I196" s="3" t="s">
        <v>34</v>
      </c>
      <c r="J196" s="3" t="s">
        <v>81</v>
      </c>
      <c r="K196" s="3" t="s">
        <v>82</v>
      </c>
      <c r="L196" s="3" t="s">
        <v>83</v>
      </c>
      <c r="M196" s="3" t="s">
        <v>53</v>
      </c>
      <c r="N196" s="3" t="s">
        <v>73</v>
      </c>
      <c r="O196" s="3" t="s">
        <v>1054</v>
      </c>
      <c r="P196" s="3" t="s">
        <v>64</v>
      </c>
      <c r="Q196" s="3">
        <v>9</v>
      </c>
      <c r="R196" s="3">
        <v>858.39</v>
      </c>
      <c r="S196" s="3">
        <v>0.05</v>
      </c>
      <c r="T196" s="3">
        <v>7339.23</v>
      </c>
      <c r="U196" s="3">
        <v>5434.12</v>
      </c>
      <c r="V196" s="3">
        <v>1905.11</v>
      </c>
      <c r="W196" s="3" t="s">
        <v>145</v>
      </c>
      <c r="X196" s="3" t="s">
        <v>133</v>
      </c>
      <c r="Y196" s="2" t="str">
        <f t="shared" si="3"/>
        <v>Unique</v>
      </c>
      <c r="AA196" s="2" t="str">
        <f t="shared" si="4"/>
        <v>Clean</v>
      </c>
      <c r="AB196" s="2" t="str">
        <f t="shared" si="5"/>
        <v>valid</v>
      </c>
      <c r="AC196">
        <f t="shared" si="27"/>
        <v>0.05</v>
      </c>
      <c r="AD196">
        <f t="shared" si="28"/>
        <v>7339.2344999999996</v>
      </c>
      <c r="AE196">
        <f t="shared" si="29"/>
        <v>1905.1144999999997</v>
      </c>
      <c r="AF196">
        <f t="shared" si="30"/>
        <v>0.25957945614082772</v>
      </c>
      <c r="AG196" t="str">
        <f t="shared" si="31"/>
        <v>January</v>
      </c>
      <c r="AH196">
        <f t="shared" si="32"/>
        <v>2025</v>
      </c>
      <c r="AI196" t="str">
        <f t="shared" si="33"/>
        <v>Clean</v>
      </c>
    </row>
    <row r="197" spans="1:35" ht="15.75" customHeight="1">
      <c r="A197" s="3" t="s">
        <v>1055</v>
      </c>
      <c r="B197" s="3" t="s">
        <v>1056</v>
      </c>
      <c r="C197" s="3" t="s">
        <v>1057</v>
      </c>
      <c r="D197" s="3" t="str">
        <f t="shared" si="0"/>
        <v>24-Jul-2025</v>
      </c>
      <c r="E197" s="3" t="str">
        <f t="shared" si="1"/>
        <v>22-Jul-2025</v>
      </c>
      <c r="F197" s="3">
        <f t="shared" si="2"/>
        <v>2</v>
      </c>
      <c r="G197" s="3" t="s">
        <v>1058</v>
      </c>
      <c r="H197" s="3" t="s">
        <v>101</v>
      </c>
      <c r="I197" s="3" t="s">
        <v>123</v>
      </c>
      <c r="J197" s="3" t="s">
        <v>70</v>
      </c>
      <c r="K197" s="3" t="s">
        <v>108</v>
      </c>
      <c r="L197" s="3" t="s">
        <v>109</v>
      </c>
      <c r="M197" s="3" t="s">
        <v>53</v>
      </c>
      <c r="N197" s="3" t="s">
        <v>73</v>
      </c>
      <c r="O197" s="3" t="s">
        <v>1059</v>
      </c>
      <c r="P197" s="3" t="s">
        <v>56</v>
      </c>
      <c r="Q197" s="3">
        <v>5</v>
      </c>
      <c r="R197" s="3">
        <v>1922.83</v>
      </c>
      <c r="S197" s="3">
        <v>0</v>
      </c>
      <c r="T197" s="3">
        <v>9614.15</v>
      </c>
      <c r="U197" s="3">
        <v>7576.84</v>
      </c>
      <c r="V197" s="3">
        <v>2037.31</v>
      </c>
      <c r="W197" s="3" t="s">
        <v>42</v>
      </c>
      <c r="X197" s="3" t="s">
        <v>43</v>
      </c>
      <c r="Y197" s="2" t="str">
        <f t="shared" si="3"/>
        <v>Unique</v>
      </c>
      <c r="AA197" s="2" t="str">
        <f t="shared" si="4"/>
        <v>Clean</v>
      </c>
      <c r="AB197" s="2" t="str">
        <f t="shared" si="5"/>
        <v>valid</v>
      </c>
      <c r="AC197">
        <f t="shared" si="27"/>
        <v>0</v>
      </c>
      <c r="AD197">
        <f t="shared" si="28"/>
        <v>9614.15</v>
      </c>
      <c r="AE197">
        <f t="shared" si="29"/>
        <v>2037.3099999999995</v>
      </c>
      <c r="AF197">
        <f t="shared" si="30"/>
        <v>0.21190744891644084</v>
      </c>
      <c r="AG197" t="str">
        <f t="shared" si="31"/>
        <v>July</v>
      </c>
      <c r="AH197">
        <f t="shared" si="32"/>
        <v>2025</v>
      </c>
      <c r="AI197" t="str">
        <f t="shared" si="33"/>
        <v>Clean</v>
      </c>
    </row>
    <row r="198" spans="1:35" ht="15.75" customHeight="1">
      <c r="A198" s="3" t="s">
        <v>1060</v>
      </c>
      <c r="B198" s="3" t="s">
        <v>1061</v>
      </c>
      <c r="C198" s="3" t="s">
        <v>1062</v>
      </c>
      <c r="D198" s="3" t="str">
        <f t="shared" si="0"/>
        <v>25-Jan-2024</v>
      </c>
      <c r="E198" s="3" t="str">
        <f t="shared" si="1"/>
        <v>22-Jan-2024</v>
      </c>
      <c r="F198" s="3">
        <f t="shared" si="2"/>
        <v>3</v>
      </c>
      <c r="G198" s="3" t="s">
        <v>1063</v>
      </c>
      <c r="H198" s="3" t="s">
        <v>375</v>
      </c>
      <c r="I198" s="3" t="s">
        <v>123</v>
      </c>
      <c r="J198" s="3" t="s">
        <v>35</v>
      </c>
      <c r="K198" s="3" t="s">
        <v>182</v>
      </c>
      <c r="L198" s="3" t="s">
        <v>183</v>
      </c>
      <c r="M198" s="3" t="s">
        <v>38</v>
      </c>
      <c r="N198" s="3" t="s">
        <v>164</v>
      </c>
      <c r="O198" s="3" t="s">
        <v>1064</v>
      </c>
      <c r="P198" s="3" t="s">
        <v>64</v>
      </c>
      <c r="Q198" s="3">
        <v>3</v>
      </c>
      <c r="R198" s="3">
        <v>1212.03</v>
      </c>
      <c r="S198" s="3">
        <v>0.1</v>
      </c>
      <c r="T198" s="3">
        <v>3272.48</v>
      </c>
      <c r="U198" s="3">
        <v>2517.44</v>
      </c>
      <c r="V198" s="3">
        <v>755.04</v>
      </c>
      <c r="W198" s="3" t="s">
        <v>42</v>
      </c>
      <c r="X198" s="3" t="s">
        <v>43</v>
      </c>
      <c r="Y198" s="2" t="str">
        <f t="shared" si="3"/>
        <v>Unique</v>
      </c>
      <c r="AA198" s="2" t="str">
        <f t="shared" si="4"/>
        <v>Clean</v>
      </c>
      <c r="AB198" s="2" t="str">
        <f t="shared" si="5"/>
        <v>valid</v>
      </c>
      <c r="AC198">
        <f t="shared" si="27"/>
        <v>0.1</v>
      </c>
      <c r="AD198">
        <f t="shared" si="28"/>
        <v>3272.4810000000002</v>
      </c>
      <c r="AE198">
        <f t="shared" si="29"/>
        <v>755.04100000000017</v>
      </c>
      <c r="AF198">
        <f t="shared" si="30"/>
        <v>0.23072433422837293</v>
      </c>
      <c r="AG198" t="str">
        <f t="shared" si="31"/>
        <v>January</v>
      </c>
      <c r="AH198">
        <f t="shared" si="32"/>
        <v>2024</v>
      </c>
      <c r="AI198" t="str">
        <f t="shared" si="33"/>
        <v>Clean</v>
      </c>
    </row>
    <row r="199" spans="1:35" ht="15.75" customHeight="1">
      <c r="A199" s="3" t="s">
        <v>1065</v>
      </c>
      <c r="B199" s="3" t="s">
        <v>378</v>
      </c>
      <c r="C199" s="3" t="s">
        <v>1066</v>
      </c>
      <c r="D199" s="3" t="str">
        <f t="shared" si="0"/>
        <v>07-Apr-2025</v>
      </c>
      <c r="E199" s="3" t="str">
        <f t="shared" si="1"/>
        <v>31-Mar-2025</v>
      </c>
      <c r="F199" s="3">
        <f t="shared" si="2"/>
        <v>7</v>
      </c>
      <c r="G199" s="3" t="s">
        <v>574</v>
      </c>
      <c r="H199" s="3" t="s">
        <v>156</v>
      </c>
      <c r="I199" s="3" t="s">
        <v>49</v>
      </c>
      <c r="J199" s="3" t="s">
        <v>50</v>
      </c>
      <c r="K199" s="3" t="s">
        <v>194</v>
      </c>
      <c r="L199" s="3" t="s">
        <v>195</v>
      </c>
      <c r="M199" s="3" t="s">
        <v>38</v>
      </c>
      <c r="N199" s="3" t="s">
        <v>164</v>
      </c>
      <c r="O199" s="3" t="s">
        <v>1067</v>
      </c>
      <c r="P199" s="3" t="s">
        <v>41</v>
      </c>
      <c r="Q199" s="3">
        <v>5</v>
      </c>
      <c r="R199" s="3">
        <v>4096.4399999999996</v>
      </c>
      <c r="S199" s="3">
        <v>0.15</v>
      </c>
      <c r="T199" s="3">
        <v>17409.87</v>
      </c>
      <c r="U199" s="3">
        <v>14076.25</v>
      </c>
      <c r="V199" s="3">
        <v>3333.62</v>
      </c>
      <c r="W199" s="3" t="s">
        <v>42</v>
      </c>
      <c r="X199" s="3" t="s">
        <v>43</v>
      </c>
      <c r="Y199" s="2" t="str">
        <f t="shared" si="3"/>
        <v>Unique</v>
      </c>
      <c r="AA199" s="2" t="str">
        <f t="shared" si="4"/>
        <v>Clean</v>
      </c>
      <c r="AB199" s="2" t="str">
        <f t="shared" si="5"/>
        <v>valid</v>
      </c>
      <c r="AC199">
        <f t="shared" si="27"/>
        <v>0.15</v>
      </c>
      <c r="AD199">
        <f t="shared" si="28"/>
        <v>17409.869999999995</v>
      </c>
      <c r="AE199">
        <f t="shared" si="29"/>
        <v>3333.6199999999953</v>
      </c>
      <c r="AF199">
        <f t="shared" si="30"/>
        <v>0.19147874165631312</v>
      </c>
      <c r="AG199" t="str">
        <f t="shared" si="31"/>
        <v>March</v>
      </c>
      <c r="AH199">
        <f t="shared" si="32"/>
        <v>2025</v>
      </c>
      <c r="AI199" t="str">
        <f t="shared" si="33"/>
        <v>Clean</v>
      </c>
    </row>
    <row r="200" spans="1:35" ht="15.75" customHeight="1">
      <c r="A200" s="3" t="s">
        <v>1068</v>
      </c>
      <c r="B200" s="3" t="s">
        <v>1069</v>
      </c>
      <c r="C200" s="3" t="s">
        <v>1070</v>
      </c>
      <c r="D200" s="3" t="str">
        <f t="shared" si="0"/>
        <v>06-Jun-2024</v>
      </c>
      <c r="E200" s="3" t="str">
        <f t="shared" si="1"/>
        <v>05-Jun-2024</v>
      </c>
      <c r="F200" s="3">
        <f t="shared" si="2"/>
        <v>1</v>
      </c>
      <c r="G200" s="3" t="s">
        <v>1071</v>
      </c>
      <c r="H200" s="3" t="s">
        <v>176</v>
      </c>
      <c r="I200" s="3" t="s">
        <v>34</v>
      </c>
      <c r="J200" s="3" t="s">
        <v>81</v>
      </c>
      <c r="K200" s="3" t="s">
        <v>243</v>
      </c>
      <c r="L200" s="3" t="s">
        <v>244</v>
      </c>
      <c r="M200" s="3" t="s">
        <v>38</v>
      </c>
      <c r="N200" s="3" t="s">
        <v>62</v>
      </c>
      <c r="O200" s="3" t="s">
        <v>1072</v>
      </c>
      <c r="P200" s="3" t="s">
        <v>41</v>
      </c>
      <c r="Q200" s="3">
        <v>1</v>
      </c>
      <c r="R200" s="3">
        <v>1184.58</v>
      </c>
      <c r="S200" s="3">
        <v>0.05</v>
      </c>
      <c r="T200" s="3">
        <v>1125.3499999999999</v>
      </c>
      <c r="U200" s="3">
        <v>676.97</v>
      </c>
      <c r="V200" s="3">
        <v>448.38</v>
      </c>
      <c r="W200" s="3" t="s">
        <v>208</v>
      </c>
      <c r="X200" s="3" t="s">
        <v>86</v>
      </c>
      <c r="Y200" s="2" t="str">
        <f t="shared" si="3"/>
        <v>Unique</v>
      </c>
      <c r="AA200" s="2" t="str">
        <f t="shared" si="4"/>
        <v>Clean</v>
      </c>
      <c r="AB200" s="2" t="str">
        <f t="shared" si="5"/>
        <v>valid</v>
      </c>
      <c r="AC200">
        <f t="shared" si="27"/>
        <v>0.05</v>
      </c>
      <c r="AD200">
        <f t="shared" si="28"/>
        <v>1125.3509999999999</v>
      </c>
      <c r="AE200">
        <f t="shared" si="29"/>
        <v>448.38099999999986</v>
      </c>
      <c r="AF200">
        <f t="shared" si="30"/>
        <v>0.39843657667696558</v>
      </c>
      <c r="AG200" t="str">
        <f t="shared" si="31"/>
        <v>June</v>
      </c>
      <c r="AH200">
        <f t="shared" si="32"/>
        <v>2024</v>
      </c>
      <c r="AI200" t="str">
        <f t="shared" si="33"/>
        <v>Warning</v>
      </c>
    </row>
    <row r="201" spans="1:35" ht="15.75" customHeight="1">
      <c r="A201" s="3" t="s">
        <v>1073</v>
      </c>
      <c r="B201" s="3" t="s">
        <v>311</v>
      </c>
      <c r="C201" s="3" t="s">
        <v>1074</v>
      </c>
      <c r="D201" s="3" t="str">
        <f t="shared" si="0"/>
        <v>12-Mar-2024</v>
      </c>
      <c r="E201" s="3" t="str">
        <f t="shared" si="1"/>
        <v>03-Dec-2024</v>
      </c>
      <c r="F201" s="3">
        <f t="shared" si="2"/>
        <v>-266</v>
      </c>
      <c r="G201" s="3" t="s">
        <v>1075</v>
      </c>
      <c r="H201" s="3" t="s">
        <v>156</v>
      </c>
      <c r="I201" s="3" t="s">
        <v>123</v>
      </c>
      <c r="J201" s="3" t="s">
        <v>50</v>
      </c>
      <c r="K201" s="3" t="s">
        <v>194</v>
      </c>
      <c r="L201" s="3" t="s">
        <v>195</v>
      </c>
      <c r="M201" s="3" t="s">
        <v>94</v>
      </c>
      <c r="N201" s="3" t="s">
        <v>391</v>
      </c>
      <c r="O201" s="3" t="s">
        <v>1076</v>
      </c>
      <c r="P201" s="3" t="s">
        <v>280</v>
      </c>
      <c r="Q201" s="3">
        <v>6</v>
      </c>
      <c r="R201" s="3">
        <v>2185.58</v>
      </c>
      <c r="S201" s="3">
        <v>0.25</v>
      </c>
      <c r="T201" s="3">
        <v>9835.11</v>
      </c>
      <c r="U201" s="3">
        <v>5437.64</v>
      </c>
      <c r="V201" s="3">
        <v>4397.47</v>
      </c>
      <c r="W201" s="3" t="s">
        <v>42</v>
      </c>
      <c r="X201" s="3" t="s">
        <v>43</v>
      </c>
      <c r="Y201" s="2" t="str">
        <f t="shared" si="3"/>
        <v>Unique</v>
      </c>
      <c r="AA201" s="2" t="str">
        <f t="shared" si="4"/>
        <v>Clean</v>
      </c>
      <c r="AB201" s="2" t="str">
        <f t="shared" si="5"/>
        <v>Invalid</v>
      </c>
      <c r="AC201">
        <f t="shared" si="27"/>
        <v>0.25</v>
      </c>
      <c r="AD201">
        <f t="shared" si="28"/>
        <v>9835.11</v>
      </c>
      <c r="AE201">
        <f t="shared" si="29"/>
        <v>4397.47</v>
      </c>
      <c r="AF201">
        <f t="shared" si="30"/>
        <v>0.44711955433136996</v>
      </c>
      <c r="AG201" t="str">
        <f t="shared" si="31"/>
        <v>December</v>
      </c>
      <c r="AH201">
        <f t="shared" si="32"/>
        <v>2024</v>
      </c>
      <c r="AI201" t="str">
        <f t="shared" si="33"/>
        <v>Clean</v>
      </c>
    </row>
    <row r="202" spans="1:35" ht="15.75" customHeight="1">
      <c r="A202" s="3" t="s">
        <v>1077</v>
      </c>
      <c r="B202" s="3" t="s">
        <v>1002</v>
      </c>
      <c r="C202" s="3" t="s">
        <v>1078</v>
      </c>
      <c r="D202" s="3" t="str">
        <f t="shared" si="0"/>
        <v>05-Jul-2025</v>
      </c>
      <c r="E202" s="3" t="str">
        <f t="shared" si="1"/>
        <v>27-Jun-2025</v>
      </c>
      <c r="F202" s="3">
        <f t="shared" si="2"/>
        <v>8</v>
      </c>
      <c r="G202" s="3" t="s">
        <v>1079</v>
      </c>
      <c r="H202" s="3" t="s">
        <v>150</v>
      </c>
      <c r="I202" s="3" t="s">
        <v>49</v>
      </c>
      <c r="J202" s="3" t="s">
        <v>35</v>
      </c>
      <c r="K202" s="3" t="s">
        <v>36</v>
      </c>
      <c r="L202" s="3" t="s">
        <v>37</v>
      </c>
      <c r="M202" s="3" t="s">
        <v>94</v>
      </c>
      <c r="N202" s="3" t="s">
        <v>102</v>
      </c>
      <c r="O202" s="3" t="s">
        <v>1080</v>
      </c>
      <c r="P202" s="3" t="s">
        <v>64</v>
      </c>
      <c r="Q202" s="3">
        <v>5</v>
      </c>
      <c r="R202" s="3">
        <v>2868.44</v>
      </c>
      <c r="S202" s="3">
        <v>0.1</v>
      </c>
      <c r="T202" s="3">
        <v>12907.98</v>
      </c>
      <c r="U202" s="3">
        <v>9197.08</v>
      </c>
      <c r="V202" s="3">
        <v>3710.9</v>
      </c>
      <c r="W202" s="3" t="s">
        <v>145</v>
      </c>
      <c r="X202" s="3" t="s">
        <v>86</v>
      </c>
      <c r="Y202" s="2" t="str">
        <f t="shared" si="3"/>
        <v>Unique</v>
      </c>
      <c r="AA202" s="2" t="str">
        <f t="shared" si="4"/>
        <v>Clean</v>
      </c>
      <c r="AB202" s="2" t="str">
        <f t="shared" si="5"/>
        <v>valid</v>
      </c>
      <c r="AC202">
        <f t="shared" si="27"/>
        <v>0.1</v>
      </c>
      <c r="AD202">
        <f t="shared" si="28"/>
        <v>12907.980000000001</v>
      </c>
      <c r="AE202">
        <f t="shared" si="29"/>
        <v>3710.9000000000015</v>
      </c>
      <c r="AF202">
        <f t="shared" si="30"/>
        <v>0.28748882474252369</v>
      </c>
      <c r="AG202" t="str">
        <f t="shared" si="31"/>
        <v>June</v>
      </c>
      <c r="AH202">
        <f t="shared" si="32"/>
        <v>2025</v>
      </c>
      <c r="AI202" t="str">
        <f t="shared" si="33"/>
        <v>Warning</v>
      </c>
    </row>
    <row r="203" spans="1:35" ht="15.75" customHeight="1">
      <c r="A203" s="3" t="s">
        <v>1081</v>
      </c>
      <c r="B203" s="3" t="s">
        <v>1082</v>
      </c>
      <c r="C203" s="3" t="s">
        <v>1083</v>
      </c>
      <c r="D203" s="3" t="str">
        <f t="shared" si="0"/>
        <v>08-Mar-2025</v>
      </c>
      <c r="E203" s="3" t="str">
        <f t="shared" si="1"/>
        <v>26-Jul-2025</v>
      </c>
      <c r="F203" s="3">
        <f t="shared" si="2"/>
        <v>-140</v>
      </c>
      <c r="G203" s="3" t="s">
        <v>1084</v>
      </c>
      <c r="H203" s="3" t="s">
        <v>91</v>
      </c>
      <c r="I203" s="3" t="s">
        <v>34</v>
      </c>
      <c r="J203" s="3" t="s">
        <v>81</v>
      </c>
      <c r="K203" s="3" t="s">
        <v>92</v>
      </c>
      <c r="L203" s="3" t="s">
        <v>93</v>
      </c>
      <c r="M203" s="3" t="s">
        <v>38</v>
      </c>
      <c r="N203" s="3" t="s">
        <v>117</v>
      </c>
      <c r="O203" s="3" t="s">
        <v>1085</v>
      </c>
      <c r="P203" s="3" t="s">
        <v>41</v>
      </c>
      <c r="Q203" s="3">
        <v>2</v>
      </c>
      <c r="R203" s="3">
        <v>2503.5300000000002</v>
      </c>
      <c r="S203" s="3">
        <v>-0.16</v>
      </c>
      <c r="T203" s="3">
        <v>4756.71</v>
      </c>
      <c r="U203" s="3">
        <v>2954.86</v>
      </c>
      <c r="V203" s="3">
        <v>1801.85</v>
      </c>
      <c r="W203" s="3" t="s">
        <v>132</v>
      </c>
      <c r="X203" s="3" t="s">
        <v>86</v>
      </c>
      <c r="Y203" s="2" t="str">
        <f t="shared" si="3"/>
        <v>Unique</v>
      </c>
      <c r="AA203" s="2" t="str">
        <f t="shared" si="4"/>
        <v>Invalid</v>
      </c>
      <c r="AB203" s="2" t="str">
        <f t="shared" si="5"/>
        <v>Invalid</v>
      </c>
      <c r="AC203">
        <f t="shared" si="27"/>
        <v>-0.16</v>
      </c>
      <c r="AD203">
        <f t="shared" si="28"/>
        <v>5808.1895999999997</v>
      </c>
      <c r="AE203">
        <f t="shared" si="29"/>
        <v>2853.3295999999996</v>
      </c>
      <c r="AF203">
        <f t="shared" si="30"/>
        <v>0.49125972058487893</v>
      </c>
      <c r="AG203" t="str">
        <f t="shared" si="31"/>
        <v>July</v>
      </c>
      <c r="AH203">
        <f t="shared" si="32"/>
        <v>2025</v>
      </c>
      <c r="AI203" t="str">
        <f t="shared" si="33"/>
        <v>Invalid</v>
      </c>
    </row>
    <row r="204" spans="1:35" ht="15.75" customHeight="1">
      <c r="A204" s="3" t="s">
        <v>1086</v>
      </c>
      <c r="B204" s="3" t="s">
        <v>1087</v>
      </c>
      <c r="C204" s="3" t="s">
        <v>1088</v>
      </c>
      <c r="D204" s="3" t="str">
        <f t="shared" si="0"/>
        <v>28-Mar-2025</v>
      </c>
      <c r="E204" s="3" t="str">
        <f t="shared" si="1"/>
        <v>28-Mar-2025</v>
      </c>
      <c r="F204" s="3">
        <f t="shared" si="2"/>
        <v>0</v>
      </c>
      <c r="G204" s="3" t="s">
        <v>1089</v>
      </c>
      <c r="H204" s="3" t="s">
        <v>176</v>
      </c>
      <c r="I204" s="3" t="s">
        <v>116</v>
      </c>
      <c r="J204" s="3" t="s">
        <v>81</v>
      </c>
      <c r="K204" s="3" t="s">
        <v>257</v>
      </c>
      <c r="L204" s="3" t="s">
        <v>258</v>
      </c>
      <c r="M204" s="3" t="s">
        <v>94</v>
      </c>
      <c r="N204" s="3" t="s">
        <v>95</v>
      </c>
      <c r="O204" s="3" t="s">
        <v>1090</v>
      </c>
      <c r="P204" s="3" t="s">
        <v>75</v>
      </c>
      <c r="Q204" s="3">
        <v>8</v>
      </c>
      <c r="R204" s="3">
        <v>1740.94</v>
      </c>
      <c r="S204" s="3">
        <v>0.05</v>
      </c>
      <c r="T204" s="3">
        <v>13231.14</v>
      </c>
      <c r="U204" s="3">
        <v>11290.06</v>
      </c>
      <c r="V204" s="3">
        <v>1941.08</v>
      </c>
      <c r="W204" s="3" t="s">
        <v>42</v>
      </c>
      <c r="X204" s="3" t="s">
        <v>43</v>
      </c>
      <c r="Y204" s="2" t="str">
        <f t="shared" si="3"/>
        <v>Unique</v>
      </c>
      <c r="AA204" s="2" t="str">
        <f t="shared" si="4"/>
        <v>Clean</v>
      </c>
      <c r="AB204" s="2" t="str">
        <f t="shared" si="5"/>
        <v>valid</v>
      </c>
      <c r="AC204">
        <f t="shared" si="27"/>
        <v>0.05</v>
      </c>
      <c r="AD204">
        <f t="shared" si="28"/>
        <v>13231.144</v>
      </c>
      <c r="AE204">
        <f t="shared" si="29"/>
        <v>1941.0840000000007</v>
      </c>
      <c r="AF204">
        <f t="shared" si="30"/>
        <v>0.14670568168557463</v>
      </c>
      <c r="AG204" t="str">
        <f t="shared" si="31"/>
        <v>March</v>
      </c>
      <c r="AH204">
        <f t="shared" si="32"/>
        <v>2025</v>
      </c>
      <c r="AI204" t="str">
        <f t="shared" si="33"/>
        <v>Clean</v>
      </c>
    </row>
    <row r="205" spans="1:35" ht="15.75" customHeight="1">
      <c r="A205" s="3" t="s">
        <v>1091</v>
      </c>
      <c r="B205" s="3" t="s">
        <v>1092</v>
      </c>
      <c r="C205" s="3" t="s">
        <v>1093</v>
      </c>
      <c r="D205" s="3" t="str">
        <f t="shared" si="0"/>
        <v>30-Mar-2024</v>
      </c>
      <c r="E205" s="3" t="str">
        <f t="shared" si="1"/>
        <v>28-Mar-2024</v>
      </c>
      <c r="F205" s="3">
        <f t="shared" si="2"/>
        <v>2</v>
      </c>
      <c r="G205" s="3" t="s">
        <v>1094</v>
      </c>
      <c r="H205" s="3" t="s">
        <v>176</v>
      </c>
      <c r="I205" s="3" t="s">
        <v>116</v>
      </c>
      <c r="J205" s="3" t="s">
        <v>81</v>
      </c>
      <c r="K205" s="3" t="s">
        <v>36</v>
      </c>
      <c r="L205" s="3" t="s">
        <v>143</v>
      </c>
      <c r="M205" s="3" t="s">
        <v>94</v>
      </c>
      <c r="N205" s="3" t="s">
        <v>95</v>
      </c>
      <c r="O205" s="3" t="s">
        <v>1095</v>
      </c>
      <c r="P205" s="3" t="s">
        <v>41</v>
      </c>
      <c r="Q205" s="3">
        <v>1</v>
      </c>
      <c r="R205" s="3">
        <v>570.34</v>
      </c>
      <c r="S205" s="3">
        <v>0.15</v>
      </c>
      <c r="T205" s="3">
        <v>484.79</v>
      </c>
      <c r="U205" s="3">
        <v>333.54</v>
      </c>
      <c r="V205" s="3">
        <v>151.25</v>
      </c>
      <c r="W205" s="3" t="s">
        <v>42</v>
      </c>
      <c r="X205" s="3" t="s">
        <v>43</v>
      </c>
      <c r="Y205" s="2" t="str">
        <f t="shared" si="3"/>
        <v>Unique</v>
      </c>
      <c r="AA205" s="2" t="str">
        <f t="shared" si="4"/>
        <v>Clean</v>
      </c>
      <c r="AB205" s="2" t="str">
        <f t="shared" si="5"/>
        <v>valid</v>
      </c>
      <c r="AC205">
        <f t="shared" si="27"/>
        <v>0.15</v>
      </c>
      <c r="AD205">
        <f t="shared" si="28"/>
        <v>484.78899999999999</v>
      </c>
      <c r="AE205">
        <f t="shared" si="29"/>
        <v>151.24899999999997</v>
      </c>
      <c r="AF205">
        <f t="shared" si="30"/>
        <v>0.3119893396921134</v>
      </c>
      <c r="AG205" t="str">
        <f t="shared" si="31"/>
        <v>March</v>
      </c>
      <c r="AH205">
        <f t="shared" si="32"/>
        <v>2024</v>
      </c>
      <c r="AI205" t="str">
        <f t="shared" si="33"/>
        <v>Clean</v>
      </c>
    </row>
    <row r="206" spans="1:35" ht="15.75" customHeight="1">
      <c r="A206" s="3" t="s">
        <v>1096</v>
      </c>
      <c r="B206" s="3" t="s">
        <v>1097</v>
      </c>
      <c r="C206" s="3" t="s">
        <v>1098</v>
      </c>
      <c r="D206" s="3" t="str">
        <f t="shared" si="0"/>
        <v>23-Jul-2025</v>
      </c>
      <c r="E206" s="3" t="str">
        <f t="shared" si="1"/>
        <v>20-Jul-2025</v>
      </c>
      <c r="F206" s="3">
        <f t="shared" si="2"/>
        <v>3</v>
      </c>
      <c r="G206" s="3" t="s">
        <v>1099</v>
      </c>
      <c r="H206" s="3" t="s">
        <v>48</v>
      </c>
      <c r="I206" s="3" t="s">
        <v>123</v>
      </c>
      <c r="J206" s="3" t="s">
        <v>50</v>
      </c>
      <c r="K206" s="3" t="s">
        <v>129</v>
      </c>
      <c r="L206" s="3" t="s">
        <v>130</v>
      </c>
      <c r="M206" s="3" t="s">
        <v>53</v>
      </c>
      <c r="N206" s="3" t="s">
        <v>54</v>
      </c>
      <c r="O206" s="3" t="s">
        <v>1100</v>
      </c>
      <c r="P206" s="3" t="s">
        <v>41</v>
      </c>
      <c r="Q206" s="3">
        <v>4</v>
      </c>
      <c r="R206" s="3">
        <v>477.69</v>
      </c>
      <c r="S206" s="3">
        <v>0.15</v>
      </c>
      <c r="T206" s="3">
        <v>1624.15</v>
      </c>
      <c r="U206" s="3">
        <v>1217.99</v>
      </c>
      <c r="V206" s="3">
        <v>406.16</v>
      </c>
      <c r="W206" s="3" t="s">
        <v>42</v>
      </c>
      <c r="X206" s="3" t="s">
        <v>43</v>
      </c>
      <c r="Y206" s="2" t="str">
        <f t="shared" si="3"/>
        <v>Unique</v>
      </c>
      <c r="AA206" s="2" t="str">
        <f t="shared" si="4"/>
        <v>Clean</v>
      </c>
      <c r="AB206" s="2" t="str">
        <f t="shared" si="5"/>
        <v>valid</v>
      </c>
      <c r="AC206">
        <f t="shared" si="27"/>
        <v>0.15</v>
      </c>
      <c r="AD206">
        <f t="shared" si="28"/>
        <v>1624.146</v>
      </c>
      <c r="AE206">
        <f t="shared" si="29"/>
        <v>406.15599999999995</v>
      </c>
      <c r="AF206">
        <f t="shared" si="30"/>
        <v>0.25007357712914968</v>
      </c>
      <c r="AG206" t="str">
        <f t="shared" si="31"/>
        <v>July</v>
      </c>
      <c r="AH206">
        <f t="shared" si="32"/>
        <v>2025</v>
      </c>
      <c r="AI206" t="str">
        <f t="shared" si="33"/>
        <v>Clean</v>
      </c>
    </row>
    <row r="207" spans="1:35" ht="15.75" customHeight="1">
      <c r="A207" s="3" t="s">
        <v>1101</v>
      </c>
      <c r="B207" s="3" t="s">
        <v>1102</v>
      </c>
      <c r="C207" s="3" t="s">
        <v>1103</v>
      </c>
      <c r="D207" s="3" t="str">
        <f t="shared" si="0"/>
        <v>26-Apr-2025</v>
      </c>
      <c r="E207" s="3" t="str">
        <f t="shared" si="1"/>
        <v>21-Apr-2025</v>
      </c>
      <c r="F207" s="3">
        <f t="shared" si="2"/>
        <v>5</v>
      </c>
      <c r="G207" s="3" t="s">
        <v>1104</v>
      </c>
      <c r="H207" s="3" t="s">
        <v>80</v>
      </c>
      <c r="I207" s="3" t="s">
        <v>34</v>
      </c>
      <c r="J207" s="3" t="s">
        <v>81</v>
      </c>
      <c r="K207" s="3" t="s">
        <v>82</v>
      </c>
      <c r="L207" s="3" t="s">
        <v>83</v>
      </c>
      <c r="M207" s="3" t="s">
        <v>38</v>
      </c>
      <c r="N207" s="3" t="s">
        <v>117</v>
      </c>
      <c r="O207" s="3" t="s">
        <v>1105</v>
      </c>
      <c r="P207" s="3" t="s">
        <v>56</v>
      </c>
      <c r="Q207" s="3">
        <v>6</v>
      </c>
      <c r="R207" s="3">
        <v>873.59</v>
      </c>
      <c r="S207" s="3">
        <v>0.2</v>
      </c>
      <c r="T207" s="3">
        <v>4193.2299999999996</v>
      </c>
      <c r="U207" s="3">
        <v>3329.99</v>
      </c>
      <c r="V207" s="3">
        <v>863.24</v>
      </c>
      <c r="W207" s="3" t="s">
        <v>42</v>
      </c>
      <c r="X207" s="3" t="s">
        <v>43</v>
      </c>
      <c r="Y207" s="2" t="str">
        <f t="shared" si="3"/>
        <v>Unique</v>
      </c>
      <c r="AA207" s="2" t="str">
        <f t="shared" si="4"/>
        <v>Clean</v>
      </c>
      <c r="AB207" s="2" t="str">
        <f t="shared" si="5"/>
        <v>valid</v>
      </c>
      <c r="AC207">
        <f t="shared" si="27"/>
        <v>0.2</v>
      </c>
      <c r="AD207">
        <f t="shared" si="28"/>
        <v>4193.232</v>
      </c>
      <c r="AE207">
        <f t="shared" si="29"/>
        <v>863.24200000000019</v>
      </c>
      <c r="AF207">
        <f t="shared" si="30"/>
        <v>0.2058655471483572</v>
      </c>
      <c r="AG207" t="str">
        <f t="shared" si="31"/>
        <v>April</v>
      </c>
      <c r="AH207">
        <f t="shared" si="32"/>
        <v>2025</v>
      </c>
      <c r="AI207" t="str">
        <f t="shared" si="33"/>
        <v>Clean</v>
      </c>
    </row>
    <row r="208" spans="1:35" ht="15.75" customHeight="1">
      <c r="A208" s="3" t="s">
        <v>1106</v>
      </c>
      <c r="B208" s="3" t="s">
        <v>1107</v>
      </c>
      <c r="C208" s="3" t="s">
        <v>126</v>
      </c>
      <c r="D208" s="3" t="str">
        <f t="shared" si="0"/>
        <v>20-May-2025</v>
      </c>
      <c r="E208" s="3" t="str">
        <f t="shared" si="1"/>
        <v>18-May-2025</v>
      </c>
      <c r="F208" s="3">
        <f t="shared" si="2"/>
        <v>2</v>
      </c>
      <c r="G208" s="3" t="s">
        <v>1108</v>
      </c>
      <c r="H208" s="3" t="s">
        <v>218</v>
      </c>
      <c r="I208" s="3" t="s">
        <v>49</v>
      </c>
      <c r="J208" s="3" t="s">
        <v>35</v>
      </c>
      <c r="K208" s="3" t="s">
        <v>182</v>
      </c>
      <c r="L208" s="3" t="s">
        <v>183</v>
      </c>
      <c r="M208" s="3" t="s">
        <v>53</v>
      </c>
      <c r="N208" s="3" t="s">
        <v>73</v>
      </c>
      <c r="O208" s="3" t="s">
        <v>1109</v>
      </c>
      <c r="P208" s="3" t="s">
        <v>64</v>
      </c>
      <c r="Q208" s="3">
        <v>2</v>
      </c>
      <c r="R208" s="3">
        <v>215.13</v>
      </c>
      <c r="S208" s="3">
        <v>0</v>
      </c>
      <c r="T208" s="3">
        <v>430.26</v>
      </c>
      <c r="U208" s="3">
        <v>286.38</v>
      </c>
      <c r="V208" s="3">
        <v>143.88</v>
      </c>
      <c r="W208" s="3" t="s">
        <v>42</v>
      </c>
      <c r="X208" s="3" t="s">
        <v>43</v>
      </c>
      <c r="Y208" s="2" t="str">
        <f t="shared" si="3"/>
        <v>Unique</v>
      </c>
      <c r="AA208" s="2" t="str">
        <f t="shared" si="4"/>
        <v>Clean</v>
      </c>
      <c r="AB208" s="2" t="str">
        <f t="shared" si="5"/>
        <v>valid</v>
      </c>
      <c r="AC208">
        <f t="shared" si="27"/>
        <v>0</v>
      </c>
      <c r="AD208">
        <f t="shared" si="28"/>
        <v>430.26</v>
      </c>
      <c r="AE208">
        <f t="shared" si="29"/>
        <v>143.88</v>
      </c>
      <c r="AF208">
        <f t="shared" si="30"/>
        <v>0.33440245432994004</v>
      </c>
      <c r="AG208" t="str">
        <f t="shared" si="31"/>
        <v>May</v>
      </c>
      <c r="AH208">
        <f t="shared" si="32"/>
        <v>2025</v>
      </c>
      <c r="AI208" t="str">
        <f t="shared" si="33"/>
        <v>Clean</v>
      </c>
    </row>
    <row r="209" spans="1:35" ht="15.75" customHeight="1">
      <c r="A209" s="3" t="s">
        <v>1110</v>
      </c>
      <c r="B209" s="3" t="s">
        <v>1111</v>
      </c>
      <c r="C209" s="3" t="s">
        <v>1112</v>
      </c>
      <c r="D209" s="3" t="str">
        <f t="shared" si="0"/>
        <v>16-Jul-2024</v>
      </c>
      <c r="E209" s="3" t="str">
        <f t="shared" si="1"/>
        <v>10-Jul-2024</v>
      </c>
      <c r="F209" s="3">
        <f t="shared" si="2"/>
        <v>6</v>
      </c>
      <c r="G209" s="3" t="s">
        <v>1113</v>
      </c>
      <c r="H209" s="3" t="s">
        <v>170</v>
      </c>
      <c r="I209" s="3" t="s">
        <v>123</v>
      </c>
      <c r="J209" s="3" t="s">
        <v>81</v>
      </c>
      <c r="K209" s="3" t="s">
        <v>257</v>
      </c>
      <c r="L209" s="3" t="s">
        <v>258</v>
      </c>
      <c r="M209" s="3" t="s">
        <v>53</v>
      </c>
      <c r="N209" s="3" t="s">
        <v>212</v>
      </c>
      <c r="O209" s="3" t="s">
        <v>1114</v>
      </c>
      <c r="P209" s="3" t="s">
        <v>41</v>
      </c>
      <c r="Q209" s="3">
        <v>2</v>
      </c>
      <c r="R209" s="3">
        <v>1095.45</v>
      </c>
      <c r="S209" s="3">
        <v>0.2</v>
      </c>
      <c r="T209" s="3">
        <v>1752.72</v>
      </c>
      <c r="U209" s="3">
        <v>996.41</v>
      </c>
      <c r="V209" s="3">
        <v>756.31</v>
      </c>
      <c r="W209" s="3" t="s">
        <v>42</v>
      </c>
      <c r="X209" s="3" t="s">
        <v>43</v>
      </c>
      <c r="Y209" s="2" t="str">
        <f t="shared" si="3"/>
        <v>Unique</v>
      </c>
      <c r="AA209" s="2" t="str">
        <f t="shared" si="4"/>
        <v>Clean</v>
      </c>
      <c r="AB209" s="2" t="str">
        <f t="shared" si="5"/>
        <v>valid</v>
      </c>
      <c r="AC209">
        <f t="shared" si="27"/>
        <v>0.2</v>
      </c>
      <c r="AD209">
        <f t="shared" si="28"/>
        <v>1752.7200000000003</v>
      </c>
      <c r="AE209">
        <f t="shared" si="29"/>
        <v>756.31000000000029</v>
      </c>
      <c r="AF209">
        <f t="shared" si="30"/>
        <v>0.43150645853302305</v>
      </c>
      <c r="AG209" t="str">
        <f t="shared" si="31"/>
        <v>July</v>
      </c>
      <c r="AH209">
        <f t="shared" si="32"/>
        <v>2024</v>
      </c>
      <c r="AI209" t="str">
        <f t="shared" si="33"/>
        <v>Clean</v>
      </c>
    </row>
    <row r="210" spans="1:35" ht="15.75" customHeight="1">
      <c r="A210" s="3" t="s">
        <v>1115</v>
      </c>
      <c r="B210" s="3" t="s">
        <v>1116</v>
      </c>
      <c r="C210" s="3" t="s">
        <v>1117</v>
      </c>
      <c r="D210" s="3" t="str">
        <f t="shared" si="0"/>
        <v>05-Jul-2025</v>
      </c>
      <c r="E210" s="3" t="str">
        <f t="shared" si="1"/>
        <v>29-Jun-2025</v>
      </c>
      <c r="F210" s="3">
        <f t="shared" si="2"/>
        <v>6</v>
      </c>
      <c r="G210" s="3" t="s">
        <v>1118</v>
      </c>
      <c r="H210" s="3" t="s">
        <v>218</v>
      </c>
      <c r="I210" s="3" t="s">
        <v>34</v>
      </c>
      <c r="J210" s="3" t="s">
        <v>35</v>
      </c>
      <c r="K210" s="3" t="s">
        <v>162</v>
      </c>
      <c r="L210" s="3" t="s">
        <v>163</v>
      </c>
      <c r="M210" s="3" t="s">
        <v>53</v>
      </c>
      <c r="N210" s="3" t="s">
        <v>84</v>
      </c>
      <c r="O210" s="3" t="s">
        <v>1119</v>
      </c>
      <c r="P210" s="3" t="s">
        <v>56</v>
      </c>
      <c r="Q210" s="3">
        <v>1</v>
      </c>
      <c r="R210" s="3">
        <v>999.83</v>
      </c>
      <c r="S210" s="3">
        <v>0</v>
      </c>
      <c r="T210" s="3">
        <v>999.83</v>
      </c>
      <c r="U210" s="3">
        <v>634.91</v>
      </c>
      <c r="V210" s="3">
        <v>364.92</v>
      </c>
      <c r="W210" s="3" t="s">
        <v>42</v>
      </c>
      <c r="X210" s="3" t="s">
        <v>43</v>
      </c>
      <c r="Y210" s="2" t="str">
        <f t="shared" si="3"/>
        <v>Unique</v>
      </c>
      <c r="AA210" s="2" t="str">
        <f t="shared" si="4"/>
        <v>Clean</v>
      </c>
      <c r="AB210" s="2" t="str">
        <f t="shared" si="5"/>
        <v>valid</v>
      </c>
      <c r="AC210">
        <f t="shared" si="27"/>
        <v>0</v>
      </c>
      <c r="AD210">
        <f t="shared" si="28"/>
        <v>999.83</v>
      </c>
      <c r="AE210">
        <f t="shared" si="29"/>
        <v>364.92000000000007</v>
      </c>
      <c r="AF210">
        <f t="shared" si="30"/>
        <v>0.3649820469479812</v>
      </c>
      <c r="AG210" t="str">
        <f t="shared" si="31"/>
        <v>June</v>
      </c>
      <c r="AH210">
        <f t="shared" si="32"/>
        <v>2025</v>
      </c>
      <c r="AI210" t="str">
        <f t="shared" si="33"/>
        <v>Clean</v>
      </c>
    </row>
    <row r="211" spans="1:35" ht="15.75" customHeight="1">
      <c r="A211" s="3" t="s">
        <v>1120</v>
      </c>
      <c r="B211" s="3" t="s">
        <v>1121</v>
      </c>
      <c r="C211" s="3" t="s">
        <v>1122</v>
      </c>
      <c r="D211" s="3" t="str">
        <f t="shared" si="0"/>
        <v>14-Aug-2025</v>
      </c>
      <c r="E211" s="3" t="str">
        <f t="shared" si="1"/>
        <v>13-Aug-2025</v>
      </c>
      <c r="F211" s="3">
        <f t="shared" si="2"/>
        <v>1</v>
      </c>
      <c r="G211" s="3" t="s">
        <v>1123</v>
      </c>
      <c r="H211" s="3" t="s">
        <v>188</v>
      </c>
      <c r="I211" s="3" t="s">
        <v>49</v>
      </c>
      <c r="J211" s="3" t="s">
        <v>70</v>
      </c>
      <c r="K211" s="3" t="s">
        <v>108</v>
      </c>
      <c r="L211" s="3" t="s">
        <v>109</v>
      </c>
      <c r="M211" s="3" t="s">
        <v>38</v>
      </c>
      <c r="N211" s="3" t="s">
        <v>39</v>
      </c>
      <c r="O211" s="3" t="s">
        <v>1124</v>
      </c>
      <c r="P211" s="3" t="s">
        <v>64</v>
      </c>
      <c r="Q211" s="3">
        <v>9</v>
      </c>
      <c r="R211" s="3">
        <v>864.98</v>
      </c>
      <c r="S211" s="3">
        <v>0.1</v>
      </c>
      <c r="T211" s="3">
        <v>7006.34</v>
      </c>
      <c r="U211" s="3">
        <v>4640.88</v>
      </c>
      <c r="V211" s="3">
        <v>2365.46</v>
      </c>
      <c r="W211" s="3" t="s">
        <v>42</v>
      </c>
      <c r="X211" s="3" t="s">
        <v>43</v>
      </c>
      <c r="Y211" s="2" t="str">
        <f t="shared" si="3"/>
        <v>Unique</v>
      </c>
      <c r="AA211" s="2" t="str">
        <f t="shared" si="4"/>
        <v>Clean</v>
      </c>
      <c r="AB211" s="2" t="str">
        <f t="shared" si="5"/>
        <v>valid</v>
      </c>
      <c r="AC211">
        <f t="shared" si="27"/>
        <v>0.1</v>
      </c>
      <c r="AD211">
        <f t="shared" si="28"/>
        <v>7006.3379999999997</v>
      </c>
      <c r="AE211">
        <f t="shared" si="29"/>
        <v>2365.4579999999996</v>
      </c>
      <c r="AF211">
        <f t="shared" si="30"/>
        <v>0.33761688345609359</v>
      </c>
      <c r="AG211" t="str">
        <f t="shared" si="31"/>
        <v>August</v>
      </c>
      <c r="AH211">
        <f t="shared" si="32"/>
        <v>2025</v>
      </c>
      <c r="AI211" t="str">
        <f t="shared" si="33"/>
        <v>Clean</v>
      </c>
    </row>
    <row r="212" spans="1:35" ht="15.75" customHeight="1">
      <c r="A212" s="3" t="s">
        <v>1125</v>
      </c>
      <c r="B212" s="3" t="s">
        <v>1126</v>
      </c>
      <c r="C212" s="3" t="s">
        <v>1127</v>
      </c>
      <c r="D212" s="3" t="str">
        <f t="shared" si="0"/>
        <v>18-Mar-2024</v>
      </c>
      <c r="E212" s="3" t="str">
        <f t="shared" si="1"/>
        <v>15-Mar-2024</v>
      </c>
      <c r="F212" s="3">
        <f t="shared" si="2"/>
        <v>3</v>
      </c>
      <c r="G212" s="3" t="s">
        <v>1128</v>
      </c>
      <c r="H212" s="3" t="s">
        <v>375</v>
      </c>
      <c r="I212" s="3" t="s">
        <v>123</v>
      </c>
      <c r="J212" s="3" t="s">
        <v>70</v>
      </c>
      <c r="K212" s="3" t="s">
        <v>237</v>
      </c>
      <c r="L212" s="3" t="s">
        <v>238</v>
      </c>
      <c r="M212" s="3" t="s">
        <v>94</v>
      </c>
      <c r="N212" s="3" t="s">
        <v>391</v>
      </c>
      <c r="O212" s="3" t="s">
        <v>1129</v>
      </c>
      <c r="P212" s="3" t="s">
        <v>41</v>
      </c>
      <c r="Q212" s="3">
        <v>1</v>
      </c>
      <c r="R212" s="3">
        <v>4131.3599999999997</v>
      </c>
      <c r="S212" s="3">
        <v>0</v>
      </c>
      <c r="T212" s="3">
        <v>4131.3599999999997</v>
      </c>
      <c r="U212" s="3">
        <v>2937.07</v>
      </c>
      <c r="V212" s="3">
        <v>1194.29</v>
      </c>
      <c r="W212" s="3" t="s">
        <v>208</v>
      </c>
      <c r="X212" s="3" t="s">
        <v>133</v>
      </c>
      <c r="Y212" s="2" t="str">
        <f t="shared" si="3"/>
        <v>Unique</v>
      </c>
      <c r="AA212" s="2" t="str">
        <f t="shared" si="4"/>
        <v>Clean</v>
      </c>
      <c r="AB212" s="2" t="str">
        <f t="shared" si="5"/>
        <v>valid</v>
      </c>
      <c r="AC212">
        <f t="shared" si="27"/>
        <v>0</v>
      </c>
      <c r="AD212">
        <f t="shared" si="28"/>
        <v>4131.3599999999997</v>
      </c>
      <c r="AE212">
        <f t="shared" si="29"/>
        <v>1194.2899999999995</v>
      </c>
      <c r="AF212">
        <f t="shared" si="30"/>
        <v>0.28907914100925591</v>
      </c>
      <c r="AG212" t="str">
        <f t="shared" si="31"/>
        <v>March</v>
      </c>
      <c r="AH212">
        <f t="shared" si="32"/>
        <v>2024</v>
      </c>
      <c r="AI212" t="str">
        <f t="shared" si="33"/>
        <v>Warning</v>
      </c>
    </row>
    <row r="213" spans="1:35" ht="15.75" customHeight="1">
      <c r="A213" s="3" t="s">
        <v>1130</v>
      </c>
      <c r="B213" s="3" t="s">
        <v>1131</v>
      </c>
      <c r="C213" s="3" t="s">
        <v>1132</v>
      </c>
      <c r="D213" s="3" t="str">
        <f t="shared" si="0"/>
        <v>17-May-2024</v>
      </c>
      <c r="E213" s="3" t="str">
        <f t="shared" si="1"/>
        <v>16-May-2024</v>
      </c>
      <c r="F213" s="3">
        <f t="shared" si="2"/>
        <v>1</v>
      </c>
      <c r="G213" s="3" t="s">
        <v>1133</v>
      </c>
      <c r="H213" s="3" t="s">
        <v>188</v>
      </c>
      <c r="I213" s="3" t="s">
        <v>116</v>
      </c>
      <c r="J213" s="3" t="s">
        <v>50</v>
      </c>
      <c r="K213" s="3" t="s">
        <v>129</v>
      </c>
      <c r="L213" s="3" t="s">
        <v>130</v>
      </c>
      <c r="M213" s="3" t="s">
        <v>94</v>
      </c>
      <c r="N213" s="3" t="s">
        <v>102</v>
      </c>
      <c r="O213" s="3" t="s">
        <v>1134</v>
      </c>
      <c r="P213" s="3" t="s">
        <v>41</v>
      </c>
      <c r="Q213" s="3">
        <v>8</v>
      </c>
      <c r="R213" s="3">
        <v>4221.95</v>
      </c>
      <c r="S213" s="3">
        <v>0.2</v>
      </c>
      <c r="T213" s="3">
        <v>27020.48</v>
      </c>
      <c r="U213" s="3">
        <v>22885.24</v>
      </c>
      <c r="V213" s="3">
        <v>4135.24</v>
      </c>
      <c r="W213" s="3" t="s">
        <v>42</v>
      </c>
      <c r="X213" s="3" t="s">
        <v>43</v>
      </c>
      <c r="Y213" s="2" t="str">
        <f t="shared" si="3"/>
        <v>Unique</v>
      </c>
      <c r="AA213" s="2" t="str">
        <f t="shared" si="4"/>
        <v>Clean</v>
      </c>
      <c r="AB213" s="2" t="str">
        <f t="shared" si="5"/>
        <v>valid</v>
      </c>
      <c r="AC213">
        <f t="shared" si="27"/>
        <v>0.2</v>
      </c>
      <c r="AD213">
        <f t="shared" si="28"/>
        <v>27020.48</v>
      </c>
      <c r="AE213">
        <f t="shared" si="29"/>
        <v>4135.239999999998</v>
      </c>
      <c r="AF213">
        <f t="shared" si="30"/>
        <v>0.15304095264036752</v>
      </c>
      <c r="AG213" t="str">
        <f t="shared" si="31"/>
        <v>May</v>
      </c>
      <c r="AH213">
        <f t="shared" si="32"/>
        <v>2024</v>
      </c>
      <c r="AI213" t="str">
        <f t="shared" si="33"/>
        <v>Clean</v>
      </c>
    </row>
    <row r="214" spans="1:35" ht="15.75" customHeight="1">
      <c r="A214" s="3" t="s">
        <v>1135</v>
      </c>
      <c r="B214" s="3" t="s">
        <v>1136</v>
      </c>
      <c r="C214" s="3" t="s">
        <v>1137</v>
      </c>
      <c r="D214" s="3" t="str">
        <f t="shared" si="0"/>
        <v>21-Sep-2024</v>
      </c>
      <c r="E214" s="3" t="str">
        <f t="shared" si="1"/>
        <v>21-Sep-2024</v>
      </c>
      <c r="F214" s="3">
        <f t="shared" si="2"/>
        <v>0</v>
      </c>
      <c r="G214" s="3" t="s">
        <v>1138</v>
      </c>
      <c r="H214" s="3" t="s">
        <v>80</v>
      </c>
      <c r="I214" s="3" t="s">
        <v>49</v>
      </c>
      <c r="J214" s="3" t="s">
        <v>50</v>
      </c>
      <c r="K214" s="3" t="s">
        <v>51</v>
      </c>
      <c r="L214" s="3" t="s">
        <v>52</v>
      </c>
      <c r="M214" s="3" t="s">
        <v>94</v>
      </c>
      <c r="N214" s="3" t="s">
        <v>231</v>
      </c>
      <c r="O214" s="3" t="s">
        <v>1139</v>
      </c>
      <c r="P214" s="3" t="s">
        <v>56</v>
      </c>
      <c r="Q214" s="3">
        <v>2</v>
      </c>
      <c r="R214" s="3">
        <v>214.5</v>
      </c>
      <c r="S214" s="3">
        <v>0.15</v>
      </c>
      <c r="T214" s="3">
        <v>364.65</v>
      </c>
      <c r="U214" s="3">
        <v>280.74</v>
      </c>
      <c r="V214" s="3">
        <v>83.91</v>
      </c>
      <c r="W214" s="3" t="s">
        <v>42</v>
      </c>
      <c r="X214" s="3" t="s">
        <v>43</v>
      </c>
      <c r="Y214" s="2" t="str">
        <f t="shared" si="3"/>
        <v>Unique</v>
      </c>
      <c r="AA214" s="2" t="str">
        <f t="shared" si="4"/>
        <v>Clean</v>
      </c>
      <c r="AB214" s="2" t="str">
        <f t="shared" si="5"/>
        <v>valid</v>
      </c>
      <c r="AC214">
        <f t="shared" si="27"/>
        <v>0.15</v>
      </c>
      <c r="AD214">
        <f t="shared" si="28"/>
        <v>364.65</v>
      </c>
      <c r="AE214">
        <f t="shared" si="29"/>
        <v>83.909999999999968</v>
      </c>
      <c r="AF214">
        <f t="shared" si="30"/>
        <v>0.23011106540518297</v>
      </c>
      <c r="AG214" t="str">
        <f t="shared" si="31"/>
        <v>September</v>
      </c>
      <c r="AH214">
        <f t="shared" si="32"/>
        <v>2024</v>
      </c>
      <c r="AI214" t="str">
        <f t="shared" si="33"/>
        <v>Clean</v>
      </c>
    </row>
    <row r="215" spans="1:35" ht="15.75" customHeight="1">
      <c r="A215" s="3" t="s">
        <v>1140</v>
      </c>
      <c r="B215" s="3" t="s">
        <v>1141</v>
      </c>
      <c r="C215" s="3" t="s">
        <v>1142</v>
      </c>
      <c r="D215" s="3" t="str">
        <f t="shared" si="0"/>
        <v>21-May-2024</v>
      </c>
      <c r="E215" s="3" t="str">
        <f t="shared" si="1"/>
        <v>15-May-2024</v>
      </c>
      <c r="F215" s="3">
        <f t="shared" si="2"/>
        <v>6</v>
      </c>
      <c r="G215" s="3" t="s">
        <v>1143</v>
      </c>
      <c r="H215" s="3" t="s">
        <v>61</v>
      </c>
      <c r="I215" s="3" t="s">
        <v>49</v>
      </c>
      <c r="J215" s="3" t="s">
        <v>50</v>
      </c>
      <c r="K215" s="3" t="s">
        <v>194</v>
      </c>
      <c r="L215" s="3" t="s">
        <v>195</v>
      </c>
      <c r="M215" s="3" t="s">
        <v>94</v>
      </c>
      <c r="N215" s="3" t="s">
        <v>95</v>
      </c>
      <c r="O215" s="3" t="s">
        <v>1144</v>
      </c>
      <c r="P215" s="3" t="s">
        <v>41</v>
      </c>
      <c r="Q215" s="3">
        <v>4</v>
      </c>
      <c r="R215" s="3">
        <v>4332.7299999999996</v>
      </c>
      <c r="S215" s="3">
        <v>0.2</v>
      </c>
      <c r="T215" s="3">
        <v>13864.74</v>
      </c>
      <c r="U215" s="3">
        <v>11294.06</v>
      </c>
      <c r="V215" s="3">
        <v>2570.6799999999998</v>
      </c>
      <c r="W215" s="3" t="s">
        <v>42</v>
      </c>
      <c r="X215" s="3" t="s">
        <v>43</v>
      </c>
      <c r="Y215" s="2" t="str">
        <f t="shared" si="3"/>
        <v>Unique</v>
      </c>
      <c r="AA215" s="2" t="str">
        <f t="shared" si="4"/>
        <v>Clean</v>
      </c>
      <c r="AB215" s="2" t="str">
        <f t="shared" si="5"/>
        <v>valid</v>
      </c>
      <c r="AC215">
        <f t="shared" si="27"/>
        <v>0.2</v>
      </c>
      <c r="AD215">
        <f t="shared" si="28"/>
        <v>13864.735999999999</v>
      </c>
      <c r="AE215">
        <f t="shared" si="29"/>
        <v>2570.6759999999995</v>
      </c>
      <c r="AF215">
        <f t="shared" si="30"/>
        <v>0.18541110339208763</v>
      </c>
      <c r="AG215" t="str">
        <f t="shared" si="31"/>
        <v>May</v>
      </c>
      <c r="AH215">
        <f t="shared" si="32"/>
        <v>2024</v>
      </c>
      <c r="AI215" t="str">
        <f t="shared" si="33"/>
        <v>Clean</v>
      </c>
    </row>
    <row r="216" spans="1:35" ht="15.75" customHeight="1">
      <c r="A216" s="3" t="s">
        <v>1145</v>
      </c>
      <c r="B216" s="3" t="s">
        <v>1146</v>
      </c>
      <c r="C216" s="3" t="s">
        <v>1147</v>
      </c>
      <c r="D216" s="3" t="str">
        <f t="shared" si="0"/>
        <v>23-Mar-2024</v>
      </c>
      <c r="E216" s="3" t="str">
        <f t="shared" si="1"/>
        <v>17-Mar-2024</v>
      </c>
      <c r="F216" s="3">
        <f t="shared" si="2"/>
        <v>6</v>
      </c>
      <c r="G216" s="3" t="s">
        <v>1148</v>
      </c>
      <c r="H216" s="3" t="s">
        <v>156</v>
      </c>
      <c r="I216" s="3" t="s">
        <v>34</v>
      </c>
      <c r="J216" s="3" t="s">
        <v>35</v>
      </c>
      <c r="K216" s="3" t="s">
        <v>331</v>
      </c>
      <c r="L216" s="3" t="s">
        <v>332</v>
      </c>
      <c r="M216" s="3" t="s">
        <v>94</v>
      </c>
      <c r="N216" s="3" t="s">
        <v>95</v>
      </c>
      <c r="O216" s="3" t="s">
        <v>1149</v>
      </c>
      <c r="P216" s="3" t="s">
        <v>64</v>
      </c>
      <c r="Q216" s="3">
        <v>3</v>
      </c>
      <c r="R216" s="3">
        <v>248.18</v>
      </c>
      <c r="S216" s="3">
        <v>0.05</v>
      </c>
      <c r="T216" s="3">
        <v>707.31</v>
      </c>
      <c r="U216" s="3">
        <v>569</v>
      </c>
      <c r="V216" s="3">
        <v>138.31</v>
      </c>
      <c r="W216" s="3" t="s">
        <v>42</v>
      </c>
      <c r="X216" s="3" t="s">
        <v>43</v>
      </c>
      <c r="Y216" s="2" t="str">
        <f t="shared" si="3"/>
        <v>Unique</v>
      </c>
      <c r="AA216" s="2" t="str">
        <f t="shared" si="4"/>
        <v>Clean</v>
      </c>
      <c r="AB216" s="2" t="str">
        <f t="shared" si="5"/>
        <v>valid</v>
      </c>
      <c r="AC216">
        <f t="shared" si="27"/>
        <v>0.05</v>
      </c>
      <c r="AD216">
        <f t="shared" si="28"/>
        <v>707.31299999999999</v>
      </c>
      <c r="AE216">
        <f t="shared" si="29"/>
        <v>138.31299999999999</v>
      </c>
      <c r="AF216">
        <f t="shared" si="30"/>
        <v>0.19554709159876885</v>
      </c>
      <c r="AG216" t="str">
        <f t="shared" si="31"/>
        <v>March</v>
      </c>
      <c r="AH216">
        <f t="shared" si="32"/>
        <v>2024</v>
      </c>
      <c r="AI216" t="str">
        <f t="shared" si="33"/>
        <v>Clean</v>
      </c>
    </row>
    <row r="217" spans="1:35" ht="15.75" customHeight="1">
      <c r="A217" s="3" t="s">
        <v>1150</v>
      </c>
      <c r="B217" s="3" t="s">
        <v>1151</v>
      </c>
      <c r="C217" s="3" t="s">
        <v>215</v>
      </c>
      <c r="D217" s="3" t="str">
        <f t="shared" si="0"/>
        <v>04-Mar-2024</v>
      </c>
      <c r="E217" s="3" t="str">
        <f t="shared" si="1"/>
        <v>01-Mar-2024</v>
      </c>
      <c r="F217" s="3">
        <f t="shared" si="2"/>
        <v>3</v>
      </c>
      <c r="G217" s="3" t="s">
        <v>1152</v>
      </c>
      <c r="H217" s="3" t="s">
        <v>48</v>
      </c>
      <c r="I217" s="3" t="s">
        <v>34</v>
      </c>
      <c r="J217" s="3" t="s">
        <v>81</v>
      </c>
      <c r="K217" s="3" t="s">
        <v>92</v>
      </c>
      <c r="L217" s="3" t="s">
        <v>93</v>
      </c>
      <c r="M217" s="3" t="s">
        <v>38</v>
      </c>
      <c r="N217" s="3" t="s">
        <v>39</v>
      </c>
      <c r="O217" s="3" t="s">
        <v>1153</v>
      </c>
      <c r="P217" s="3" t="s">
        <v>64</v>
      </c>
      <c r="Q217" s="3">
        <v>8</v>
      </c>
      <c r="R217" s="3">
        <v>3202.4</v>
      </c>
      <c r="S217" s="3">
        <v>0.25</v>
      </c>
      <c r="T217" s="3">
        <v>19214.400000000001</v>
      </c>
      <c r="U217" s="3">
        <v>10916.01</v>
      </c>
      <c r="V217" s="3">
        <v>8298.39</v>
      </c>
      <c r="W217" s="3" t="s">
        <v>42</v>
      </c>
      <c r="X217" s="3" t="s">
        <v>43</v>
      </c>
      <c r="Y217" s="2" t="str">
        <f t="shared" si="3"/>
        <v>Unique</v>
      </c>
      <c r="AA217" s="2" t="str">
        <f t="shared" si="4"/>
        <v>Clean</v>
      </c>
      <c r="AB217" s="2" t="str">
        <f t="shared" si="5"/>
        <v>valid</v>
      </c>
      <c r="AC217">
        <f t="shared" si="27"/>
        <v>0.25</v>
      </c>
      <c r="AD217">
        <f t="shared" si="28"/>
        <v>19214.400000000001</v>
      </c>
      <c r="AE217">
        <f t="shared" si="29"/>
        <v>8298.3900000000012</v>
      </c>
      <c r="AF217">
        <f t="shared" si="30"/>
        <v>0.43188389957531853</v>
      </c>
      <c r="AG217" t="str">
        <f t="shared" si="31"/>
        <v>March</v>
      </c>
      <c r="AH217">
        <f t="shared" si="32"/>
        <v>2024</v>
      </c>
      <c r="AI217" t="str">
        <f t="shared" si="33"/>
        <v>Clean</v>
      </c>
    </row>
    <row r="218" spans="1:35" ht="15.75" customHeight="1">
      <c r="A218" s="3" t="s">
        <v>1154</v>
      </c>
      <c r="B218" s="3" t="s">
        <v>98</v>
      </c>
      <c r="C218" s="3" t="s">
        <v>1155</v>
      </c>
      <c r="D218" s="3" t="str">
        <f t="shared" si="0"/>
        <v>15-Apr-2025</v>
      </c>
      <c r="E218" s="3" t="str">
        <f t="shared" si="1"/>
        <v>04-Oct-2025</v>
      </c>
      <c r="F218" s="3">
        <f t="shared" si="2"/>
        <v>-172</v>
      </c>
      <c r="G218" s="3" t="s">
        <v>1156</v>
      </c>
      <c r="H218" s="3" t="s">
        <v>61</v>
      </c>
      <c r="I218" s="3" t="s">
        <v>34</v>
      </c>
      <c r="J218" s="3" t="s">
        <v>81</v>
      </c>
      <c r="K218" s="3" t="s">
        <v>243</v>
      </c>
      <c r="L218" s="3" t="s">
        <v>244</v>
      </c>
      <c r="M218" s="3" t="s">
        <v>53</v>
      </c>
      <c r="N218" s="3" t="s">
        <v>54</v>
      </c>
      <c r="O218" s="3" t="s">
        <v>1157</v>
      </c>
      <c r="P218" s="3" t="s">
        <v>75</v>
      </c>
      <c r="Q218" s="3">
        <v>8</v>
      </c>
      <c r="R218" s="3">
        <v>1839.87</v>
      </c>
      <c r="S218" s="3">
        <v>0.25</v>
      </c>
      <c r="T218" s="3">
        <v>11039.22</v>
      </c>
      <c r="U218" s="3">
        <v>7642.91</v>
      </c>
      <c r="V218" s="3">
        <v>3396.31</v>
      </c>
      <c r="W218" s="3" t="s">
        <v>208</v>
      </c>
      <c r="X218" s="3" t="s">
        <v>133</v>
      </c>
      <c r="Y218" s="2" t="str">
        <f t="shared" si="3"/>
        <v>Unique</v>
      </c>
      <c r="AA218" s="2" t="str">
        <f t="shared" si="4"/>
        <v>Clean</v>
      </c>
      <c r="AB218" s="2" t="str">
        <f t="shared" si="5"/>
        <v>Invalid</v>
      </c>
      <c r="AC218">
        <f t="shared" si="27"/>
        <v>0.25</v>
      </c>
      <c r="AD218">
        <f t="shared" si="28"/>
        <v>11039.22</v>
      </c>
      <c r="AE218">
        <f t="shared" si="29"/>
        <v>3396.3099999999995</v>
      </c>
      <c r="AF218">
        <f t="shared" si="30"/>
        <v>0.30765851210502188</v>
      </c>
      <c r="AG218" t="str">
        <f t="shared" si="31"/>
        <v>October</v>
      </c>
      <c r="AH218">
        <f t="shared" si="32"/>
        <v>2025</v>
      </c>
      <c r="AI218" t="str">
        <f t="shared" si="33"/>
        <v>Warning</v>
      </c>
    </row>
    <row r="219" spans="1:35" ht="15.75" customHeight="1">
      <c r="A219" s="3" t="s">
        <v>1158</v>
      </c>
      <c r="B219" s="3" t="s">
        <v>1159</v>
      </c>
      <c r="C219" s="3" t="s">
        <v>1160</v>
      </c>
      <c r="D219" s="3" t="str">
        <f t="shared" si="0"/>
        <v>04-Aug-2025</v>
      </c>
      <c r="E219" s="3" t="str">
        <f t="shared" si="1"/>
        <v>01-Apr-2025</v>
      </c>
      <c r="F219" s="3">
        <f t="shared" si="2"/>
        <v>125</v>
      </c>
      <c r="G219" s="3" t="s">
        <v>1161</v>
      </c>
      <c r="H219" s="3" t="s">
        <v>115</v>
      </c>
      <c r="I219" s="3" t="s">
        <v>34</v>
      </c>
      <c r="J219" s="3" t="s">
        <v>50</v>
      </c>
      <c r="K219" s="3" t="s">
        <v>51</v>
      </c>
      <c r="L219" s="3" t="s">
        <v>52</v>
      </c>
      <c r="M219" s="3" t="s">
        <v>53</v>
      </c>
      <c r="N219" s="3" t="s">
        <v>212</v>
      </c>
      <c r="O219" s="3" t="s">
        <v>1162</v>
      </c>
      <c r="P219" s="3" t="s">
        <v>41</v>
      </c>
      <c r="Q219" s="3">
        <v>5</v>
      </c>
      <c r="R219" s="3">
        <v>1021.28</v>
      </c>
      <c r="S219" s="3">
        <v>0.1</v>
      </c>
      <c r="T219" s="3">
        <v>4595.76</v>
      </c>
      <c r="U219" s="3">
        <v>3396.8</v>
      </c>
      <c r="V219" s="3">
        <v>1198.96</v>
      </c>
      <c r="W219" s="3" t="s">
        <v>132</v>
      </c>
      <c r="X219" s="3" t="s">
        <v>86</v>
      </c>
      <c r="Y219" s="2" t="str">
        <f t="shared" si="3"/>
        <v>Unique</v>
      </c>
      <c r="AA219" s="2" t="str">
        <f t="shared" si="4"/>
        <v>Clean</v>
      </c>
      <c r="AB219" s="2" t="str">
        <f t="shared" si="5"/>
        <v>valid</v>
      </c>
      <c r="AC219">
        <f t="shared" si="27"/>
        <v>0.1</v>
      </c>
      <c r="AD219">
        <f t="shared" si="28"/>
        <v>4595.76</v>
      </c>
      <c r="AE219">
        <f t="shared" si="29"/>
        <v>1198.96</v>
      </c>
      <c r="AF219">
        <f t="shared" si="30"/>
        <v>0.26088394520166414</v>
      </c>
      <c r="AG219" t="str">
        <f t="shared" si="31"/>
        <v>April</v>
      </c>
      <c r="AH219">
        <f t="shared" si="32"/>
        <v>2025</v>
      </c>
      <c r="AI219" t="str">
        <f t="shared" si="33"/>
        <v>Warning</v>
      </c>
    </row>
    <row r="220" spans="1:35" ht="15.75" customHeight="1">
      <c r="A220" s="3" t="s">
        <v>1163</v>
      </c>
      <c r="B220" s="3" t="s">
        <v>1164</v>
      </c>
      <c r="C220" s="3" t="s">
        <v>1165</v>
      </c>
      <c r="D220" s="3" t="str">
        <f t="shared" si="0"/>
        <v>27-Feb-2025</v>
      </c>
      <c r="E220" s="3" t="str">
        <f t="shared" si="1"/>
        <v>26-Feb-2025</v>
      </c>
      <c r="F220" s="3">
        <f t="shared" si="2"/>
        <v>1</v>
      </c>
      <c r="G220" s="3" t="s">
        <v>1166</v>
      </c>
      <c r="H220" s="3" t="s">
        <v>150</v>
      </c>
      <c r="I220" s="3" t="s">
        <v>116</v>
      </c>
      <c r="J220" s="3" t="s">
        <v>81</v>
      </c>
      <c r="K220" s="3" t="s">
        <v>243</v>
      </c>
      <c r="L220" s="3" t="s">
        <v>244</v>
      </c>
      <c r="M220" s="3" t="s">
        <v>53</v>
      </c>
      <c r="N220" s="3" t="s">
        <v>212</v>
      </c>
      <c r="O220" s="3" t="s">
        <v>1167</v>
      </c>
      <c r="P220" s="3" t="s">
        <v>75</v>
      </c>
      <c r="Q220" s="3">
        <v>5</v>
      </c>
      <c r="R220" s="3">
        <v>258.27999999999997</v>
      </c>
      <c r="S220" s="3">
        <v>0</v>
      </c>
      <c r="T220" s="3">
        <v>1291.4000000000001</v>
      </c>
      <c r="U220" s="3">
        <v>756.93</v>
      </c>
      <c r="V220" s="3">
        <v>534.47</v>
      </c>
      <c r="W220" s="3" t="s">
        <v>42</v>
      </c>
      <c r="X220" s="3" t="s">
        <v>43</v>
      </c>
      <c r="Y220" s="2" t="str">
        <f t="shared" si="3"/>
        <v>Unique</v>
      </c>
      <c r="AA220" s="2" t="str">
        <f t="shared" si="4"/>
        <v>Clean</v>
      </c>
      <c r="AB220" s="2" t="str">
        <f t="shared" si="5"/>
        <v>valid</v>
      </c>
      <c r="AC220">
        <f t="shared" si="27"/>
        <v>0</v>
      </c>
      <c r="AD220">
        <f t="shared" si="28"/>
        <v>1291.3999999999999</v>
      </c>
      <c r="AE220">
        <f t="shared" si="29"/>
        <v>534.46999999999991</v>
      </c>
      <c r="AF220">
        <f t="shared" si="30"/>
        <v>0.41386866966083319</v>
      </c>
      <c r="AG220" t="str">
        <f t="shared" si="31"/>
        <v>February</v>
      </c>
      <c r="AH220">
        <f t="shared" si="32"/>
        <v>2025</v>
      </c>
      <c r="AI220" t="str">
        <f t="shared" si="33"/>
        <v>Clean</v>
      </c>
    </row>
    <row r="221" spans="1:35" ht="15.75" customHeight="1">
      <c r="A221" s="3" t="s">
        <v>1168</v>
      </c>
      <c r="B221" s="3" t="s">
        <v>694</v>
      </c>
      <c r="C221" s="3" t="s">
        <v>1169</v>
      </c>
      <c r="D221" s="3" t="str">
        <f t="shared" si="0"/>
        <v>19-Jun-2024</v>
      </c>
      <c r="E221" s="3" t="str">
        <f t="shared" si="1"/>
        <v>18-Jun-2024</v>
      </c>
      <c r="F221" s="3">
        <f t="shared" si="2"/>
        <v>1</v>
      </c>
      <c r="G221" s="3" t="s">
        <v>1170</v>
      </c>
      <c r="H221" s="3" t="s">
        <v>156</v>
      </c>
      <c r="I221" s="3" t="s">
        <v>34</v>
      </c>
      <c r="J221" s="3" t="s">
        <v>50</v>
      </c>
      <c r="K221" s="3" t="s">
        <v>194</v>
      </c>
      <c r="L221" s="3" t="s">
        <v>195</v>
      </c>
      <c r="M221" s="3" t="s">
        <v>94</v>
      </c>
      <c r="N221" s="3" t="s">
        <v>391</v>
      </c>
      <c r="O221" s="3" t="s">
        <v>1171</v>
      </c>
      <c r="P221" s="3" t="s">
        <v>64</v>
      </c>
      <c r="Q221" s="3">
        <v>2</v>
      </c>
      <c r="R221" s="3">
        <v>121.49</v>
      </c>
      <c r="S221" s="3" t="s">
        <v>1172</v>
      </c>
      <c r="T221" s="3">
        <v>242.98</v>
      </c>
      <c r="U221" s="3">
        <v>161.41999999999999</v>
      </c>
      <c r="V221" s="3">
        <v>81.56</v>
      </c>
      <c r="W221" s="3" t="s">
        <v>42</v>
      </c>
      <c r="X221" s="3" t="s">
        <v>43</v>
      </c>
      <c r="Y221" s="2" t="str">
        <f t="shared" si="3"/>
        <v>Unique</v>
      </c>
      <c r="AA221" s="2" t="str">
        <f t="shared" si="4"/>
        <v>Invalid</v>
      </c>
      <c r="AB221" s="2" t="str">
        <f t="shared" si="5"/>
        <v>valid</v>
      </c>
      <c r="AC221">
        <f t="shared" si="27"/>
        <v>8.5000000000000006E-3</v>
      </c>
      <c r="AD221">
        <f t="shared" si="28"/>
        <v>240.91467</v>
      </c>
      <c r="AE221">
        <f t="shared" si="29"/>
        <v>79.494670000000013</v>
      </c>
      <c r="AF221">
        <f t="shared" si="30"/>
        <v>0.32997023385915025</v>
      </c>
      <c r="AG221" t="str">
        <f t="shared" si="31"/>
        <v>June</v>
      </c>
      <c r="AH221">
        <f t="shared" si="32"/>
        <v>2024</v>
      </c>
      <c r="AI221" t="str">
        <f t="shared" si="33"/>
        <v>Clean</v>
      </c>
    </row>
    <row r="222" spans="1:35" ht="15.75" customHeight="1">
      <c r="A222" s="3" t="s">
        <v>1173</v>
      </c>
      <c r="B222" s="3" t="s">
        <v>1174</v>
      </c>
      <c r="C222" s="3" t="s">
        <v>1174</v>
      </c>
      <c r="D222" s="3" t="str">
        <f t="shared" si="0"/>
        <v>09-Mar-2024</v>
      </c>
      <c r="E222" s="3" t="str">
        <f t="shared" si="1"/>
        <v>09-Mar-2024</v>
      </c>
      <c r="F222" s="3">
        <f t="shared" si="2"/>
        <v>0</v>
      </c>
      <c r="G222" s="3" t="s">
        <v>1175</v>
      </c>
      <c r="H222" s="3" t="s">
        <v>176</v>
      </c>
      <c r="I222" s="3" t="s">
        <v>34</v>
      </c>
      <c r="J222" s="3" t="s">
        <v>70</v>
      </c>
      <c r="K222" s="3" t="s">
        <v>250</v>
      </c>
      <c r="L222" s="3" t="s">
        <v>251</v>
      </c>
      <c r="M222" s="3" t="s">
        <v>38</v>
      </c>
      <c r="N222" s="3" t="s">
        <v>164</v>
      </c>
      <c r="O222" s="3" t="s">
        <v>1176</v>
      </c>
      <c r="P222" s="3" t="s">
        <v>64</v>
      </c>
      <c r="Q222" s="3">
        <v>4</v>
      </c>
      <c r="R222" s="3">
        <v>2810.17</v>
      </c>
      <c r="S222" s="3">
        <v>0.15</v>
      </c>
      <c r="T222" s="3">
        <v>9554.58</v>
      </c>
      <c r="U222" s="3">
        <v>6068.47</v>
      </c>
      <c r="V222" s="3">
        <v>3486.11</v>
      </c>
      <c r="W222" s="3" t="s">
        <v>132</v>
      </c>
      <c r="X222" s="3" t="s">
        <v>86</v>
      </c>
      <c r="Y222" s="2" t="str">
        <f t="shared" si="3"/>
        <v>Unique</v>
      </c>
      <c r="AA222" s="2" t="str">
        <f t="shared" si="4"/>
        <v>Clean</v>
      </c>
      <c r="AB222" s="2" t="str">
        <f t="shared" si="5"/>
        <v>valid</v>
      </c>
      <c r="AC222">
        <f t="shared" si="27"/>
        <v>0.15</v>
      </c>
      <c r="AD222">
        <f t="shared" si="28"/>
        <v>9554.5779999999995</v>
      </c>
      <c r="AE222">
        <f t="shared" si="29"/>
        <v>3486.1079999999993</v>
      </c>
      <c r="AF222">
        <f t="shared" si="30"/>
        <v>0.36486258210462036</v>
      </c>
      <c r="AG222" t="str">
        <f t="shared" si="31"/>
        <v>March</v>
      </c>
      <c r="AH222">
        <f t="shared" si="32"/>
        <v>2024</v>
      </c>
      <c r="AI222" t="str">
        <f t="shared" si="33"/>
        <v>Warning</v>
      </c>
    </row>
    <row r="223" spans="1:35" ht="15.75" customHeight="1">
      <c r="A223" s="3" t="s">
        <v>1177</v>
      </c>
      <c r="B223" s="3" t="s">
        <v>1178</v>
      </c>
      <c r="C223" s="3" t="s">
        <v>1179</v>
      </c>
      <c r="D223" s="3" t="str">
        <f t="shared" si="0"/>
        <v>15-Jan-2025</v>
      </c>
      <c r="E223" s="3" t="str">
        <f t="shared" si="1"/>
        <v>12-Jan-2025</v>
      </c>
      <c r="F223" s="3">
        <f t="shared" si="2"/>
        <v>3</v>
      </c>
      <c r="G223" s="3" t="s">
        <v>1180</v>
      </c>
      <c r="H223" s="3" t="s">
        <v>48</v>
      </c>
      <c r="I223" s="3" t="s">
        <v>116</v>
      </c>
      <c r="J223" s="3" t="s">
        <v>70</v>
      </c>
      <c r="K223" s="3" t="s">
        <v>237</v>
      </c>
      <c r="L223" s="3" t="s">
        <v>238</v>
      </c>
      <c r="M223" s="3" t="s">
        <v>53</v>
      </c>
      <c r="N223" s="3" t="s">
        <v>84</v>
      </c>
      <c r="O223" s="3" t="s">
        <v>1181</v>
      </c>
      <c r="P223" s="3" t="s">
        <v>56</v>
      </c>
      <c r="Q223" s="3">
        <v>4</v>
      </c>
      <c r="R223" s="3">
        <v>1531.53</v>
      </c>
      <c r="S223" s="3">
        <v>0.2</v>
      </c>
      <c r="T223" s="3">
        <v>4900.8999999999996</v>
      </c>
      <c r="U223" s="3">
        <v>3552.69</v>
      </c>
      <c r="V223" s="3">
        <v>1348.21</v>
      </c>
      <c r="W223" s="3" t="s">
        <v>42</v>
      </c>
      <c r="X223" s="3" t="s">
        <v>43</v>
      </c>
      <c r="Y223" s="2" t="str">
        <f t="shared" si="3"/>
        <v>Unique</v>
      </c>
      <c r="AA223" s="2" t="str">
        <f t="shared" si="4"/>
        <v>Clean</v>
      </c>
      <c r="AB223" s="2" t="str">
        <f t="shared" si="5"/>
        <v>valid</v>
      </c>
      <c r="AC223">
        <f t="shared" si="27"/>
        <v>0.2</v>
      </c>
      <c r="AD223">
        <f t="shared" si="28"/>
        <v>4900.8959999999997</v>
      </c>
      <c r="AE223">
        <f t="shared" si="29"/>
        <v>1348.2059999999997</v>
      </c>
      <c r="AF223">
        <f t="shared" si="30"/>
        <v>0.27509377877024932</v>
      </c>
      <c r="AG223" t="str">
        <f t="shared" si="31"/>
        <v>January</v>
      </c>
      <c r="AH223">
        <f t="shared" si="32"/>
        <v>2025</v>
      </c>
      <c r="AI223" t="str">
        <f t="shared" si="33"/>
        <v>Clean</v>
      </c>
    </row>
    <row r="224" spans="1:35" ht="15.75" customHeight="1">
      <c r="A224" s="3" t="s">
        <v>1182</v>
      </c>
      <c r="B224" s="3" t="s">
        <v>1183</v>
      </c>
      <c r="C224" s="3" t="s">
        <v>1018</v>
      </c>
      <c r="D224" s="3" t="str">
        <f t="shared" si="0"/>
        <v>02-May-2025</v>
      </c>
      <c r="E224" s="3" t="str">
        <f t="shared" si="1"/>
        <v>29-Apr-2025</v>
      </c>
      <c r="F224" s="3">
        <f t="shared" si="2"/>
        <v>3</v>
      </c>
      <c r="G224" s="3" t="s">
        <v>1184</v>
      </c>
      <c r="H224" s="3" t="s">
        <v>91</v>
      </c>
      <c r="I224" s="3" t="s">
        <v>49</v>
      </c>
      <c r="J224" s="3" t="s">
        <v>81</v>
      </c>
      <c r="K224" s="3" t="s">
        <v>257</v>
      </c>
      <c r="L224" s="3" t="s">
        <v>258</v>
      </c>
      <c r="M224" s="3" t="s">
        <v>38</v>
      </c>
      <c r="N224" s="3" t="s">
        <v>164</v>
      </c>
      <c r="O224" s="3" t="s">
        <v>1185</v>
      </c>
      <c r="P224" s="3" t="s">
        <v>64</v>
      </c>
      <c r="Q224" s="3">
        <v>6</v>
      </c>
      <c r="R224" s="3">
        <v>4308.09</v>
      </c>
      <c r="S224" s="3">
        <v>0</v>
      </c>
      <c r="T224" s="3">
        <v>25848.54</v>
      </c>
      <c r="U224" s="3">
        <v>17729.09</v>
      </c>
      <c r="V224" s="3">
        <v>8119.45</v>
      </c>
      <c r="W224" s="3" t="s">
        <v>42</v>
      </c>
      <c r="X224" s="3" t="s">
        <v>43</v>
      </c>
      <c r="Y224" s="2" t="str">
        <f t="shared" si="3"/>
        <v>Unique</v>
      </c>
      <c r="AA224" s="2" t="str">
        <f t="shared" si="4"/>
        <v>Clean</v>
      </c>
      <c r="AB224" s="2" t="str">
        <f t="shared" si="5"/>
        <v>valid</v>
      </c>
      <c r="AC224">
        <f t="shared" si="27"/>
        <v>0</v>
      </c>
      <c r="AD224">
        <f t="shared" si="28"/>
        <v>25848.54</v>
      </c>
      <c r="AE224">
        <f t="shared" si="29"/>
        <v>8119.4500000000007</v>
      </c>
      <c r="AF224">
        <f t="shared" si="30"/>
        <v>0.31411638723115504</v>
      </c>
      <c r="AG224" t="str">
        <f t="shared" si="31"/>
        <v>April</v>
      </c>
      <c r="AH224">
        <f t="shared" si="32"/>
        <v>2025</v>
      </c>
      <c r="AI224" t="str">
        <f t="shared" si="33"/>
        <v>Clean</v>
      </c>
    </row>
    <row r="225" spans="1:35" ht="15.75" customHeight="1">
      <c r="A225" s="3" t="s">
        <v>1186</v>
      </c>
      <c r="B225" s="3" t="s">
        <v>1187</v>
      </c>
      <c r="C225" s="3" t="s">
        <v>1188</v>
      </c>
      <c r="D225" s="3" t="str">
        <f t="shared" si="0"/>
        <v>26-Feb-2025</v>
      </c>
      <c r="E225" s="3" t="str">
        <f t="shared" si="1"/>
        <v>19-Feb-2025</v>
      </c>
      <c r="F225" s="3">
        <f t="shared" si="2"/>
        <v>7</v>
      </c>
      <c r="G225" s="3" t="s">
        <v>1189</v>
      </c>
      <c r="H225" s="3" t="s">
        <v>48</v>
      </c>
      <c r="I225" s="3" t="s">
        <v>116</v>
      </c>
      <c r="J225" s="3" t="s">
        <v>81</v>
      </c>
      <c r="K225" s="3" t="s">
        <v>82</v>
      </c>
      <c r="L225" s="3" t="s">
        <v>83</v>
      </c>
      <c r="M225" s="3" t="s">
        <v>53</v>
      </c>
      <c r="N225" s="3" t="s">
        <v>73</v>
      </c>
      <c r="O225" s="3" t="s">
        <v>1190</v>
      </c>
      <c r="P225" s="3" t="s">
        <v>64</v>
      </c>
      <c r="Q225" s="3">
        <v>3</v>
      </c>
      <c r="R225" s="3">
        <v>490.3</v>
      </c>
      <c r="S225" s="3">
        <v>0.2</v>
      </c>
      <c r="T225" s="3">
        <v>1176.72</v>
      </c>
      <c r="U225" s="3">
        <v>654.33000000000004</v>
      </c>
      <c r="V225" s="3">
        <v>522.39</v>
      </c>
      <c r="W225" s="3" t="s">
        <v>145</v>
      </c>
      <c r="X225" s="3" t="s">
        <v>133</v>
      </c>
      <c r="Y225" s="2" t="str">
        <f t="shared" si="3"/>
        <v>Unique</v>
      </c>
      <c r="AA225" s="2" t="str">
        <f t="shared" si="4"/>
        <v>Clean</v>
      </c>
      <c r="AB225" s="2" t="str">
        <f t="shared" si="5"/>
        <v>valid</v>
      </c>
      <c r="AC225">
        <f t="shared" si="27"/>
        <v>0.2</v>
      </c>
      <c r="AD225">
        <f t="shared" si="28"/>
        <v>1176.72</v>
      </c>
      <c r="AE225">
        <f t="shared" si="29"/>
        <v>522.39</v>
      </c>
      <c r="AF225">
        <f t="shared" si="30"/>
        <v>0.44393738527432181</v>
      </c>
      <c r="AG225" t="str">
        <f t="shared" si="31"/>
        <v>February</v>
      </c>
      <c r="AH225">
        <f t="shared" si="32"/>
        <v>2025</v>
      </c>
      <c r="AI225" t="str">
        <f t="shared" si="33"/>
        <v>Clean</v>
      </c>
    </row>
    <row r="226" spans="1:35" ht="15.75" customHeight="1">
      <c r="A226" s="3" t="s">
        <v>1191</v>
      </c>
      <c r="B226" s="3" t="s">
        <v>1192</v>
      </c>
      <c r="C226" s="3" t="s">
        <v>1193</v>
      </c>
      <c r="D226" s="3" t="str">
        <f t="shared" si="0"/>
        <v>08-Oct-2025</v>
      </c>
      <c r="E226" s="3" t="str">
        <f t="shared" si="1"/>
        <v>10-Feb-2025</v>
      </c>
      <c r="F226" s="3">
        <f t="shared" si="2"/>
        <v>240</v>
      </c>
      <c r="G226" s="3" t="s">
        <v>1194</v>
      </c>
      <c r="H226" s="3" t="s">
        <v>61</v>
      </c>
      <c r="I226" s="3" t="s">
        <v>49</v>
      </c>
      <c r="J226" s="3" t="s">
        <v>35</v>
      </c>
      <c r="K226" s="3" t="s">
        <v>162</v>
      </c>
      <c r="L226" s="3" t="s">
        <v>163</v>
      </c>
      <c r="M226" s="3" t="s">
        <v>53</v>
      </c>
      <c r="N226" s="3" t="s">
        <v>73</v>
      </c>
      <c r="O226" s="3" t="s">
        <v>1195</v>
      </c>
      <c r="P226" s="3" t="s">
        <v>75</v>
      </c>
      <c r="Q226" s="3">
        <v>4</v>
      </c>
      <c r="R226" s="3">
        <v>3944.64</v>
      </c>
      <c r="S226" s="3">
        <v>0.25</v>
      </c>
      <c r="T226" s="3">
        <v>11833.92</v>
      </c>
      <c r="U226" s="3">
        <v>6682.92</v>
      </c>
      <c r="V226" s="3">
        <v>5151</v>
      </c>
      <c r="W226" s="3" t="s">
        <v>42</v>
      </c>
      <c r="X226" s="3" t="s">
        <v>86</v>
      </c>
      <c r="Y226" s="2" t="str">
        <f t="shared" si="3"/>
        <v>Duplicate Order ID</v>
      </c>
      <c r="Z226" s="5" t="s">
        <v>722</v>
      </c>
      <c r="AA226" s="2" t="str">
        <f t="shared" si="4"/>
        <v>Clean</v>
      </c>
      <c r="AB226" s="2" t="str">
        <f t="shared" si="5"/>
        <v>valid</v>
      </c>
      <c r="AC226">
        <f t="shared" si="27"/>
        <v>0.25</v>
      </c>
      <c r="AD226">
        <f t="shared" si="28"/>
        <v>11833.92</v>
      </c>
      <c r="AE226">
        <f t="shared" si="29"/>
        <v>5151</v>
      </c>
      <c r="AF226">
        <f t="shared" si="30"/>
        <v>0.43527419485681834</v>
      </c>
      <c r="AG226" t="str">
        <f t="shared" si="31"/>
        <v>February</v>
      </c>
      <c r="AH226">
        <f t="shared" si="32"/>
        <v>2025</v>
      </c>
      <c r="AI226" t="str">
        <f t="shared" si="33"/>
        <v>Warning</v>
      </c>
    </row>
    <row r="227" spans="1:35" ht="15.75" customHeight="1">
      <c r="A227" s="3" t="s">
        <v>1196</v>
      </c>
      <c r="B227" s="3" t="s">
        <v>1197</v>
      </c>
      <c r="C227" s="3" t="s">
        <v>1198</v>
      </c>
      <c r="D227" s="3" t="str">
        <f t="shared" si="0"/>
        <v>10-Sep-2024</v>
      </c>
      <c r="E227" s="3" t="str">
        <f t="shared" si="1"/>
        <v>02-Sep-2024</v>
      </c>
      <c r="F227" s="3">
        <f t="shared" si="2"/>
        <v>8</v>
      </c>
      <c r="G227" s="3" t="s">
        <v>1199</v>
      </c>
      <c r="H227" s="3" t="s">
        <v>48</v>
      </c>
      <c r="I227" s="3" t="s">
        <v>116</v>
      </c>
      <c r="J227" s="3" t="s">
        <v>81</v>
      </c>
      <c r="K227" s="3" t="s">
        <v>257</v>
      </c>
      <c r="L227" s="3" t="s">
        <v>258</v>
      </c>
      <c r="M227" s="3" t="s">
        <v>94</v>
      </c>
      <c r="N227" s="3" t="s">
        <v>231</v>
      </c>
      <c r="O227" s="3" t="s">
        <v>1200</v>
      </c>
      <c r="P227" s="3" t="s">
        <v>75</v>
      </c>
      <c r="Q227" s="3">
        <v>6</v>
      </c>
      <c r="R227" s="3">
        <v>1032.47</v>
      </c>
      <c r="S227" s="3">
        <v>0.15</v>
      </c>
      <c r="T227" s="3">
        <v>5265.6</v>
      </c>
      <c r="U227" s="3">
        <v>4293.1099999999997</v>
      </c>
      <c r="V227" s="3">
        <v>787.57</v>
      </c>
      <c r="W227" s="3" t="s">
        <v>42</v>
      </c>
      <c r="X227" s="3" t="s">
        <v>43</v>
      </c>
      <c r="Y227" s="2" t="str">
        <f t="shared" si="3"/>
        <v>Unique</v>
      </c>
      <c r="AA227" s="2" t="str">
        <f t="shared" si="4"/>
        <v>Clean</v>
      </c>
      <c r="AB227" s="2" t="str">
        <f t="shared" si="5"/>
        <v>valid</v>
      </c>
      <c r="AC227">
        <f t="shared" si="27"/>
        <v>0.15</v>
      </c>
      <c r="AD227">
        <f t="shared" si="28"/>
        <v>5265.5969999999998</v>
      </c>
      <c r="AE227">
        <f t="shared" si="29"/>
        <v>972.48700000000008</v>
      </c>
      <c r="AF227">
        <f t="shared" si="30"/>
        <v>0.18468694053114967</v>
      </c>
      <c r="AG227" t="str">
        <f t="shared" si="31"/>
        <v>September</v>
      </c>
      <c r="AH227">
        <f t="shared" si="32"/>
        <v>2024</v>
      </c>
      <c r="AI227" t="str">
        <f t="shared" si="33"/>
        <v>Clean</v>
      </c>
    </row>
    <row r="228" spans="1:35" ht="15.75" customHeight="1">
      <c r="A228" s="3" t="s">
        <v>1201</v>
      </c>
      <c r="B228" s="3" t="s">
        <v>1202</v>
      </c>
      <c r="C228" s="3" t="s">
        <v>1155</v>
      </c>
      <c r="D228" s="3" t="str">
        <f t="shared" si="0"/>
        <v>15-Apr-2025</v>
      </c>
      <c r="E228" s="3" t="str">
        <f t="shared" si="1"/>
        <v>10-Apr-2025</v>
      </c>
      <c r="F228" s="3">
        <f t="shared" si="2"/>
        <v>5</v>
      </c>
      <c r="G228" s="3" t="s">
        <v>1203</v>
      </c>
      <c r="H228" s="3" t="s">
        <v>218</v>
      </c>
      <c r="I228" s="3" t="s">
        <v>123</v>
      </c>
      <c r="J228" s="3" t="s">
        <v>280</v>
      </c>
      <c r="K228" s="3" t="s">
        <v>250</v>
      </c>
      <c r="L228" s="3" t="s">
        <v>251</v>
      </c>
      <c r="M228" s="3" t="s">
        <v>94</v>
      </c>
      <c r="N228" s="3" t="s">
        <v>102</v>
      </c>
      <c r="O228" s="3" t="s">
        <v>1204</v>
      </c>
      <c r="P228" s="3" t="s">
        <v>56</v>
      </c>
      <c r="Q228" s="3">
        <v>1</v>
      </c>
      <c r="R228" s="3">
        <v>2208.27</v>
      </c>
      <c r="S228" s="3">
        <v>0.1</v>
      </c>
      <c r="T228" s="3">
        <v>1987.44</v>
      </c>
      <c r="U228" s="3">
        <v>1110.23</v>
      </c>
      <c r="V228" s="3">
        <v>877.21</v>
      </c>
      <c r="W228" s="3" t="s">
        <v>42</v>
      </c>
      <c r="X228" s="3" t="s">
        <v>43</v>
      </c>
      <c r="Y228" s="2" t="str">
        <f t="shared" si="3"/>
        <v>Unique</v>
      </c>
      <c r="AA228" s="2" t="str">
        <f t="shared" si="4"/>
        <v>Clean</v>
      </c>
      <c r="AB228" s="2" t="str">
        <f t="shared" si="5"/>
        <v>valid</v>
      </c>
      <c r="AC228">
        <f t="shared" si="27"/>
        <v>0.1</v>
      </c>
      <c r="AD228">
        <f t="shared" si="28"/>
        <v>1987.443</v>
      </c>
      <c r="AE228">
        <f t="shared" si="29"/>
        <v>877.21299999999997</v>
      </c>
      <c r="AF228">
        <f t="shared" si="30"/>
        <v>0.44137768982556985</v>
      </c>
      <c r="AG228" t="str">
        <f t="shared" si="31"/>
        <v>April</v>
      </c>
      <c r="AH228">
        <f t="shared" si="32"/>
        <v>2025</v>
      </c>
      <c r="AI228" t="str">
        <f t="shared" si="33"/>
        <v>Clean</v>
      </c>
    </row>
    <row r="229" spans="1:35" ht="15.75" customHeight="1">
      <c r="A229" s="3" t="s">
        <v>1205</v>
      </c>
      <c r="B229" s="3" t="s">
        <v>1206</v>
      </c>
      <c r="C229" s="3" t="s">
        <v>1207</v>
      </c>
      <c r="D229" s="3" t="str">
        <f t="shared" si="0"/>
        <v>12-Jul-2024</v>
      </c>
      <c r="E229" s="3" t="str">
        <f t="shared" si="1"/>
        <v>05-Jul-2024</v>
      </c>
      <c r="F229" s="3">
        <f t="shared" si="2"/>
        <v>7</v>
      </c>
      <c r="G229" s="3" t="s">
        <v>1208</v>
      </c>
      <c r="H229" s="3" t="s">
        <v>80</v>
      </c>
      <c r="I229" s="3" t="s">
        <v>49</v>
      </c>
      <c r="J229" s="3" t="s">
        <v>81</v>
      </c>
      <c r="K229" s="3" t="s">
        <v>257</v>
      </c>
      <c r="L229" s="3" t="s">
        <v>258</v>
      </c>
      <c r="M229" s="3" t="s">
        <v>38</v>
      </c>
      <c r="N229" s="3" t="s">
        <v>206</v>
      </c>
      <c r="O229" s="3" t="s">
        <v>1209</v>
      </c>
      <c r="P229" s="3" t="s">
        <v>64</v>
      </c>
      <c r="Q229" s="3">
        <v>3</v>
      </c>
      <c r="R229" s="3">
        <v>577.75</v>
      </c>
      <c r="S229" s="3">
        <v>0.15</v>
      </c>
      <c r="T229" s="3">
        <v>1473.26</v>
      </c>
      <c r="U229" s="3">
        <v>899.86</v>
      </c>
      <c r="V229" s="3">
        <v>573.4</v>
      </c>
      <c r="W229" s="3" t="s">
        <v>42</v>
      </c>
      <c r="X229" s="3" t="s">
        <v>43</v>
      </c>
      <c r="Y229" s="2" t="str">
        <f t="shared" si="3"/>
        <v>Unique</v>
      </c>
      <c r="AA229" s="2" t="str">
        <f t="shared" si="4"/>
        <v>Clean</v>
      </c>
      <c r="AB229" s="2" t="str">
        <f t="shared" si="5"/>
        <v>valid</v>
      </c>
      <c r="AC229">
        <f t="shared" si="27"/>
        <v>0.15</v>
      </c>
      <c r="AD229">
        <f t="shared" si="28"/>
        <v>1473.2625</v>
      </c>
      <c r="AE229">
        <f t="shared" si="29"/>
        <v>573.40250000000003</v>
      </c>
      <c r="AF229">
        <f t="shared" si="30"/>
        <v>0.38920592901808065</v>
      </c>
      <c r="AG229" t="str">
        <f t="shared" si="31"/>
        <v>July</v>
      </c>
      <c r="AH229">
        <f t="shared" si="32"/>
        <v>2024</v>
      </c>
      <c r="AI229" t="str">
        <f t="shared" si="33"/>
        <v>Clean</v>
      </c>
    </row>
    <row r="230" spans="1:35" ht="15.75" customHeight="1">
      <c r="A230" s="3" t="s">
        <v>1210</v>
      </c>
      <c r="B230" s="3" t="s">
        <v>1211</v>
      </c>
      <c r="C230" s="3" t="s">
        <v>1212</v>
      </c>
      <c r="D230" s="3" t="str">
        <f t="shared" si="0"/>
        <v>28-Apr-2024</v>
      </c>
      <c r="E230" s="3" t="str">
        <f t="shared" si="1"/>
        <v>24-Apr-2024</v>
      </c>
      <c r="F230" s="3">
        <f t="shared" si="2"/>
        <v>4</v>
      </c>
      <c r="G230" s="3" t="s">
        <v>1213</v>
      </c>
      <c r="H230" s="3" t="s">
        <v>33</v>
      </c>
      <c r="I230" s="3" t="s">
        <v>49</v>
      </c>
      <c r="J230" s="3" t="s">
        <v>70</v>
      </c>
      <c r="K230" s="3" t="s">
        <v>71</v>
      </c>
      <c r="L230" s="3" t="s">
        <v>72</v>
      </c>
      <c r="M230" s="3" t="s">
        <v>38</v>
      </c>
      <c r="N230" s="3" t="s">
        <v>117</v>
      </c>
      <c r="O230" s="3" t="s">
        <v>1214</v>
      </c>
      <c r="P230" s="3" t="s">
        <v>41</v>
      </c>
      <c r="Q230" s="3">
        <v>1</v>
      </c>
      <c r="R230" s="3">
        <v>3194.37</v>
      </c>
      <c r="S230" s="3">
        <v>0.15</v>
      </c>
      <c r="T230" s="3">
        <v>2715.21</v>
      </c>
      <c r="U230" s="3">
        <v>1551.55</v>
      </c>
      <c r="V230" s="3">
        <v>1163.6600000000001</v>
      </c>
      <c r="W230" s="3" t="s">
        <v>42</v>
      </c>
      <c r="X230" s="3" t="s">
        <v>43</v>
      </c>
      <c r="Y230" s="2" t="str">
        <f t="shared" si="3"/>
        <v>Unique</v>
      </c>
      <c r="AA230" s="2" t="str">
        <f t="shared" si="4"/>
        <v>Clean</v>
      </c>
      <c r="AB230" s="2" t="str">
        <f t="shared" si="5"/>
        <v>valid</v>
      </c>
      <c r="AC230">
        <f t="shared" si="27"/>
        <v>0.15</v>
      </c>
      <c r="AD230">
        <f t="shared" si="28"/>
        <v>2715.2145</v>
      </c>
      <c r="AE230">
        <f t="shared" si="29"/>
        <v>1163.6645000000001</v>
      </c>
      <c r="AF230">
        <f t="shared" si="30"/>
        <v>0.42857184948003191</v>
      </c>
      <c r="AG230" t="str">
        <f t="shared" si="31"/>
        <v>April</v>
      </c>
      <c r="AH230">
        <f t="shared" si="32"/>
        <v>2024</v>
      </c>
      <c r="AI230" t="str">
        <f t="shared" si="33"/>
        <v>Clean</v>
      </c>
    </row>
    <row r="231" spans="1:35" ht="15.75" customHeight="1">
      <c r="A231" s="3" t="s">
        <v>1215</v>
      </c>
      <c r="B231" s="3" t="s">
        <v>1216</v>
      </c>
      <c r="C231" s="3" t="s">
        <v>1217</v>
      </c>
      <c r="D231" s="3" t="str">
        <f t="shared" si="0"/>
        <v>07-Apr-2025</v>
      </c>
      <c r="E231" s="3" t="str">
        <f t="shared" si="1"/>
        <v>28-Jun-2025</v>
      </c>
      <c r="F231" s="3">
        <f t="shared" si="2"/>
        <v>-82</v>
      </c>
      <c r="G231" s="3" t="s">
        <v>1218</v>
      </c>
      <c r="H231" s="3" t="s">
        <v>188</v>
      </c>
      <c r="I231" s="3" t="s">
        <v>34</v>
      </c>
      <c r="J231" s="3" t="s">
        <v>70</v>
      </c>
      <c r="K231" s="3" t="s">
        <v>71</v>
      </c>
      <c r="L231" s="3" t="s">
        <v>72</v>
      </c>
      <c r="M231" s="3" t="s">
        <v>53</v>
      </c>
      <c r="N231" s="3" t="s">
        <v>212</v>
      </c>
      <c r="O231" s="3" t="s">
        <v>1219</v>
      </c>
      <c r="P231" s="3" t="s">
        <v>64</v>
      </c>
      <c r="Q231" s="3">
        <v>3</v>
      </c>
      <c r="R231" s="3">
        <v>2886.23</v>
      </c>
      <c r="S231" s="3">
        <v>0</v>
      </c>
      <c r="T231" s="3">
        <v>8658.69</v>
      </c>
      <c r="U231" s="3">
        <v>5535.94</v>
      </c>
      <c r="V231" s="3">
        <v>3122.75</v>
      </c>
      <c r="W231" s="3" t="s">
        <v>132</v>
      </c>
      <c r="X231" s="3" t="s">
        <v>133</v>
      </c>
      <c r="Y231" s="2" t="str">
        <f t="shared" si="3"/>
        <v>Unique</v>
      </c>
      <c r="AA231" s="2" t="str">
        <f t="shared" si="4"/>
        <v>Clean</v>
      </c>
      <c r="AB231" s="2" t="str">
        <f t="shared" si="5"/>
        <v>Invalid</v>
      </c>
      <c r="AC231">
        <f t="shared" si="27"/>
        <v>0</v>
      </c>
      <c r="AD231">
        <f t="shared" si="28"/>
        <v>8658.69</v>
      </c>
      <c r="AE231">
        <f t="shared" si="29"/>
        <v>3122.7500000000009</v>
      </c>
      <c r="AF231">
        <f t="shared" si="30"/>
        <v>0.36064924370776652</v>
      </c>
      <c r="AG231" t="str">
        <f t="shared" si="31"/>
        <v>June</v>
      </c>
      <c r="AH231">
        <f t="shared" si="32"/>
        <v>2025</v>
      </c>
      <c r="AI231" t="str">
        <f t="shared" si="33"/>
        <v>Clean</v>
      </c>
    </row>
    <row r="232" spans="1:35" ht="15.75" customHeight="1">
      <c r="A232" s="3" t="s">
        <v>1220</v>
      </c>
      <c r="B232" s="3" t="s">
        <v>89</v>
      </c>
      <c r="C232" s="3" t="s">
        <v>1221</v>
      </c>
      <c r="D232" s="3" t="str">
        <f t="shared" si="0"/>
        <v>03-Jun-2024</v>
      </c>
      <c r="E232" s="3" t="str">
        <f t="shared" si="1"/>
        <v>28-May-2024</v>
      </c>
      <c r="F232" s="3">
        <f t="shared" si="2"/>
        <v>6</v>
      </c>
      <c r="G232" s="3" t="s">
        <v>1222</v>
      </c>
      <c r="H232" s="3" t="s">
        <v>101</v>
      </c>
      <c r="I232" s="3" t="s">
        <v>49</v>
      </c>
      <c r="J232" s="3" t="s">
        <v>35</v>
      </c>
      <c r="K232" s="3" t="s">
        <v>36</v>
      </c>
      <c r="L232" s="3" t="s">
        <v>37</v>
      </c>
      <c r="M232" s="3" t="s">
        <v>38</v>
      </c>
      <c r="N232" s="3" t="s">
        <v>39</v>
      </c>
      <c r="O232" s="3" t="s">
        <v>1223</v>
      </c>
      <c r="P232" s="3" t="s">
        <v>75</v>
      </c>
      <c r="Q232" s="3">
        <v>8</v>
      </c>
      <c r="R232" s="3">
        <v>1540.33</v>
      </c>
      <c r="S232" s="3">
        <v>0.1</v>
      </c>
      <c r="T232" s="3">
        <v>11090.38</v>
      </c>
      <c r="U232" s="3">
        <v>8840.9500000000007</v>
      </c>
      <c r="V232" s="3">
        <v>2249.4299999999998</v>
      </c>
      <c r="W232" s="3" t="s">
        <v>42</v>
      </c>
      <c r="X232" s="3" t="s">
        <v>43</v>
      </c>
      <c r="Y232" s="2" t="str">
        <f t="shared" si="3"/>
        <v>Unique</v>
      </c>
      <c r="AA232" s="2" t="str">
        <f t="shared" si="4"/>
        <v>Clean</v>
      </c>
      <c r="AB232" s="2" t="str">
        <f t="shared" si="5"/>
        <v>valid</v>
      </c>
      <c r="AC232">
        <f t="shared" si="27"/>
        <v>0.1</v>
      </c>
      <c r="AD232">
        <f t="shared" si="28"/>
        <v>11090.376</v>
      </c>
      <c r="AE232">
        <f t="shared" si="29"/>
        <v>2249.4259999999995</v>
      </c>
      <c r="AF232">
        <f t="shared" si="30"/>
        <v>0.20282684734944958</v>
      </c>
      <c r="AG232" t="str">
        <f t="shared" si="31"/>
        <v>May</v>
      </c>
      <c r="AH232">
        <f t="shared" si="32"/>
        <v>2024</v>
      </c>
      <c r="AI232" t="str">
        <f t="shared" si="33"/>
        <v>Clean</v>
      </c>
    </row>
    <row r="233" spans="1:35" ht="15.75" customHeight="1">
      <c r="A233" s="3" t="s">
        <v>1224</v>
      </c>
      <c r="B233" s="3" t="s">
        <v>1225</v>
      </c>
      <c r="C233" s="3" t="s">
        <v>1226</v>
      </c>
      <c r="D233" s="3" t="str">
        <f t="shared" si="0"/>
        <v>05-Feb-2024</v>
      </c>
      <c r="E233" s="3" t="str">
        <f t="shared" si="1"/>
        <v>02-May-2024</v>
      </c>
      <c r="F233" s="3">
        <f t="shared" si="2"/>
        <v>-87</v>
      </c>
      <c r="G233" s="3" t="s">
        <v>1227</v>
      </c>
      <c r="H233" s="3" t="s">
        <v>80</v>
      </c>
      <c r="I233" s="3" t="s">
        <v>116</v>
      </c>
      <c r="J233" s="3" t="s">
        <v>35</v>
      </c>
      <c r="K233" s="3" t="s">
        <v>36</v>
      </c>
      <c r="L233" s="3" t="s">
        <v>37</v>
      </c>
      <c r="M233" s="3" t="s">
        <v>38</v>
      </c>
      <c r="N233" s="3" t="s">
        <v>117</v>
      </c>
      <c r="O233" s="3" t="s">
        <v>1228</v>
      </c>
      <c r="P233" s="3" t="s">
        <v>64</v>
      </c>
      <c r="Q233" s="3">
        <v>7</v>
      </c>
      <c r="R233" s="3">
        <v>2183.38</v>
      </c>
      <c r="S233" s="3">
        <v>0.25</v>
      </c>
      <c r="T233" s="3">
        <v>11462.74</v>
      </c>
      <c r="U233" s="3">
        <v>7163.54</v>
      </c>
      <c r="V233" s="3">
        <v>4299.2</v>
      </c>
      <c r="W233" s="3" t="s">
        <v>132</v>
      </c>
      <c r="X233" s="3" t="s">
        <v>86</v>
      </c>
      <c r="Y233" s="2" t="str">
        <f t="shared" si="3"/>
        <v>Unique</v>
      </c>
      <c r="AA233" s="2" t="str">
        <f t="shared" si="4"/>
        <v>Clean</v>
      </c>
      <c r="AB233" s="2" t="str">
        <f t="shared" si="5"/>
        <v>Invalid</v>
      </c>
      <c r="AC233">
        <f t="shared" si="27"/>
        <v>0.25</v>
      </c>
      <c r="AD233">
        <f t="shared" si="28"/>
        <v>11462.744999999999</v>
      </c>
      <c r="AE233">
        <f t="shared" si="29"/>
        <v>4299.204999999999</v>
      </c>
      <c r="AF233">
        <f t="shared" si="30"/>
        <v>0.37505894094302888</v>
      </c>
      <c r="AG233" t="str">
        <f t="shared" si="31"/>
        <v>May</v>
      </c>
      <c r="AH233">
        <f t="shared" si="32"/>
        <v>2024</v>
      </c>
      <c r="AI233" t="str">
        <f t="shared" si="33"/>
        <v>Warning</v>
      </c>
    </row>
    <row r="234" spans="1:35" ht="15.75" customHeight="1">
      <c r="A234" s="3" t="s">
        <v>1229</v>
      </c>
      <c r="B234" s="3" t="s">
        <v>1230</v>
      </c>
      <c r="C234" s="3" t="s">
        <v>1231</v>
      </c>
      <c r="D234" s="3" t="str">
        <f t="shared" si="0"/>
        <v>10-Jun-2025</v>
      </c>
      <c r="E234" s="3" t="str">
        <f t="shared" si="1"/>
        <v>04-Jun-2025</v>
      </c>
      <c r="F234" s="3">
        <f t="shared" si="2"/>
        <v>6</v>
      </c>
      <c r="G234" s="3" t="s">
        <v>1232</v>
      </c>
      <c r="H234" s="3" t="s">
        <v>156</v>
      </c>
      <c r="I234" s="3" t="s">
        <v>34</v>
      </c>
      <c r="J234" s="3" t="s">
        <v>70</v>
      </c>
      <c r="K234" s="3" t="s">
        <v>108</v>
      </c>
      <c r="L234" s="3" t="s">
        <v>109</v>
      </c>
      <c r="M234" s="3" t="s">
        <v>94</v>
      </c>
      <c r="N234" s="3" t="s">
        <v>231</v>
      </c>
      <c r="O234" s="3" t="s">
        <v>1233</v>
      </c>
      <c r="P234" s="3" t="s">
        <v>75</v>
      </c>
      <c r="Q234" s="3">
        <v>4</v>
      </c>
      <c r="R234" s="3">
        <v>223.37</v>
      </c>
      <c r="S234" s="3">
        <v>0.25</v>
      </c>
      <c r="T234" s="3">
        <v>670.11</v>
      </c>
      <c r="U234" s="3">
        <v>559.57000000000005</v>
      </c>
      <c r="V234" s="3">
        <v>110.54</v>
      </c>
      <c r="W234" s="3" t="s">
        <v>42</v>
      </c>
      <c r="X234" s="3" t="s">
        <v>43</v>
      </c>
      <c r="Y234" s="2" t="str">
        <f t="shared" si="3"/>
        <v>Unique</v>
      </c>
      <c r="AA234" s="2" t="str">
        <f t="shared" si="4"/>
        <v>Clean</v>
      </c>
      <c r="AB234" s="2" t="str">
        <f t="shared" si="5"/>
        <v>valid</v>
      </c>
      <c r="AC234">
        <f t="shared" si="27"/>
        <v>0.25</v>
      </c>
      <c r="AD234">
        <f t="shared" si="28"/>
        <v>670.11</v>
      </c>
      <c r="AE234">
        <f t="shared" si="29"/>
        <v>110.53999999999996</v>
      </c>
      <c r="AF234">
        <f t="shared" si="30"/>
        <v>0.16495799197146732</v>
      </c>
      <c r="AG234" t="str">
        <f t="shared" si="31"/>
        <v>June</v>
      </c>
      <c r="AH234">
        <f t="shared" si="32"/>
        <v>2025</v>
      </c>
      <c r="AI234" t="str">
        <f t="shared" si="33"/>
        <v>Clean</v>
      </c>
    </row>
    <row r="235" spans="1:35" ht="15.75" customHeight="1">
      <c r="A235" s="3" t="s">
        <v>1234</v>
      </c>
      <c r="B235" s="3" t="s">
        <v>1235</v>
      </c>
      <c r="C235" s="3" t="s">
        <v>1236</v>
      </c>
      <c r="D235" s="3" t="str">
        <f t="shared" si="0"/>
        <v>14-Oct-2024</v>
      </c>
      <c r="E235" s="3" t="str">
        <f t="shared" si="1"/>
        <v>14-Oct-2024</v>
      </c>
      <c r="F235" s="3">
        <f t="shared" si="2"/>
        <v>0</v>
      </c>
      <c r="G235" s="3" t="s">
        <v>1237</v>
      </c>
      <c r="H235" s="3" t="s">
        <v>91</v>
      </c>
      <c r="I235" s="3" t="s">
        <v>116</v>
      </c>
      <c r="J235" s="3" t="s">
        <v>70</v>
      </c>
      <c r="K235" s="3" t="s">
        <v>237</v>
      </c>
      <c r="L235" s="3" t="s">
        <v>238</v>
      </c>
      <c r="M235" s="3" t="s">
        <v>53</v>
      </c>
      <c r="N235" s="3" t="s">
        <v>212</v>
      </c>
      <c r="O235" s="3" t="s">
        <v>1238</v>
      </c>
      <c r="P235" s="3" t="s">
        <v>280</v>
      </c>
      <c r="Q235" s="3">
        <v>8</v>
      </c>
      <c r="R235" s="3">
        <v>3904.59</v>
      </c>
      <c r="S235" s="3">
        <v>0</v>
      </c>
      <c r="T235" s="3">
        <v>31236.720000000001</v>
      </c>
      <c r="U235" s="3">
        <v>26377.7</v>
      </c>
      <c r="V235" s="3">
        <v>4859.0200000000004</v>
      </c>
      <c r="W235" s="3" t="s">
        <v>42</v>
      </c>
      <c r="X235" s="3" t="s">
        <v>43</v>
      </c>
      <c r="Y235" s="2" t="str">
        <f t="shared" si="3"/>
        <v>Unique</v>
      </c>
      <c r="AA235" s="2" t="str">
        <f t="shared" si="4"/>
        <v>Clean</v>
      </c>
      <c r="AB235" s="2" t="str">
        <f t="shared" si="5"/>
        <v>valid</v>
      </c>
      <c r="AC235">
        <f t="shared" si="27"/>
        <v>0</v>
      </c>
      <c r="AD235">
        <f t="shared" si="28"/>
        <v>31236.720000000001</v>
      </c>
      <c r="AE235">
        <f t="shared" si="29"/>
        <v>4859.0200000000004</v>
      </c>
      <c r="AF235">
        <f t="shared" si="30"/>
        <v>0.15555474454424154</v>
      </c>
      <c r="AG235" t="str">
        <f t="shared" si="31"/>
        <v>October</v>
      </c>
      <c r="AH235">
        <f t="shared" si="32"/>
        <v>2024</v>
      </c>
      <c r="AI235" t="str">
        <f t="shared" si="33"/>
        <v>Clean</v>
      </c>
    </row>
    <row r="236" spans="1:35" ht="15.75" customHeight="1">
      <c r="A236" s="3" t="s">
        <v>1239</v>
      </c>
      <c r="B236" s="3" t="s">
        <v>1240</v>
      </c>
      <c r="C236" s="3" t="s">
        <v>1241</v>
      </c>
      <c r="D236" s="3" t="str">
        <f t="shared" si="0"/>
        <v>03-Sep-2024</v>
      </c>
      <c r="E236" s="3" t="str">
        <f t="shared" si="1"/>
        <v>09-Feb-2024</v>
      </c>
      <c r="F236" s="3">
        <f t="shared" si="2"/>
        <v>207</v>
      </c>
      <c r="G236" s="3" t="s">
        <v>1242</v>
      </c>
      <c r="H236" s="3" t="s">
        <v>375</v>
      </c>
      <c r="I236" s="3" t="s">
        <v>123</v>
      </c>
      <c r="J236" s="3" t="s">
        <v>35</v>
      </c>
      <c r="K236" s="3" t="s">
        <v>515</v>
      </c>
      <c r="L236" s="3" t="s">
        <v>516</v>
      </c>
      <c r="M236" s="3" t="s">
        <v>53</v>
      </c>
      <c r="N236" s="3" t="s">
        <v>73</v>
      </c>
      <c r="O236" s="3" t="s">
        <v>1243</v>
      </c>
      <c r="P236" s="3" t="s">
        <v>64</v>
      </c>
      <c r="Q236" s="3">
        <v>9</v>
      </c>
      <c r="R236" s="3">
        <v>1353.61</v>
      </c>
      <c r="S236" s="3">
        <v>0.1</v>
      </c>
      <c r="T236" s="3">
        <v>10964.24</v>
      </c>
      <c r="U236" s="3">
        <v>9262.4699999999993</v>
      </c>
      <c r="V236" s="3">
        <v>1701.77</v>
      </c>
      <c r="W236" s="3" t="s">
        <v>42</v>
      </c>
      <c r="X236" s="3" t="s">
        <v>43</v>
      </c>
      <c r="Y236" s="2" t="str">
        <f t="shared" si="3"/>
        <v>Unique</v>
      </c>
      <c r="AA236" s="2" t="str">
        <f t="shared" si="4"/>
        <v>Clean</v>
      </c>
      <c r="AB236" s="2" t="str">
        <f t="shared" si="5"/>
        <v>valid</v>
      </c>
      <c r="AC236">
        <f t="shared" si="27"/>
        <v>0.1</v>
      </c>
      <c r="AD236">
        <f t="shared" si="28"/>
        <v>10964.241</v>
      </c>
      <c r="AE236">
        <f t="shared" si="29"/>
        <v>1701.7710000000006</v>
      </c>
      <c r="AF236">
        <f t="shared" si="30"/>
        <v>0.15521101734265058</v>
      </c>
      <c r="AG236" t="str">
        <f t="shared" si="31"/>
        <v>February</v>
      </c>
      <c r="AH236">
        <f t="shared" si="32"/>
        <v>2024</v>
      </c>
      <c r="AI236" t="str">
        <f t="shared" si="33"/>
        <v>Clean</v>
      </c>
    </row>
    <row r="237" spans="1:35" ht="15.75" customHeight="1">
      <c r="A237" s="3" t="s">
        <v>1244</v>
      </c>
      <c r="B237" s="3" t="s">
        <v>1245</v>
      </c>
      <c r="C237" s="3" t="s">
        <v>1246</v>
      </c>
      <c r="D237" s="3" t="str">
        <f t="shared" si="0"/>
        <v>11-Mar-2024</v>
      </c>
      <c r="E237" s="3" t="str">
        <f t="shared" si="1"/>
        <v>11-Feb-2024</v>
      </c>
      <c r="F237" s="3">
        <f t="shared" si="2"/>
        <v>29</v>
      </c>
      <c r="G237" s="3" t="s">
        <v>1247</v>
      </c>
      <c r="H237" s="3" t="s">
        <v>156</v>
      </c>
      <c r="I237" s="3" t="s">
        <v>49</v>
      </c>
      <c r="J237" s="3" t="s">
        <v>81</v>
      </c>
      <c r="K237" s="3" t="s">
        <v>36</v>
      </c>
      <c r="L237" s="3" t="s">
        <v>143</v>
      </c>
      <c r="M237" s="3" t="s">
        <v>38</v>
      </c>
      <c r="N237" s="3" t="s">
        <v>164</v>
      </c>
      <c r="O237" s="3" t="s">
        <v>1248</v>
      </c>
      <c r="P237" s="3" t="s">
        <v>75</v>
      </c>
      <c r="Q237" s="3">
        <v>6</v>
      </c>
      <c r="R237" s="3">
        <v>2671.29</v>
      </c>
      <c r="S237" s="3">
        <v>0.05</v>
      </c>
      <c r="T237" s="3">
        <v>15226.35</v>
      </c>
      <c r="U237" s="3">
        <v>11145.28</v>
      </c>
      <c r="V237" s="3">
        <v>4081.07</v>
      </c>
      <c r="W237" s="3" t="s">
        <v>42</v>
      </c>
      <c r="X237" s="3" t="s">
        <v>43</v>
      </c>
      <c r="Y237" s="2" t="str">
        <f t="shared" si="3"/>
        <v>Unique</v>
      </c>
      <c r="AA237" s="2" t="str">
        <f t="shared" si="4"/>
        <v>Clean</v>
      </c>
      <c r="AB237" s="2" t="str">
        <f t="shared" si="5"/>
        <v>valid</v>
      </c>
      <c r="AC237">
        <f t="shared" si="27"/>
        <v>0.05</v>
      </c>
      <c r="AD237">
        <f t="shared" si="28"/>
        <v>15226.352999999999</v>
      </c>
      <c r="AE237">
        <f t="shared" si="29"/>
        <v>4081.0729999999985</v>
      </c>
      <c r="AF237">
        <f t="shared" si="30"/>
        <v>0.26802695300706603</v>
      </c>
      <c r="AG237" t="str">
        <f t="shared" si="31"/>
        <v>February</v>
      </c>
      <c r="AH237">
        <f t="shared" si="32"/>
        <v>2024</v>
      </c>
      <c r="AI237" t="str">
        <f t="shared" si="33"/>
        <v>Clean</v>
      </c>
    </row>
    <row r="238" spans="1:35" ht="15.75" customHeight="1">
      <c r="A238" s="3" t="s">
        <v>1249</v>
      </c>
      <c r="B238" s="3" t="s">
        <v>1236</v>
      </c>
      <c r="C238" s="3" t="s">
        <v>1250</v>
      </c>
      <c r="D238" s="3" t="str">
        <f t="shared" si="0"/>
        <v>21-Oct-2024</v>
      </c>
      <c r="E238" s="3" t="str">
        <f t="shared" si="1"/>
        <v>14-Oct-2024</v>
      </c>
      <c r="F238" s="3">
        <f t="shared" si="2"/>
        <v>7</v>
      </c>
      <c r="G238" s="3" t="s">
        <v>1251</v>
      </c>
      <c r="H238" s="3" t="s">
        <v>150</v>
      </c>
      <c r="I238" s="3" t="s">
        <v>116</v>
      </c>
      <c r="J238" s="3" t="s">
        <v>35</v>
      </c>
      <c r="K238" s="3" t="s">
        <v>182</v>
      </c>
      <c r="L238" s="3" t="s">
        <v>183</v>
      </c>
      <c r="M238" s="3" t="s">
        <v>53</v>
      </c>
      <c r="N238" s="3" t="s">
        <v>212</v>
      </c>
      <c r="O238" s="3" t="s">
        <v>1252</v>
      </c>
      <c r="P238" s="3" t="s">
        <v>64</v>
      </c>
      <c r="Q238" s="3">
        <v>6</v>
      </c>
      <c r="R238" s="3">
        <v>4062.78</v>
      </c>
      <c r="S238" s="3">
        <v>0</v>
      </c>
      <c r="T238" s="3">
        <v>24376.68</v>
      </c>
      <c r="U238" s="3">
        <v>18533.39</v>
      </c>
      <c r="V238" s="3">
        <v>5843.29</v>
      </c>
      <c r="W238" s="3" t="s">
        <v>42</v>
      </c>
      <c r="X238" s="3" t="s">
        <v>43</v>
      </c>
      <c r="Y238" s="2" t="str">
        <f t="shared" si="3"/>
        <v>Unique</v>
      </c>
      <c r="AA238" s="2" t="str">
        <f t="shared" si="4"/>
        <v>Clean</v>
      </c>
      <c r="AB238" s="2" t="str">
        <f t="shared" si="5"/>
        <v>valid</v>
      </c>
      <c r="AC238">
        <f t="shared" si="27"/>
        <v>0</v>
      </c>
      <c r="AD238">
        <f t="shared" si="28"/>
        <v>24376.68</v>
      </c>
      <c r="AE238">
        <f t="shared" si="29"/>
        <v>5843.2900000000009</v>
      </c>
      <c r="AF238">
        <f t="shared" si="30"/>
        <v>0.23970819652224998</v>
      </c>
      <c r="AG238" t="str">
        <f t="shared" si="31"/>
        <v>October</v>
      </c>
      <c r="AH238">
        <f t="shared" si="32"/>
        <v>2024</v>
      </c>
      <c r="AI238" t="str">
        <f t="shared" si="33"/>
        <v>Clean</v>
      </c>
    </row>
    <row r="239" spans="1:35" ht="15.75" customHeight="1">
      <c r="A239" s="3" t="s">
        <v>1253</v>
      </c>
      <c r="B239" s="3" t="s">
        <v>1254</v>
      </c>
      <c r="C239" s="3" t="s">
        <v>1254</v>
      </c>
      <c r="D239" s="3" t="str">
        <f t="shared" si="0"/>
        <v>27-Aug-2024</v>
      </c>
      <c r="E239" s="3" t="str">
        <f t="shared" si="1"/>
        <v>27-Aug-2024</v>
      </c>
      <c r="F239" s="3">
        <f t="shared" si="2"/>
        <v>0</v>
      </c>
      <c r="G239" s="3" t="s">
        <v>1255</v>
      </c>
      <c r="H239" s="3" t="s">
        <v>48</v>
      </c>
      <c r="I239" s="3" t="s">
        <v>34</v>
      </c>
      <c r="J239" s="3" t="s">
        <v>35</v>
      </c>
      <c r="K239" s="3" t="s">
        <v>331</v>
      </c>
      <c r="L239" s="3" t="s">
        <v>332</v>
      </c>
      <c r="M239" s="3" t="s">
        <v>94</v>
      </c>
      <c r="N239" s="3" t="s">
        <v>102</v>
      </c>
      <c r="O239" s="3" t="s">
        <v>1256</v>
      </c>
      <c r="P239" s="3" t="s">
        <v>75</v>
      </c>
      <c r="Q239" s="3">
        <v>9</v>
      </c>
      <c r="R239" s="3">
        <v>2330.3000000000002</v>
      </c>
      <c r="S239" s="3">
        <v>0</v>
      </c>
      <c r="T239" s="3">
        <v>20972.7</v>
      </c>
      <c r="U239" s="3">
        <v>13504.88</v>
      </c>
      <c r="V239" s="3">
        <v>7467.82</v>
      </c>
      <c r="W239" s="3" t="s">
        <v>42</v>
      </c>
      <c r="X239" s="3" t="s">
        <v>43</v>
      </c>
      <c r="Y239" s="2" t="str">
        <f t="shared" si="3"/>
        <v>Unique</v>
      </c>
      <c r="AA239" s="2" t="str">
        <f t="shared" si="4"/>
        <v>Clean</v>
      </c>
      <c r="AB239" s="2" t="str">
        <f t="shared" si="5"/>
        <v>valid</v>
      </c>
      <c r="AC239">
        <f t="shared" si="27"/>
        <v>0</v>
      </c>
      <c r="AD239">
        <f t="shared" si="28"/>
        <v>20972.7</v>
      </c>
      <c r="AE239">
        <f t="shared" si="29"/>
        <v>7467.8200000000015</v>
      </c>
      <c r="AF239">
        <f t="shared" si="30"/>
        <v>0.35607337157352181</v>
      </c>
      <c r="AG239" t="str">
        <f t="shared" si="31"/>
        <v>August</v>
      </c>
      <c r="AH239">
        <f t="shared" si="32"/>
        <v>2024</v>
      </c>
      <c r="AI239" t="str">
        <f t="shared" si="33"/>
        <v>Clean</v>
      </c>
    </row>
    <row r="240" spans="1:35" ht="15.75" customHeight="1">
      <c r="A240" s="3" t="s">
        <v>1257</v>
      </c>
      <c r="B240" s="3" t="s">
        <v>1258</v>
      </c>
      <c r="C240" s="3" t="s">
        <v>1259</v>
      </c>
      <c r="D240" s="3" t="str">
        <f t="shared" si="0"/>
        <v>17-Jan-2024</v>
      </c>
      <c r="E240" s="3" t="str">
        <f t="shared" si="1"/>
        <v>01-Dec-2024</v>
      </c>
      <c r="F240" s="3">
        <f t="shared" si="2"/>
        <v>-319</v>
      </c>
      <c r="G240" s="3" t="s">
        <v>1260</v>
      </c>
      <c r="H240" s="3" t="s">
        <v>69</v>
      </c>
      <c r="I240" s="3" t="s">
        <v>34</v>
      </c>
      <c r="J240" s="3" t="s">
        <v>70</v>
      </c>
      <c r="K240" s="3" t="s">
        <v>108</v>
      </c>
      <c r="L240" s="3" t="s">
        <v>109</v>
      </c>
      <c r="M240" s="3" t="s">
        <v>38</v>
      </c>
      <c r="N240" s="3" t="s">
        <v>164</v>
      </c>
      <c r="O240" s="3" t="s">
        <v>1261</v>
      </c>
      <c r="P240" s="3" t="s">
        <v>64</v>
      </c>
      <c r="Q240" s="3">
        <v>7</v>
      </c>
      <c r="R240" s="3">
        <v>4005.05</v>
      </c>
      <c r="S240" s="3">
        <v>0.55000000000000004</v>
      </c>
      <c r="T240" s="3">
        <v>26633.58</v>
      </c>
      <c r="U240" s="3">
        <v>18838.75</v>
      </c>
      <c r="V240" s="3">
        <v>7794.83</v>
      </c>
      <c r="W240" s="3" t="s">
        <v>42</v>
      </c>
      <c r="X240" s="3" t="s">
        <v>43</v>
      </c>
      <c r="Y240" s="2" t="str">
        <f t="shared" si="3"/>
        <v>Unique</v>
      </c>
      <c r="AA240" s="2" t="str">
        <f t="shared" si="4"/>
        <v>Invalid</v>
      </c>
      <c r="AB240" s="2" t="str">
        <f t="shared" si="5"/>
        <v>Invalid</v>
      </c>
      <c r="AC240">
        <f t="shared" si="27"/>
        <v>0.55000000000000004</v>
      </c>
      <c r="AD240">
        <f t="shared" si="28"/>
        <v>12615.907499999999</v>
      </c>
      <c r="AE240">
        <f t="shared" si="29"/>
        <v>-6222.8425000000007</v>
      </c>
      <c r="AF240">
        <f t="shared" si="30"/>
        <v>-0.4932536561480021</v>
      </c>
      <c r="AG240" t="str">
        <f t="shared" si="31"/>
        <v>December</v>
      </c>
      <c r="AH240">
        <f t="shared" si="32"/>
        <v>2024</v>
      </c>
      <c r="AI240" t="str">
        <f t="shared" si="33"/>
        <v>Invalid</v>
      </c>
    </row>
    <row r="241" spans="1:35" ht="15.75" customHeight="1">
      <c r="A241" s="3" t="s">
        <v>1262</v>
      </c>
      <c r="B241" s="3" t="s">
        <v>1263</v>
      </c>
      <c r="C241" s="3" t="s">
        <v>1136</v>
      </c>
      <c r="D241" s="3" t="str">
        <f t="shared" si="0"/>
        <v>21-Sep-2024</v>
      </c>
      <c r="E241" s="3" t="str">
        <f t="shared" si="1"/>
        <v>21-Sep-2024</v>
      </c>
      <c r="F241" s="3">
        <f t="shared" si="2"/>
        <v>0</v>
      </c>
      <c r="G241" s="3" t="s">
        <v>1264</v>
      </c>
      <c r="H241" s="3" t="s">
        <v>375</v>
      </c>
      <c r="I241" s="3" t="s">
        <v>116</v>
      </c>
      <c r="J241" s="3" t="s">
        <v>70</v>
      </c>
      <c r="K241" s="3" t="s">
        <v>237</v>
      </c>
      <c r="L241" s="3" t="s">
        <v>238</v>
      </c>
      <c r="M241" s="3" t="s">
        <v>94</v>
      </c>
      <c r="N241" s="3" t="s">
        <v>391</v>
      </c>
      <c r="O241" s="3" t="s">
        <v>1265</v>
      </c>
      <c r="P241" s="3" t="s">
        <v>64</v>
      </c>
      <c r="Q241" s="3">
        <v>2</v>
      </c>
      <c r="R241" s="3">
        <v>1960.06</v>
      </c>
      <c r="S241" s="3">
        <v>0.2</v>
      </c>
      <c r="T241" s="3">
        <v>3136.1</v>
      </c>
      <c r="U241" s="3">
        <v>2279.4899999999998</v>
      </c>
      <c r="V241" s="3">
        <v>856.61</v>
      </c>
      <c r="W241" s="3" t="s">
        <v>42</v>
      </c>
      <c r="X241" s="3" t="s">
        <v>43</v>
      </c>
      <c r="Y241" s="2" t="str">
        <f t="shared" si="3"/>
        <v>Unique</v>
      </c>
      <c r="AA241" s="2" t="str">
        <f t="shared" si="4"/>
        <v>Clean</v>
      </c>
      <c r="AB241" s="2" t="str">
        <f t="shared" si="5"/>
        <v>valid</v>
      </c>
      <c r="AC241">
        <f t="shared" si="27"/>
        <v>0.2</v>
      </c>
      <c r="AD241">
        <f t="shared" si="28"/>
        <v>3136.096</v>
      </c>
      <c r="AE241">
        <f t="shared" si="29"/>
        <v>856.60600000000022</v>
      </c>
      <c r="AF241">
        <f t="shared" si="30"/>
        <v>0.273144061916472</v>
      </c>
      <c r="AG241" t="str">
        <f t="shared" si="31"/>
        <v>September</v>
      </c>
      <c r="AH241">
        <f t="shared" si="32"/>
        <v>2024</v>
      </c>
      <c r="AI241" t="str">
        <f t="shared" si="33"/>
        <v>Clean</v>
      </c>
    </row>
    <row r="242" spans="1:35" ht="15.75" customHeight="1">
      <c r="A242" s="3" t="s">
        <v>1266</v>
      </c>
      <c r="B242" s="3" t="s">
        <v>1267</v>
      </c>
      <c r="C242" s="3" t="s">
        <v>832</v>
      </c>
      <c r="D242" s="3" t="str">
        <f t="shared" si="0"/>
        <v>23-Dec-2024</v>
      </c>
      <c r="E242" s="3" t="str">
        <f t="shared" si="1"/>
        <v>17-Dec-2024</v>
      </c>
      <c r="F242" s="3">
        <f t="shared" si="2"/>
        <v>6</v>
      </c>
      <c r="G242" s="3" t="s">
        <v>1268</v>
      </c>
      <c r="H242" s="3" t="s">
        <v>170</v>
      </c>
      <c r="I242" s="3" t="s">
        <v>116</v>
      </c>
      <c r="J242" s="3" t="s">
        <v>70</v>
      </c>
      <c r="K242" s="3" t="s">
        <v>71</v>
      </c>
      <c r="L242" s="3" t="s">
        <v>72</v>
      </c>
      <c r="M242" s="3" t="s">
        <v>38</v>
      </c>
      <c r="N242" s="3" t="s">
        <v>206</v>
      </c>
      <c r="O242" s="3" t="s">
        <v>1269</v>
      </c>
      <c r="P242" s="3" t="s">
        <v>64</v>
      </c>
      <c r="Q242" s="3">
        <v>9</v>
      </c>
      <c r="R242" s="3">
        <v>2315.1</v>
      </c>
      <c r="S242" s="3">
        <v>0</v>
      </c>
      <c r="T242" s="3">
        <v>20835.900000000001</v>
      </c>
      <c r="U242" s="3">
        <v>13928.19</v>
      </c>
      <c r="V242" s="3">
        <v>6907.71</v>
      </c>
      <c r="W242" s="3" t="s">
        <v>42</v>
      </c>
      <c r="X242" s="3" t="s">
        <v>43</v>
      </c>
      <c r="Y242" s="2" t="str">
        <f t="shared" si="3"/>
        <v>Unique</v>
      </c>
      <c r="AA242" s="2" t="str">
        <f t="shared" si="4"/>
        <v>Clean</v>
      </c>
      <c r="AB242" s="2" t="str">
        <f t="shared" si="5"/>
        <v>valid</v>
      </c>
      <c r="AC242">
        <f t="shared" si="27"/>
        <v>0</v>
      </c>
      <c r="AD242">
        <f t="shared" si="28"/>
        <v>20835.899999999998</v>
      </c>
      <c r="AE242">
        <f t="shared" si="29"/>
        <v>6907.7099999999973</v>
      </c>
      <c r="AF242">
        <f t="shared" si="30"/>
        <v>0.33152923559817421</v>
      </c>
      <c r="AG242" t="str">
        <f t="shared" si="31"/>
        <v>December</v>
      </c>
      <c r="AH242">
        <f t="shared" si="32"/>
        <v>2024</v>
      </c>
      <c r="AI242" t="str">
        <f t="shared" si="33"/>
        <v>Clean</v>
      </c>
    </row>
    <row r="243" spans="1:35" ht="15.75" customHeight="1">
      <c r="A243" s="3" t="s">
        <v>1270</v>
      </c>
      <c r="B243" s="3" t="s">
        <v>1271</v>
      </c>
      <c r="C243" s="3" t="s">
        <v>1272</v>
      </c>
      <c r="D243" s="3" t="str">
        <f t="shared" si="0"/>
        <v>06-Jul-2025</v>
      </c>
      <c r="E243" s="3" t="str">
        <f t="shared" si="1"/>
        <v>07-Jun-2025</v>
      </c>
      <c r="F243" s="3">
        <f t="shared" si="2"/>
        <v>29</v>
      </c>
      <c r="G243" s="3" t="s">
        <v>1273</v>
      </c>
      <c r="H243" s="3" t="s">
        <v>176</v>
      </c>
      <c r="I243" s="3" t="s">
        <v>116</v>
      </c>
      <c r="J243" s="3" t="s">
        <v>35</v>
      </c>
      <c r="K243" s="3" t="s">
        <v>331</v>
      </c>
      <c r="L243" s="3" t="s">
        <v>332</v>
      </c>
      <c r="M243" s="3" t="s">
        <v>38</v>
      </c>
      <c r="N243" s="3" t="s">
        <v>164</v>
      </c>
      <c r="O243" s="3" t="s">
        <v>1274</v>
      </c>
      <c r="P243" s="3" t="s">
        <v>75</v>
      </c>
      <c r="Q243" s="3">
        <v>1</v>
      </c>
      <c r="R243" s="3">
        <v>1617.2</v>
      </c>
      <c r="S243" s="3">
        <v>0.25</v>
      </c>
      <c r="T243" s="3">
        <v>1212.9000000000001</v>
      </c>
      <c r="U243" s="3">
        <v>690.52</v>
      </c>
      <c r="V243" s="3">
        <v>522.38</v>
      </c>
      <c r="W243" s="3" t="s">
        <v>145</v>
      </c>
      <c r="X243" s="3" t="s">
        <v>133</v>
      </c>
      <c r="Y243" s="2" t="str">
        <f t="shared" si="3"/>
        <v>Unique</v>
      </c>
      <c r="AA243" s="2" t="str">
        <f t="shared" si="4"/>
        <v>Clean</v>
      </c>
      <c r="AB243" s="2" t="str">
        <f t="shared" si="5"/>
        <v>valid</v>
      </c>
      <c r="AC243">
        <f t="shared" si="27"/>
        <v>0.25</v>
      </c>
      <c r="AD243">
        <f t="shared" si="28"/>
        <v>1212.9000000000001</v>
      </c>
      <c r="AE243">
        <f t="shared" si="29"/>
        <v>522.38000000000011</v>
      </c>
      <c r="AF243">
        <f t="shared" si="30"/>
        <v>0.4306867837414462</v>
      </c>
      <c r="AG243" t="str">
        <f t="shared" si="31"/>
        <v>June</v>
      </c>
      <c r="AH243">
        <f t="shared" si="32"/>
        <v>2025</v>
      </c>
      <c r="AI243" t="str">
        <f t="shared" si="33"/>
        <v>Clean</v>
      </c>
    </row>
    <row r="244" spans="1:35" ht="15.75" customHeight="1">
      <c r="A244" s="3" t="s">
        <v>1275</v>
      </c>
      <c r="B244" s="3" t="s">
        <v>1276</v>
      </c>
      <c r="C244" s="3" t="s">
        <v>1277</v>
      </c>
      <c r="D244" s="3" t="str">
        <f t="shared" si="0"/>
        <v>07-Feb-2025</v>
      </c>
      <c r="E244" s="3" t="str">
        <f t="shared" si="1"/>
        <v>07-Feb-2025</v>
      </c>
      <c r="F244" s="3">
        <f t="shared" si="2"/>
        <v>0</v>
      </c>
      <c r="G244" s="3" t="s">
        <v>1278</v>
      </c>
      <c r="H244" s="3" t="s">
        <v>69</v>
      </c>
      <c r="I244" s="3" t="s">
        <v>34</v>
      </c>
      <c r="J244" s="3" t="s">
        <v>35</v>
      </c>
      <c r="K244" s="3" t="s">
        <v>182</v>
      </c>
      <c r="L244" s="3" t="s">
        <v>183</v>
      </c>
      <c r="M244" s="3" t="s">
        <v>38</v>
      </c>
      <c r="N244" s="3" t="s">
        <v>62</v>
      </c>
      <c r="O244" s="3" t="s">
        <v>1279</v>
      </c>
      <c r="P244" s="3" t="s">
        <v>41</v>
      </c>
      <c r="Q244" s="3">
        <v>3</v>
      </c>
      <c r="R244" s="3">
        <v>1999.24</v>
      </c>
      <c r="S244" s="3">
        <v>0.05</v>
      </c>
      <c r="T244" s="3">
        <v>5697.83</v>
      </c>
      <c r="U244" s="3">
        <v>4251.5</v>
      </c>
      <c r="V244" s="3">
        <v>1446.33</v>
      </c>
      <c r="W244" s="3" t="s">
        <v>42</v>
      </c>
      <c r="X244" s="3" t="s">
        <v>43</v>
      </c>
      <c r="Y244" s="2" t="str">
        <f t="shared" si="3"/>
        <v>Unique</v>
      </c>
      <c r="AA244" s="2" t="str">
        <f t="shared" si="4"/>
        <v>Clean</v>
      </c>
      <c r="AB244" s="2" t="str">
        <f t="shared" si="5"/>
        <v>valid</v>
      </c>
      <c r="AC244">
        <f t="shared" si="27"/>
        <v>0.05</v>
      </c>
      <c r="AD244">
        <f t="shared" si="28"/>
        <v>5697.8339999999998</v>
      </c>
      <c r="AE244">
        <f t="shared" si="29"/>
        <v>1446.3339999999998</v>
      </c>
      <c r="AF244">
        <f t="shared" si="30"/>
        <v>0.25383926593860051</v>
      </c>
      <c r="AG244" t="str">
        <f t="shared" si="31"/>
        <v>February</v>
      </c>
      <c r="AH244">
        <f t="shared" si="32"/>
        <v>2025</v>
      </c>
      <c r="AI244" t="str">
        <f t="shared" si="33"/>
        <v>Clean</v>
      </c>
    </row>
    <row r="245" spans="1:35" ht="15.75" customHeight="1">
      <c r="A245" s="3" t="s">
        <v>1280</v>
      </c>
      <c r="B245" s="3" t="s">
        <v>292</v>
      </c>
      <c r="C245" s="3" t="s">
        <v>1281</v>
      </c>
      <c r="D245" s="3" t="str">
        <f t="shared" si="0"/>
        <v>02-Aug-2025</v>
      </c>
      <c r="E245" s="3" t="str">
        <f t="shared" si="1"/>
        <v>29-Jul-2025</v>
      </c>
      <c r="F245" s="3">
        <f t="shared" si="2"/>
        <v>4</v>
      </c>
      <c r="G245" s="3" t="s">
        <v>1282</v>
      </c>
      <c r="H245" s="3" t="s">
        <v>176</v>
      </c>
      <c r="I245" s="3" t="s">
        <v>49</v>
      </c>
      <c r="J245" s="3" t="s">
        <v>280</v>
      </c>
      <c r="K245" s="3" t="s">
        <v>92</v>
      </c>
      <c r="L245" s="3" t="s">
        <v>93</v>
      </c>
      <c r="M245" s="3" t="s">
        <v>94</v>
      </c>
      <c r="N245" s="3" t="s">
        <v>95</v>
      </c>
      <c r="O245" s="3" t="s">
        <v>1283</v>
      </c>
      <c r="P245" s="3" t="s">
        <v>64</v>
      </c>
      <c r="Q245" s="3">
        <v>1</v>
      </c>
      <c r="R245" s="3">
        <v>4499.46</v>
      </c>
      <c r="S245" s="3">
        <v>0.1</v>
      </c>
      <c r="T245" s="3">
        <v>4049.51</v>
      </c>
      <c r="U245" s="3">
        <v>2509.1999999999998</v>
      </c>
      <c r="V245" s="3">
        <v>1540.31</v>
      </c>
      <c r="W245" s="3" t="s">
        <v>42</v>
      </c>
      <c r="X245" s="3" t="s">
        <v>43</v>
      </c>
      <c r="Y245" s="2" t="str">
        <f t="shared" si="3"/>
        <v>Unique</v>
      </c>
      <c r="AA245" s="2" t="str">
        <f t="shared" si="4"/>
        <v>Clean</v>
      </c>
      <c r="AB245" s="2" t="str">
        <f t="shared" si="5"/>
        <v>valid</v>
      </c>
      <c r="AC245">
        <f t="shared" si="27"/>
        <v>0.1</v>
      </c>
      <c r="AD245">
        <f t="shared" si="28"/>
        <v>4049.5140000000001</v>
      </c>
      <c r="AE245">
        <f t="shared" si="29"/>
        <v>1540.3140000000003</v>
      </c>
      <c r="AF245">
        <f t="shared" si="30"/>
        <v>0.38037008885510715</v>
      </c>
      <c r="AG245" t="str">
        <f t="shared" si="31"/>
        <v>July</v>
      </c>
      <c r="AH245">
        <f t="shared" si="32"/>
        <v>2025</v>
      </c>
      <c r="AI245" t="str">
        <f t="shared" si="33"/>
        <v>Clean</v>
      </c>
    </row>
    <row r="246" spans="1:35" ht="15.75" customHeight="1">
      <c r="A246" s="3" t="s">
        <v>1284</v>
      </c>
      <c r="B246" s="3" t="s">
        <v>646</v>
      </c>
      <c r="C246" s="3" t="s">
        <v>1285</v>
      </c>
      <c r="D246" s="3" t="str">
        <f t="shared" si="0"/>
        <v>24-Aug-2024</v>
      </c>
      <c r="E246" s="3" t="str">
        <f t="shared" si="1"/>
        <v>23-Aug-2024</v>
      </c>
      <c r="F246" s="3">
        <f t="shared" si="2"/>
        <v>1</v>
      </c>
      <c r="G246" s="3" t="s">
        <v>1286</v>
      </c>
      <c r="H246" s="3" t="s">
        <v>101</v>
      </c>
      <c r="I246" s="3" t="s">
        <v>34</v>
      </c>
      <c r="J246" s="3" t="s">
        <v>70</v>
      </c>
      <c r="K246" s="3" t="s">
        <v>71</v>
      </c>
      <c r="L246" s="3" t="s">
        <v>72</v>
      </c>
      <c r="M246" s="3" t="s">
        <v>53</v>
      </c>
      <c r="N246" s="3" t="s">
        <v>212</v>
      </c>
      <c r="O246" s="3" t="s">
        <v>1287</v>
      </c>
      <c r="P246" s="3" t="s">
        <v>56</v>
      </c>
      <c r="Q246" s="3">
        <v>6</v>
      </c>
      <c r="R246" s="3">
        <v>1021.89</v>
      </c>
      <c r="S246" s="3">
        <v>0</v>
      </c>
      <c r="T246" s="3">
        <v>6131.34</v>
      </c>
      <c r="U246" s="3">
        <v>4060.88</v>
      </c>
      <c r="V246" s="3">
        <v>2070.46</v>
      </c>
      <c r="W246" s="3" t="s">
        <v>42</v>
      </c>
      <c r="X246" s="3" t="s">
        <v>43</v>
      </c>
      <c r="Y246" s="2" t="str">
        <f t="shared" si="3"/>
        <v>Unique</v>
      </c>
      <c r="AA246" s="2" t="str">
        <f t="shared" si="4"/>
        <v>Clean</v>
      </c>
      <c r="AB246" s="2" t="str">
        <f t="shared" si="5"/>
        <v>valid</v>
      </c>
      <c r="AC246">
        <f t="shared" si="27"/>
        <v>0</v>
      </c>
      <c r="AD246">
        <f t="shared" si="28"/>
        <v>6131.34</v>
      </c>
      <c r="AE246">
        <f t="shared" si="29"/>
        <v>2070.46</v>
      </c>
      <c r="AF246">
        <f t="shared" si="30"/>
        <v>0.33768474754295147</v>
      </c>
      <c r="AG246" t="str">
        <f t="shared" si="31"/>
        <v>August</v>
      </c>
      <c r="AH246">
        <f t="shared" si="32"/>
        <v>2024</v>
      </c>
      <c r="AI246" t="str">
        <f t="shared" si="33"/>
        <v>Clean</v>
      </c>
    </row>
    <row r="247" spans="1:35" ht="15.75" customHeight="1">
      <c r="A247" s="3" t="s">
        <v>1288</v>
      </c>
      <c r="B247" s="3" t="s">
        <v>654</v>
      </c>
      <c r="C247" s="3" t="s">
        <v>879</v>
      </c>
      <c r="D247" s="3" t="str">
        <f t="shared" si="0"/>
        <v>24-Oct-2024</v>
      </c>
      <c r="E247" s="3" t="str">
        <f t="shared" si="1"/>
        <v>18-Oct-2024</v>
      </c>
      <c r="F247" s="3">
        <f t="shared" si="2"/>
        <v>6</v>
      </c>
      <c r="G247" s="3" t="s">
        <v>1289</v>
      </c>
      <c r="H247" s="3" t="s">
        <v>101</v>
      </c>
      <c r="I247" s="3" t="s">
        <v>123</v>
      </c>
      <c r="J247" s="3" t="s">
        <v>70</v>
      </c>
      <c r="K247" s="3" t="s">
        <v>250</v>
      </c>
      <c r="L247" s="3" t="s">
        <v>251</v>
      </c>
      <c r="M247" s="3" t="s">
        <v>53</v>
      </c>
      <c r="N247" s="3" t="s">
        <v>84</v>
      </c>
      <c r="O247" s="3" t="s">
        <v>1290</v>
      </c>
      <c r="P247" s="3" t="s">
        <v>41</v>
      </c>
      <c r="Q247" s="3">
        <v>3</v>
      </c>
      <c r="R247" s="3">
        <v>3275.93</v>
      </c>
      <c r="S247" s="3">
        <v>0</v>
      </c>
      <c r="T247" s="3">
        <v>9827.7900000000009</v>
      </c>
      <c r="U247" s="3">
        <v>5478.28</v>
      </c>
      <c r="V247" s="3">
        <v>4349.51</v>
      </c>
      <c r="W247" s="3" t="s">
        <v>42</v>
      </c>
      <c r="X247" s="3" t="s">
        <v>43</v>
      </c>
      <c r="Y247" s="2" t="str">
        <f t="shared" si="3"/>
        <v>Unique</v>
      </c>
      <c r="AA247" s="2" t="str">
        <f t="shared" si="4"/>
        <v>Clean</v>
      </c>
      <c r="AB247" s="2" t="str">
        <f t="shared" si="5"/>
        <v>valid</v>
      </c>
      <c r="AC247">
        <f t="shared" si="27"/>
        <v>0</v>
      </c>
      <c r="AD247">
        <f t="shared" si="28"/>
        <v>9827.7899999999991</v>
      </c>
      <c r="AE247">
        <f t="shared" si="29"/>
        <v>4349.5099999999993</v>
      </c>
      <c r="AF247">
        <f t="shared" si="30"/>
        <v>0.44257254174132737</v>
      </c>
      <c r="AG247" t="str">
        <f t="shared" si="31"/>
        <v>October</v>
      </c>
      <c r="AH247">
        <f t="shared" si="32"/>
        <v>2024</v>
      </c>
      <c r="AI247" t="str">
        <f t="shared" si="33"/>
        <v>Clean</v>
      </c>
    </row>
    <row r="248" spans="1:35" ht="15.75" customHeight="1">
      <c r="A248" s="3" t="s">
        <v>1291</v>
      </c>
      <c r="B248" s="3" t="s">
        <v>1292</v>
      </c>
      <c r="C248" s="3" t="s">
        <v>1293</v>
      </c>
      <c r="D248" s="3" t="str">
        <f t="shared" si="0"/>
        <v>09-May-2024</v>
      </c>
      <c r="E248" s="3" t="str">
        <f t="shared" si="1"/>
        <v>04-May-2024</v>
      </c>
      <c r="F248" s="3">
        <f t="shared" si="2"/>
        <v>5</v>
      </c>
      <c r="G248" s="3" t="s">
        <v>1294</v>
      </c>
      <c r="H248" s="3" t="s">
        <v>80</v>
      </c>
      <c r="I248" s="3" t="s">
        <v>116</v>
      </c>
      <c r="J248" s="3" t="s">
        <v>35</v>
      </c>
      <c r="K248" s="3" t="s">
        <v>162</v>
      </c>
      <c r="L248" s="3" t="s">
        <v>163</v>
      </c>
      <c r="M248" s="3" t="s">
        <v>94</v>
      </c>
      <c r="N248" s="3" t="s">
        <v>391</v>
      </c>
      <c r="O248" s="3" t="s">
        <v>1295</v>
      </c>
      <c r="P248" s="3" t="s">
        <v>56</v>
      </c>
      <c r="Q248" s="3">
        <v>3</v>
      </c>
      <c r="R248" s="3">
        <v>231.95</v>
      </c>
      <c r="S248" s="3">
        <v>0.25</v>
      </c>
      <c r="T248" s="3">
        <v>521.89</v>
      </c>
      <c r="U248" s="3">
        <v>444.52</v>
      </c>
      <c r="V248" s="3">
        <v>77.37</v>
      </c>
      <c r="W248" s="3" t="s">
        <v>132</v>
      </c>
      <c r="X248" s="3" t="s">
        <v>86</v>
      </c>
      <c r="Y248" s="2" t="str">
        <f t="shared" si="3"/>
        <v>Unique</v>
      </c>
      <c r="AA248" s="2" t="str">
        <f t="shared" si="4"/>
        <v>Clean</v>
      </c>
      <c r="AB248" s="2" t="str">
        <f t="shared" si="5"/>
        <v>valid</v>
      </c>
      <c r="AC248">
        <f t="shared" si="27"/>
        <v>0.25</v>
      </c>
      <c r="AD248">
        <f t="shared" si="28"/>
        <v>521.88749999999993</v>
      </c>
      <c r="AE248">
        <f t="shared" si="29"/>
        <v>77.36749999999995</v>
      </c>
      <c r="AF248">
        <f t="shared" si="30"/>
        <v>0.14824555100476627</v>
      </c>
      <c r="AG248" t="str">
        <f t="shared" si="31"/>
        <v>May</v>
      </c>
      <c r="AH248">
        <f t="shared" si="32"/>
        <v>2024</v>
      </c>
      <c r="AI248" t="str">
        <f t="shared" si="33"/>
        <v>Warning</v>
      </c>
    </row>
    <row r="249" spans="1:35" ht="15.75" customHeight="1">
      <c r="A249" s="3" t="s">
        <v>1296</v>
      </c>
      <c r="B249" s="3" t="s">
        <v>1297</v>
      </c>
      <c r="C249" s="3" t="s">
        <v>1298</v>
      </c>
      <c r="D249" s="3" t="str">
        <f t="shared" si="0"/>
        <v>01-Aug-2024</v>
      </c>
      <c r="E249" s="3" t="str">
        <f t="shared" si="1"/>
        <v>25-Jul-2024</v>
      </c>
      <c r="F249" s="3">
        <f t="shared" si="2"/>
        <v>7</v>
      </c>
      <c r="G249" s="3" t="s">
        <v>1299</v>
      </c>
      <c r="H249" s="3" t="s">
        <v>156</v>
      </c>
      <c r="I249" s="3" t="s">
        <v>116</v>
      </c>
      <c r="J249" s="3" t="s">
        <v>35</v>
      </c>
      <c r="K249" s="3" t="s">
        <v>36</v>
      </c>
      <c r="L249" s="3" t="s">
        <v>37</v>
      </c>
      <c r="M249" s="3" t="s">
        <v>94</v>
      </c>
      <c r="N249" s="3" t="s">
        <v>95</v>
      </c>
      <c r="O249" s="3" t="s">
        <v>1300</v>
      </c>
      <c r="P249" s="3" t="s">
        <v>41</v>
      </c>
      <c r="Q249" s="3">
        <v>8</v>
      </c>
      <c r="R249" s="3">
        <v>2493.4</v>
      </c>
      <c r="S249" s="3">
        <v>0.25</v>
      </c>
      <c r="T249" s="3">
        <v>14960.4</v>
      </c>
      <c r="U249" s="3">
        <v>12500.84</v>
      </c>
      <c r="V249" s="3">
        <v>2459.56</v>
      </c>
      <c r="W249" s="3" t="s">
        <v>42</v>
      </c>
      <c r="X249" s="3" t="s">
        <v>43</v>
      </c>
      <c r="Y249" s="2" t="str">
        <f t="shared" si="3"/>
        <v>Unique</v>
      </c>
      <c r="AA249" s="2" t="str">
        <f t="shared" si="4"/>
        <v>Clean</v>
      </c>
      <c r="AB249" s="2" t="str">
        <f t="shared" si="5"/>
        <v>valid</v>
      </c>
      <c r="AC249">
        <f t="shared" si="27"/>
        <v>0.25</v>
      </c>
      <c r="AD249">
        <f t="shared" si="28"/>
        <v>14960.400000000001</v>
      </c>
      <c r="AE249">
        <f t="shared" si="29"/>
        <v>2459.5600000000013</v>
      </c>
      <c r="AF249">
        <f t="shared" si="30"/>
        <v>0.16440469506162944</v>
      </c>
      <c r="AG249" t="str">
        <f t="shared" si="31"/>
        <v>July</v>
      </c>
      <c r="AH249">
        <f t="shared" si="32"/>
        <v>2024</v>
      </c>
      <c r="AI249" t="str">
        <f t="shared" si="33"/>
        <v>Clean</v>
      </c>
    </row>
    <row r="250" spans="1:35" ht="15.75" customHeight="1">
      <c r="A250" s="3" t="s">
        <v>1301</v>
      </c>
      <c r="B250" s="3" t="s">
        <v>1302</v>
      </c>
      <c r="C250" s="3" t="s">
        <v>588</v>
      </c>
      <c r="D250" s="3" t="str">
        <f t="shared" si="0"/>
        <v>07-Jun-2024</v>
      </c>
      <c r="E250" s="3" t="str">
        <f t="shared" si="1"/>
        <v>06-Feb-2024</v>
      </c>
      <c r="F250" s="3">
        <f t="shared" si="2"/>
        <v>122</v>
      </c>
      <c r="G250" s="3" t="s">
        <v>1303</v>
      </c>
      <c r="H250" s="3" t="s">
        <v>188</v>
      </c>
      <c r="I250" s="3" t="s">
        <v>123</v>
      </c>
      <c r="J250" s="3" t="s">
        <v>50</v>
      </c>
      <c r="K250" s="3" t="s">
        <v>51</v>
      </c>
      <c r="L250" s="3" t="s">
        <v>52</v>
      </c>
      <c r="M250" s="3" t="s">
        <v>38</v>
      </c>
      <c r="N250" s="3" t="s">
        <v>117</v>
      </c>
      <c r="O250" s="3" t="s">
        <v>1304</v>
      </c>
      <c r="P250" s="3" t="s">
        <v>41</v>
      </c>
      <c r="Q250" s="3">
        <v>9</v>
      </c>
      <c r="R250" s="3">
        <v>787.91</v>
      </c>
      <c r="S250" s="3">
        <v>0.15</v>
      </c>
      <c r="T250" s="3">
        <v>6027.51</v>
      </c>
      <c r="U250" s="3">
        <v>4883.82</v>
      </c>
      <c r="V250" s="3">
        <v>1143.69</v>
      </c>
      <c r="W250" s="3" t="s">
        <v>42</v>
      </c>
      <c r="X250" s="3" t="s">
        <v>43</v>
      </c>
      <c r="Y250" s="2" t="str">
        <f t="shared" si="3"/>
        <v>Unique</v>
      </c>
      <c r="AA250" s="2" t="str">
        <f t="shared" si="4"/>
        <v>Clean</v>
      </c>
      <c r="AB250" s="2" t="str">
        <f t="shared" si="5"/>
        <v>valid</v>
      </c>
      <c r="AC250">
        <f t="shared" si="27"/>
        <v>0.15</v>
      </c>
      <c r="AD250">
        <f t="shared" si="28"/>
        <v>6027.5114999999996</v>
      </c>
      <c r="AE250">
        <f t="shared" si="29"/>
        <v>1143.6914999999999</v>
      </c>
      <c r="AF250">
        <f t="shared" si="30"/>
        <v>0.18974522072666306</v>
      </c>
      <c r="AG250" t="str">
        <f t="shared" si="31"/>
        <v>February</v>
      </c>
      <c r="AH250">
        <f t="shared" si="32"/>
        <v>2024</v>
      </c>
      <c r="AI250" t="str">
        <f t="shared" si="33"/>
        <v>Clean</v>
      </c>
    </row>
    <row r="251" spans="1:35" ht="15.75" customHeight="1">
      <c r="A251" s="3" t="s">
        <v>1305</v>
      </c>
      <c r="B251" s="3" t="s">
        <v>828</v>
      </c>
      <c r="C251" s="3" t="s">
        <v>1306</v>
      </c>
      <c r="D251" s="3" t="str">
        <f t="shared" si="0"/>
        <v>08-Feb-2025</v>
      </c>
      <c r="E251" s="3" t="str">
        <f t="shared" si="1"/>
        <v>08-Jan-2025</v>
      </c>
      <c r="F251" s="3">
        <f t="shared" si="2"/>
        <v>31</v>
      </c>
      <c r="G251" s="3" t="s">
        <v>1307</v>
      </c>
      <c r="H251" s="3" t="s">
        <v>48</v>
      </c>
      <c r="I251" s="3" t="s">
        <v>116</v>
      </c>
      <c r="J251" s="3" t="s">
        <v>35</v>
      </c>
      <c r="K251" s="3" t="s">
        <v>36</v>
      </c>
      <c r="L251" s="3" t="s">
        <v>37</v>
      </c>
      <c r="M251" s="3" t="s">
        <v>53</v>
      </c>
      <c r="N251" s="3" t="s">
        <v>73</v>
      </c>
      <c r="O251" s="3" t="s">
        <v>1308</v>
      </c>
      <c r="P251" s="3" t="s">
        <v>64</v>
      </c>
      <c r="Q251" s="3">
        <v>4</v>
      </c>
      <c r="R251" s="3">
        <v>2790.29</v>
      </c>
      <c r="S251" s="3">
        <v>0.2</v>
      </c>
      <c r="T251" s="3">
        <v>8928.93</v>
      </c>
      <c r="U251" s="3">
        <v>5634.38</v>
      </c>
      <c r="V251" s="3">
        <v>3294.55</v>
      </c>
      <c r="W251" s="3" t="s">
        <v>42</v>
      </c>
      <c r="X251" s="3" t="s">
        <v>43</v>
      </c>
      <c r="Y251" s="2" t="str">
        <f t="shared" si="3"/>
        <v>Unique</v>
      </c>
      <c r="AA251" s="2" t="str">
        <f t="shared" si="4"/>
        <v>Clean</v>
      </c>
      <c r="AB251" s="2" t="str">
        <f t="shared" si="5"/>
        <v>valid</v>
      </c>
      <c r="AC251">
        <f t="shared" si="27"/>
        <v>0.2</v>
      </c>
      <c r="AD251">
        <f t="shared" si="28"/>
        <v>8928.9279999999999</v>
      </c>
      <c r="AE251">
        <f t="shared" si="29"/>
        <v>3294.5479999999998</v>
      </c>
      <c r="AF251">
        <f t="shared" si="30"/>
        <v>0.36897464062875185</v>
      </c>
      <c r="AG251" t="str">
        <f t="shared" si="31"/>
        <v>January</v>
      </c>
      <c r="AH251">
        <f t="shared" si="32"/>
        <v>2025</v>
      </c>
      <c r="AI251" t="str">
        <f t="shared" si="33"/>
        <v>Clean</v>
      </c>
    </row>
    <row r="252" spans="1:35" ht="15.75" customHeight="1">
      <c r="A252" s="3" t="s">
        <v>1309</v>
      </c>
      <c r="B252" s="3" t="s">
        <v>1310</v>
      </c>
      <c r="C252" s="3" t="s">
        <v>1311</v>
      </c>
      <c r="D252" s="3" t="str">
        <f t="shared" si="0"/>
        <v>27-Feb-2024</v>
      </c>
      <c r="E252" s="3" t="str">
        <f t="shared" si="1"/>
        <v>21-Feb-2024</v>
      </c>
      <c r="F252" s="3">
        <f t="shared" si="2"/>
        <v>6</v>
      </c>
      <c r="G252" s="3" t="s">
        <v>1312</v>
      </c>
      <c r="H252" s="3" t="s">
        <v>69</v>
      </c>
      <c r="I252" s="3" t="s">
        <v>49</v>
      </c>
      <c r="J252" s="3" t="s">
        <v>50</v>
      </c>
      <c r="K252" s="3" t="s">
        <v>129</v>
      </c>
      <c r="L252" s="3" t="s">
        <v>130</v>
      </c>
      <c r="M252" s="3" t="s">
        <v>53</v>
      </c>
      <c r="N252" s="3" t="s">
        <v>73</v>
      </c>
      <c r="O252" s="3" t="s">
        <v>1313</v>
      </c>
      <c r="P252" s="3" t="s">
        <v>75</v>
      </c>
      <c r="Q252" s="3">
        <v>5</v>
      </c>
      <c r="R252" s="3">
        <v>3373.86</v>
      </c>
      <c r="S252" s="3">
        <v>0.15</v>
      </c>
      <c r="T252" s="3">
        <v>14338.9</v>
      </c>
      <c r="U252" s="3">
        <v>11897.65</v>
      </c>
      <c r="V252" s="3">
        <v>2441.25</v>
      </c>
      <c r="W252" s="3" t="s">
        <v>145</v>
      </c>
      <c r="X252" s="3" t="s">
        <v>133</v>
      </c>
      <c r="Y252" s="2" t="str">
        <f t="shared" si="3"/>
        <v>Unique</v>
      </c>
      <c r="AA252" s="2" t="str">
        <f t="shared" si="4"/>
        <v>Clean</v>
      </c>
      <c r="AB252" s="2" t="str">
        <f t="shared" si="5"/>
        <v>valid</v>
      </c>
      <c r="AC252">
        <f t="shared" si="27"/>
        <v>0.15</v>
      </c>
      <c r="AD252">
        <f t="shared" si="28"/>
        <v>14338.904999999999</v>
      </c>
      <c r="AE252">
        <f t="shared" si="29"/>
        <v>2441.2549999999992</v>
      </c>
      <c r="AF252">
        <f t="shared" si="30"/>
        <v>0.17025393501107647</v>
      </c>
      <c r="AG252" t="str">
        <f t="shared" si="31"/>
        <v>February</v>
      </c>
      <c r="AH252">
        <f t="shared" si="32"/>
        <v>2024</v>
      </c>
      <c r="AI252" t="str">
        <f t="shared" si="33"/>
        <v>Clean</v>
      </c>
    </row>
    <row r="253" spans="1:35" ht="15.75" customHeight="1">
      <c r="A253" s="3" t="s">
        <v>1314</v>
      </c>
      <c r="B253" s="3" t="s">
        <v>1315</v>
      </c>
      <c r="C253" s="3" t="s">
        <v>98</v>
      </c>
      <c r="D253" s="3" t="str">
        <f t="shared" si="0"/>
        <v>04-Oct-2025</v>
      </c>
      <c r="E253" s="3" t="str">
        <f t="shared" si="1"/>
        <v>06-Apr-2025</v>
      </c>
      <c r="F253" s="3">
        <f t="shared" si="2"/>
        <v>181</v>
      </c>
      <c r="G253" s="3" t="s">
        <v>1316</v>
      </c>
      <c r="H253" s="3" t="s">
        <v>80</v>
      </c>
      <c r="I253" s="3" t="s">
        <v>116</v>
      </c>
      <c r="J253" s="3" t="s">
        <v>81</v>
      </c>
      <c r="K253" s="3" t="s">
        <v>243</v>
      </c>
      <c r="L253" s="3" t="s">
        <v>244</v>
      </c>
      <c r="M253" s="3" t="s">
        <v>53</v>
      </c>
      <c r="N253" s="3" t="s">
        <v>54</v>
      </c>
      <c r="O253" s="3" t="s">
        <v>1317</v>
      </c>
      <c r="P253" s="3" t="s">
        <v>41</v>
      </c>
      <c r="Q253" s="3">
        <v>6</v>
      </c>
      <c r="R253" s="3">
        <v>1022.16</v>
      </c>
      <c r="S253" s="3">
        <v>0</v>
      </c>
      <c r="T253" s="3">
        <v>6132.96</v>
      </c>
      <c r="U253" s="3">
        <v>4881.1000000000004</v>
      </c>
      <c r="V253" s="3">
        <v>1251.8599999999999</v>
      </c>
      <c r="W253" s="3" t="s">
        <v>42</v>
      </c>
      <c r="X253" s="3" t="s">
        <v>43</v>
      </c>
      <c r="Y253" s="2" t="str">
        <f t="shared" si="3"/>
        <v>Unique</v>
      </c>
      <c r="AA253" s="2" t="str">
        <f t="shared" si="4"/>
        <v>Clean</v>
      </c>
      <c r="AB253" s="2" t="str">
        <f t="shared" si="5"/>
        <v>valid</v>
      </c>
      <c r="AC253">
        <f t="shared" si="27"/>
        <v>0</v>
      </c>
      <c r="AD253">
        <f t="shared" si="28"/>
        <v>6132.96</v>
      </c>
      <c r="AE253">
        <f t="shared" si="29"/>
        <v>1251.8599999999997</v>
      </c>
      <c r="AF253">
        <f t="shared" si="30"/>
        <v>0.20412003339333692</v>
      </c>
      <c r="AG253" t="str">
        <f t="shared" si="31"/>
        <v>April</v>
      </c>
      <c r="AH253">
        <f t="shared" si="32"/>
        <v>2025</v>
      </c>
      <c r="AI253" t="str">
        <f t="shared" si="33"/>
        <v>Clean</v>
      </c>
    </row>
    <row r="254" spans="1:35" ht="15.75" customHeight="1">
      <c r="A254" s="3" t="s">
        <v>1318</v>
      </c>
      <c r="B254" s="3" t="s">
        <v>1319</v>
      </c>
      <c r="C254" s="3" t="s">
        <v>1216</v>
      </c>
      <c r="D254" s="3" t="str">
        <f t="shared" si="0"/>
        <v>28-Jun-2025</v>
      </c>
      <c r="E254" s="3" t="str">
        <f t="shared" si="1"/>
        <v>25-Jun-2025</v>
      </c>
      <c r="F254" s="3">
        <f t="shared" si="2"/>
        <v>3</v>
      </c>
      <c r="G254" s="3" t="s">
        <v>1320</v>
      </c>
      <c r="H254" s="3" t="s">
        <v>69</v>
      </c>
      <c r="I254" s="3" t="s">
        <v>116</v>
      </c>
      <c r="J254" s="3" t="s">
        <v>35</v>
      </c>
      <c r="K254" s="3" t="s">
        <v>331</v>
      </c>
      <c r="L254" s="3" t="s">
        <v>332</v>
      </c>
      <c r="M254" s="3" t="s">
        <v>38</v>
      </c>
      <c r="N254" s="3" t="s">
        <v>164</v>
      </c>
      <c r="O254" s="3" t="s">
        <v>1321</v>
      </c>
      <c r="P254" s="3" t="s">
        <v>64</v>
      </c>
      <c r="Q254" s="3">
        <v>2</v>
      </c>
      <c r="R254" s="3">
        <v>1455.92</v>
      </c>
      <c r="S254" s="3">
        <v>0.2</v>
      </c>
      <c r="T254" s="3">
        <v>2329.4699999999998</v>
      </c>
      <c r="U254" s="3">
        <v>1603.62</v>
      </c>
      <c r="V254" s="3">
        <v>725.85</v>
      </c>
      <c r="W254" s="3" t="s">
        <v>145</v>
      </c>
      <c r="X254" s="3" t="s">
        <v>133</v>
      </c>
      <c r="Y254" s="2" t="str">
        <f t="shared" si="3"/>
        <v>Unique</v>
      </c>
      <c r="AA254" s="2" t="str">
        <f t="shared" si="4"/>
        <v>Clean</v>
      </c>
      <c r="AB254" s="2" t="str">
        <f t="shared" si="5"/>
        <v>valid</v>
      </c>
      <c r="AC254">
        <f t="shared" si="27"/>
        <v>0.2</v>
      </c>
      <c r="AD254">
        <f t="shared" si="28"/>
        <v>2329.4720000000002</v>
      </c>
      <c r="AE254">
        <f t="shared" si="29"/>
        <v>725.85200000000032</v>
      </c>
      <c r="AF254">
        <f t="shared" si="30"/>
        <v>0.31159507390515973</v>
      </c>
      <c r="AG254" t="str">
        <f t="shared" si="31"/>
        <v>June</v>
      </c>
      <c r="AH254">
        <f t="shared" si="32"/>
        <v>2025</v>
      </c>
      <c r="AI254" t="str">
        <f t="shared" si="33"/>
        <v>Clean</v>
      </c>
    </row>
    <row r="255" spans="1:35" ht="15.75" customHeight="1">
      <c r="A255" s="3" t="s">
        <v>1322</v>
      </c>
      <c r="B255" s="3" t="s">
        <v>1323</v>
      </c>
      <c r="C255" s="3" t="s">
        <v>1324</v>
      </c>
      <c r="D255" s="3" t="str">
        <f t="shared" si="0"/>
        <v>13-Sep-2024</v>
      </c>
      <c r="E255" s="3" t="str">
        <f t="shared" si="1"/>
        <v>12-Sep-2024</v>
      </c>
      <c r="F255" s="3">
        <f t="shared" si="2"/>
        <v>1</v>
      </c>
      <c r="G255" s="3" t="s">
        <v>1325</v>
      </c>
      <c r="H255" s="3" t="s">
        <v>150</v>
      </c>
      <c r="I255" s="3" t="s">
        <v>49</v>
      </c>
      <c r="J255" s="3" t="s">
        <v>35</v>
      </c>
      <c r="K255" s="3" t="s">
        <v>36</v>
      </c>
      <c r="L255" s="3" t="s">
        <v>37</v>
      </c>
      <c r="M255" s="3" t="s">
        <v>94</v>
      </c>
      <c r="N255" s="3" t="s">
        <v>231</v>
      </c>
      <c r="O255" s="3" t="s">
        <v>1326</v>
      </c>
      <c r="P255" s="3" t="s">
        <v>56</v>
      </c>
      <c r="Q255" s="3">
        <v>6</v>
      </c>
      <c r="R255" s="3">
        <v>832.79</v>
      </c>
      <c r="S255" s="3">
        <v>0.05</v>
      </c>
      <c r="T255" s="3">
        <v>4746.8999999999996</v>
      </c>
      <c r="U255" s="3">
        <v>2825.38</v>
      </c>
      <c r="V255" s="3">
        <v>1472.89</v>
      </c>
      <c r="W255" s="3" t="s">
        <v>132</v>
      </c>
      <c r="X255" s="3" t="s">
        <v>86</v>
      </c>
      <c r="Y255" s="2" t="str">
        <f t="shared" si="3"/>
        <v>Unique</v>
      </c>
      <c r="AA255" s="2" t="str">
        <f t="shared" si="4"/>
        <v>Clean</v>
      </c>
      <c r="AB255" s="2" t="str">
        <f t="shared" si="5"/>
        <v>valid</v>
      </c>
      <c r="AC255">
        <f t="shared" si="27"/>
        <v>0.05</v>
      </c>
      <c r="AD255">
        <f t="shared" si="28"/>
        <v>4746.9029999999993</v>
      </c>
      <c r="AE255">
        <f t="shared" si="29"/>
        <v>1921.5229999999992</v>
      </c>
      <c r="AF255">
        <f t="shared" si="30"/>
        <v>0.40479508428969363</v>
      </c>
      <c r="AG255" t="str">
        <f t="shared" si="31"/>
        <v>September</v>
      </c>
      <c r="AH255">
        <f t="shared" si="32"/>
        <v>2024</v>
      </c>
      <c r="AI255" t="str">
        <f t="shared" si="33"/>
        <v>Warning</v>
      </c>
    </row>
    <row r="256" spans="1:35" ht="15.75" customHeight="1">
      <c r="A256" s="3" t="s">
        <v>1327</v>
      </c>
      <c r="B256" s="3" t="s">
        <v>1328</v>
      </c>
      <c r="C256" s="3" t="s">
        <v>1329</v>
      </c>
      <c r="D256" s="3" t="str">
        <f t="shared" si="0"/>
        <v>03-Jan-2025</v>
      </c>
      <c r="E256" s="3" t="str">
        <f t="shared" si="1"/>
        <v>01-Jan-2025</v>
      </c>
      <c r="F256" s="3">
        <f t="shared" si="2"/>
        <v>2</v>
      </c>
      <c r="G256" s="3" t="s">
        <v>1330</v>
      </c>
      <c r="H256" s="3" t="s">
        <v>80</v>
      </c>
      <c r="I256" s="3" t="s">
        <v>34</v>
      </c>
      <c r="J256" s="3" t="s">
        <v>81</v>
      </c>
      <c r="K256" s="3" t="s">
        <v>92</v>
      </c>
      <c r="L256" s="3" t="s">
        <v>93</v>
      </c>
      <c r="M256" s="3" t="s">
        <v>94</v>
      </c>
      <c r="N256" s="3" t="s">
        <v>95</v>
      </c>
      <c r="O256" s="3" t="s">
        <v>1331</v>
      </c>
      <c r="P256" s="3" t="s">
        <v>56</v>
      </c>
      <c r="Q256" s="3">
        <v>7</v>
      </c>
      <c r="R256" s="3">
        <v>1000.55</v>
      </c>
      <c r="S256" s="3">
        <v>0.2</v>
      </c>
      <c r="T256" s="3">
        <v>5603.08</v>
      </c>
      <c r="U256" s="3">
        <v>3132.52</v>
      </c>
      <c r="V256" s="3">
        <v>2470.56</v>
      </c>
      <c r="W256" s="3" t="s">
        <v>42</v>
      </c>
      <c r="X256" s="3" t="s">
        <v>133</v>
      </c>
      <c r="Y256" s="2" t="str">
        <f t="shared" si="3"/>
        <v>Unique</v>
      </c>
      <c r="AA256" s="2" t="str">
        <f t="shared" si="4"/>
        <v>Clean</v>
      </c>
      <c r="AB256" s="2" t="str">
        <f t="shared" si="5"/>
        <v>valid</v>
      </c>
      <c r="AC256">
        <f t="shared" si="27"/>
        <v>0.2</v>
      </c>
      <c r="AD256">
        <f t="shared" si="28"/>
        <v>5603.08</v>
      </c>
      <c r="AE256">
        <f t="shared" si="29"/>
        <v>2470.56</v>
      </c>
      <c r="AF256">
        <f t="shared" si="30"/>
        <v>0.44092891766671188</v>
      </c>
      <c r="AG256" t="str">
        <f t="shared" si="31"/>
        <v>January</v>
      </c>
      <c r="AH256">
        <f t="shared" si="32"/>
        <v>2025</v>
      </c>
      <c r="AI256" t="str">
        <f t="shared" si="33"/>
        <v>Clean</v>
      </c>
    </row>
    <row r="257" spans="1:35" ht="15.75" customHeight="1">
      <c r="A257" s="3" t="s">
        <v>1332</v>
      </c>
      <c r="B257" s="3" t="s">
        <v>1333</v>
      </c>
      <c r="C257" s="3" t="s">
        <v>1334</v>
      </c>
      <c r="D257" s="3" t="str">
        <f t="shared" ref="D257:D511" si="34">IFERROR(TEXT(DATEVALUE(C257),"dd-mmm-yyyy"),IFERROR(TEXT(DATE(VALUE(RIGHT(C257,4)),VALUE(LEFT(C257,2)),VALUE(MID(C257,4,2))),"dd-mmm-yyyy"),IFERROR(TEXT(DATE(VALUE(LEFT(C257,4)),VALUE(MID(C257,6,2)),VALUE(RIGHT(C257,2))),"dd-mmm-yyyy"),C257)))</f>
        <v>02-Oct-2025</v>
      </c>
      <c r="E257" s="3" t="str">
        <f t="shared" ref="E257:E511" si="35">IFERROR(TEXT(DATEVALUE(B257),"dd-mmm-yyyy"),IFERROR(TEXT(DATE(VALUE(RIGHT(B257,4)),VALUE(LEFT(B257,2)),VALUE(MID(B257,4,2))),"dd-mmm-yyyy"),IFERROR(TEXT(DATE(VALUE(LEFT(B257,4)),VALUE(MID(B257,6,2)),VALUE(RIGHT(B257,2))),"dd-mmm-yyyy"),B257)))</f>
        <v>04-Feb-2025</v>
      </c>
      <c r="F257" s="3">
        <f t="shared" ref="F257:F511" si="36">D257-E257</f>
        <v>240</v>
      </c>
      <c r="G257" s="3" t="s">
        <v>1335</v>
      </c>
      <c r="H257" s="3" t="s">
        <v>61</v>
      </c>
      <c r="I257" s="3" t="s">
        <v>116</v>
      </c>
      <c r="J257" s="3" t="s">
        <v>81</v>
      </c>
      <c r="K257" s="3" t="s">
        <v>82</v>
      </c>
      <c r="L257" s="3" t="s">
        <v>83</v>
      </c>
      <c r="M257" s="3" t="s">
        <v>94</v>
      </c>
      <c r="N257" s="3" t="s">
        <v>231</v>
      </c>
      <c r="O257" s="3" t="s">
        <v>1336</v>
      </c>
      <c r="P257" s="3" t="s">
        <v>64</v>
      </c>
      <c r="Q257" s="3">
        <v>7</v>
      </c>
      <c r="R257" s="3">
        <v>1830</v>
      </c>
      <c r="S257" s="3">
        <v>0</v>
      </c>
      <c r="T257" s="3">
        <v>12810</v>
      </c>
      <c r="U257" s="3">
        <v>9334.1200000000008</v>
      </c>
      <c r="V257" s="3">
        <v>3475.88</v>
      </c>
      <c r="W257" s="3" t="s">
        <v>42</v>
      </c>
      <c r="X257" s="3" t="s">
        <v>43</v>
      </c>
      <c r="Y257" s="2" t="str">
        <f t="shared" ref="Y257:Y511" si="37">IF(COUNTIF($A$2:$A$933,A257)&gt;1,"Duplicate Order ID","Unique")</f>
        <v>Unique</v>
      </c>
      <c r="AA257" s="2" t="str">
        <f t="shared" ref="AA257:AA511" si="38">IF(S257&lt;0,"Invalid",IF(S257&gt;0.5,"Invalid","Clean"))</f>
        <v>Clean</v>
      </c>
      <c r="AB257" s="2" t="str">
        <f t="shared" ref="AB257:AB511" si="39">IF(F257&lt;0,"Invalid","valid")</f>
        <v>valid</v>
      </c>
      <c r="AC257">
        <f t="shared" si="27"/>
        <v>0</v>
      </c>
      <c r="AD257">
        <f t="shared" si="28"/>
        <v>12810</v>
      </c>
      <c r="AE257">
        <f t="shared" si="29"/>
        <v>3475.8799999999992</v>
      </c>
      <c r="AF257">
        <f t="shared" si="30"/>
        <v>0.27134113973458229</v>
      </c>
      <c r="AG257" t="str">
        <f t="shared" si="31"/>
        <v>February</v>
      </c>
      <c r="AH257">
        <f t="shared" si="32"/>
        <v>2025</v>
      </c>
      <c r="AI257" t="str">
        <f t="shared" si="33"/>
        <v>Clean</v>
      </c>
    </row>
    <row r="258" spans="1:35" ht="15.75" customHeight="1">
      <c r="A258" s="3" t="s">
        <v>1337</v>
      </c>
      <c r="B258" s="3" t="s">
        <v>1338</v>
      </c>
      <c r="C258" s="3" t="s">
        <v>492</v>
      </c>
      <c r="D258" s="3" t="str">
        <f t="shared" si="34"/>
        <v>03-Nov-2024</v>
      </c>
      <c r="E258" s="3" t="str">
        <f t="shared" si="35"/>
        <v>05-Nov-2024</v>
      </c>
      <c r="F258" s="3">
        <f t="shared" si="36"/>
        <v>-2</v>
      </c>
      <c r="G258" s="3" t="s">
        <v>1339</v>
      </c>
      <c r="H258" s="3" t="s">
        <v>80</v>
      </c>
      <c r="I258" s="3" t="s">
        <v>34</v>
      </c>
      <c r="J258" s="3" t="s">
        <v>50</v>
      </c>
      <c r="K258" s="3" t="s">
        <v>129</v>
      </c>
      <c r="L258" s="3" t="s">
        <v>130</v>
      </c>
      <c r="M258" s="3" t="s">
        <v>53</v>
      </c>
      <c r="N258" s="3" t="s">
        <v>54</v>
      </c>
      <c r="O258" s="3" t="s">
        <v>1340</v>
      </c>
      <c r="P258" s="3" t="s">
        <v>64</v>
      </c>
      <c r="Q258" s="3">
        <v>9</v>
      </c>
      <c r="R258" s="3">
        <v>2260.61</v>
      </c>
      <c r="S258" s="3">
        <v>0.05</v>
      </c>
      <c r="T258" s="3">
        <v>19328.22</v>
      </c>
      <c r="U258" s="3">
        <v>12039.5</v>
      </c>
      <c r="V258" s="3">
        <v>7288.72</v>
      </c>
      <c r="W258" s="3" t="s">
        <v>42</v>
      </c>
      <c r="X258" s="3" t="s">
        <v>43</v>
      </c>
      <c r="Y258" s="2" t="str">
        <f t="shared" si="37"/>
        <v>Unique</v>
      </c>
      <c r="AA258" s="2" t="str">
        <f t="shared" si="38"/>
        <v>Clean</v>
      </c>
      <c r="AB258" s="2" t="str">
        <f t="shared" si="39"/>
        <v>Invalid</v>
      </c>
      <c r="AC258">
        <f t="shared" si="27"/>
        <v>0.05</v>
      </c>
      <c r="AD258">
        <f t="shared" si="28"/>
        <v>19328.215500000002</v>
      </c>
      <c r="AE258">
        <f t="shared" si="29"/>
        <v>7288.7155000000021</v>
      </c>
      <c r="AF258">
        <f t="shared" si="30"/>
        <v>0.3771023507058891</v>
      </c>
      <c r="AG258" t="str">
        <f t="shared" si="31"/>
        <v>November</v>
      </c>
      <c r="AH258">
        <f t="shared" si="32"/>
        <v>2024</v>
      </c>
      <c r="AI258" t="str">
        <f t="shared" si="33"/>
        <v>Clean</v>
      </c>
    </row>
    <row r="259" spans="1:35" ht="15.75" customHeight="1">
      <c r="A259" s="3" t="s">
        <v>1341</v>
      </c>
      <c r="B259" s="3" t="s">
        <v>1342</v>
      </c>
      <c r="C259" s="3" t="s">
        <v>1343</v>
      </c>
      <c r="D259" s="3" t="str">
        <f t="shared" si="34"/>
        <v>12-Aug-2025</v>
      </c>
      <c r="E259" s="3" t="str">
        <f t="shared" si="35"/>
        <v>09-Aug-2025</v>
      </c>
      <c r="F259" s="3">
        <f t="shared" si="36"/>
        <v>3</v>
      </c>
      <c r="G259" s="3" t="s">
        <v>1344</v>
      </c>
      <c r="H259" s="3" t="s">
        <v>218</v>
      </c>
      <c r="I259" s="3" t="s">
        <v>116</v>
      </c>
      <c r="J259" s="3" t="s">
        <v>70</v>
      </c>
      <c r="K259" s="3" t="s">
        <v>237</v>
      </c>
      <c r="L259" s="3" t="s">
        <v>238</v>
      </c>
      <c r="M259" s="3" t="s">
        <v>94</v>
      </c>
      <c r="N259" s="3" t="s">
        <v>95</v>
      </c>
      <c r="O259" s="3" t="s">
        <v>1345</v>
      </c>
      <c r="P259" s="3" t="s">
        <v>41</v>
      </c>
      <c r="Q259" s="3">
        <v>2</v>
      </c>
      <c r="R259" s="3">
        <v>3237.27</v>
      </c>
      <c r="S259" s="3">
        <v>0</v>
      </c>
      <c r="T259" s="3">
        <v>6474.54</v>
      </c>
      <c r="U259" s="3">
        <v>5095.91</v>
      </c>
      <c r="V259" s="3">
        <v>1378.63</v>
      </c>
      <c r="W259" s="3" t="s">
        <v>42</v>
      </c>
      <c r="X259" s="3" t="s">
        <v>86</v>
      </c>
      <c r="Y259" s="2" t="str">
        <f t="shared" si="37"/>
        <v>Unique</v>
      </c>
      <c r="AA259" s="2" t="str">
        <f t="shared" si="38"/>
        <v>Clean</v>
      </c>
      <c r="AB259" s="2" t="str">
        <f t="shared" si="39"/>
        <v>valid</v>
      </c>
      <c r="AC259">
        <f t="shared" ref="AC259:AC322" si="40">IF(S259="",0,IF(S259&gt;1,S259/100,S259))</f>
        <v>0</v>
      </c>
      <c r="AD259">
        <f t="shared" ref="AD259:AD322" si="41">Q259*R259*(1-AC259)</f>
        <v>6474.54</v>
      </c>
      <c r="AE259">
        <f t="shared" ref="AE259:AE322" si="42">AD259-U259</f>
        <v>1378.63</v>
      </c>
      <c r="AF259">
        <f t="shared" ref="AF259:AF322" si="43">AE259/AD259</f>
        <v>0.21293095725719513</v>
      </c>
      <c r="AG259" t="str">
        <f t="shared" ref="AG259:AG322" si="44">TEXT(E259,"mmmm")</f>
        <v>August</v>
      </c>
      <c r="AH259">
        <f t="shared" ref="AH259:AH322" si="45">YEAR(E259)</f>
        <v>2025</v>
      </c>
      <c r="AI259" t="str">
        <f t="shared" ref="AI259:AI322" si="46">IF(OR(AC259&lt;0,AC259&gt;0.5,F259="Invalid Shipping Record"),"Invalid",
IF(OR(X259="Cancelled",W259="Failed"),"Warning","Clean"))</f>
        <v>Warning</v>
      </c>
    </row>
    <row r="260" spans="1:35" ht="15.75" customHeight="1">
      <c r="A260" s="3" t="s">
        <v>1346</v>
      </c>
      <c r="B260" s="3" t="s">
        <v>833</v>
      </c>
      <c r="C260" s="3" t="s">
        <v>1347</v>
      </c>
      <c r="D260" s="3" t="str">
        <f t="shared" si="34"/>
        <v>04-Jan-2025</v>
      </c>
      <c r="E260" s="3" t="str">
        <f t="shared" si="35"/>
        <v>30-Dec-2024</v>
      </c>
      <c r="F260" s="3">
        <f t="shared" si="36"/>
        <v>5</v>
      </c>
      <c r="G260" s="3" t="s">
        <v>1348</v>
      </c>
      <c r="H260" s="3" t="s">
        <v>176</v>
      </c>
      <c r="I260" s="3" t="s">
        <v>116</v>
      </c>
      <c r="J260" s="3" t="s">
        <v>70</v>
      </c>
      <c r="K260" s="3" t="s">
        <v>347</v>
      </c>
      <c r="L260" s="3" t="s">
        <v>348</v>
      </c>
      <c r="M260" s="3" t="s">
        <v>53</v>
      </c>
      <c r="N260" s="3" t="s">
        <v>54</v>
      </c>
      <c r="O260" s="3" t="s">
        <v>1349</v>
      </c>
      <c r="P260" s="3" t="s">
        <v>56</v>
      </c>
      <c r="Q260" s="3">
        <v>2</v>
      </c>
      <c r="R260" s="3">
        <v>3720.07</v>
      </c>
      <c r="S260" s="3">
        <v>0.25</v>
      </c>
      <c r="T260" s="3">
        <v>5580.11</v>
      </c>
      <c r="U260" s="3">
        <v>4307.01</v>
      </c>
      <c r="V260" s="3">
        <v>1273.0999999999999</v>
      </c>
      <c r="W260" s="3" t="s">
        <v>42</v>
      </c>
      <c r="X260" s="3" t="s">
        <v>43</v>
      </c>
      <c r="Y260" s="2" t="str">
        <f t="shared" si="37"/>
        <v>Unique</v>
      </c>
      <c r="AA260" s="2" t="str">
        <f t="shared" si="38"/>
        <v>Clean</v>
      </c>
      <c r="AB260" s="2" t="str">
        <f t="shared" si="39"/>
        <v>valid</v>
      </c>
      <c r="AC260">
        <f t="shared" si="40"/>
        <v>0.25</v>
      </c>
      <c r="AD260">
        <f t="shared" si="41"/>
        <v>5580.1050000000005</v>
      </c>
      <c r="AE260">
        <f t="shared" si="42"/>
        <v>1273.0950000000003</v>
      </c>
      <c r="AF260">
        <f t="shared" si="43"/>
        <v>0.22814893268137429</v>
      </c>
      <c r="AG260" t="str">
        <f t="shared" si="44"/>
        <v>December</v>
      </c>
      <c r="AH260">
        <f t="shared" si="45"/>
        <v>2024</v>
      </c>
      <c r="AI260" t="str">
        <f t="shared" si="46"/>
        <v>Clean</v>
      </c>
    </row>
    <row r="261" spans="1:35" ht="15.75" customHeight="1">
      <c r="A261" s="3" t="s">
        <v>1350</v>
      </c>
      <c r="B261" s="3" t="s">
        <v>1351</v>
      </c>
      <c r="C261" s="3" t="s">
        <v>1352</v>
      </c>
      <c r="D261" s="3" t="str">
        <f t="shared" si="34"/>
        <v>29-Jun-2024</v>
      </c>
      <c r="E261" s="3" t="str">
        <f t="shared" si="35"/>
        <v>21-Jun-2024</v>
      </c>
      <c r="F261" s="3">
        <f t="shared" si="36"/>
        <v>8</v>
      </c>
      <c r="G261" s="3" t="s">
        <v>1353</v>
      </c>
      <c r="H261" s="3" t="s">
        <v>101</v>
      </c>
      <c r="I261" s="3" t="s">
        <v>34</v>
      </c>
      <c r="J261" s="3" t="s">
        <v>70</v>
      </c>
      <c r="K261" s="3" t="s">
        <v>347</v>
      </c>
      <c r="L261" s="3" t="s">
        <v>348</v>
      </c>
      <c r="M261" s="3" t="s">
        <v>94</v>
      </c>
      <c r="N261" s="3" t="s">
        <v>391</v>
      </c>
      <c r="O261" s="3" t="s">
        <v>1354</v>
      </c>
      <c r="P261" s="3" t="s">
        <v>75</v>
      </c>
      <c r="Q261" s="3">
        <v>8</v>
      </c>
      <c r="R261" s="3">
        <v>2853.92</v>
      </c>
      <c r="S261" s="3">
        <v>0.2</v>
      </c>
      <c r="T261" s="3">
        <v>18265.09</v>
      </c>
      <c r="U261" s="3">
        <v>10437.14</v>
      </c>
      <c r="V261" s="3">
        <v>7827.95</v>
      </c>
      <c r="W261" s="3" t="s">
        <v>42</v>
      </c>
      <c r="X261" s="3" t="s">
        <v>43</v>
      </c>
      <c r="Y261" s="2" t="str">
        <f t="shared" si="37"/>
        <v>Unique</v>
      </c>
      <c r="AA261" s="2" t="str">
        <f t="shared" si="38"/>
        <v>Clean</v>
      </c>
      <c r="AB261" s="2" t="str">
        <f t="shared" si="39"/>
        <v>valid</v>
      </c>
      <c r="AC261">
        <f t="shared" si="40"/>
        <v>0.2</v>
      </c>
      <c r="AD261">
        <f t="shared" si="41"/>
        <v>18265.088</v>
      </c>
      <c r="AE261">
        <f t="shared" si="42"/>
        <v>7827.9480000000003</v>
      </c>
      <c r="AF261">
        <f t="shared" si="43"/>
        <v>0.42857433810338064</v>
      </c>
      <c r="AG261" t="str">
        <f t="shared" si="44"/>
        <v>June</v>
      </c>
      <c r="AH261">
        <f t="shared" si="45"/>
        <v>2024</v>
      </c>
      <c r="AI261" t="str">
        <f t="shared" si="46"/>
        <v>Clean</v>
      </c>
    </row>
    <row r="262" spans="1:35" ht="15.75" customHeight="1">
      <c r="A262" s="3" t="s">
        <v>1355</v>
      </c>
      <c r="B262" s="3" t="s">
        <v>1356</v>
      </c>
      <c r="C262" s="3" t="s">
        <v>1357</v>
      </c>
      <c r="D262" s="3" t="str">
        <f t="shared" si="34"/>
        <v>27-Sep-2025</v>
      </c>
      <c r="E262" s="3" t="str">
        <f t="shared" si="35"/>
        <v>23-Sep-2025</v>
      </c>
      <c r="F262" s="3">
        <f t="shared" si="36"/>
        <v>4</v>
      </c>
      <c r="G262" s="3" t="s">
        <v>1358</v>
      </c>
      <c r="H262" s="3" t="s">
        <v>115</v>
      </c>
      <c r="I262" s="3" t="s">
        <v>116</v>
      </c>
      <c r="J262" s="3" t="s">
        <v>50</v>
      </c>
      <c r="K262" s="3" t="s">
        <v>129</v>
      </c>
      <c r="L262" s="3" t="s">
        <v>130</v>
      </c>
      <c r="M262" s="3" t="s">
        <v>38</v>
      </c>
      <c r="N262" s="3" t="s">
        <v>206</v>
      </c>
      <c r="O262" s="3" t="s">
        <v>1359</v>
      </c>
      <c r="P262" s="3" t="s">
        <v>56</v>
      </c>
      <c r="Q262" s="3">
        <v>7</v>
      </c>
      <c r="R262" s="3">
        <v>2897.12</v>
      </c>
      <c r="S262" s="3">
        <v>0.25</v>
      </c>
      <c r="T262" s="3">
        <v>15209.88</v>
      </c>
      <c r="U262" s="3">
        <v>10891.15</v>
      </c>
      <c r="V262" s="3">
        <v>4318.7299999999996</v>
      </c>
      <c r="W262" s="3" t="s">
        <v>208</v>
      </c>
      <c r="X262" s="3" t="s">
        <v>133</v>
      </c>
      <c r="Y262" s="2" t="str">
        <f t="shared" si="37"/>
        <v>Unique</v>
      </c>
      <c r="AA262" s="2" t="str">
        <f t="shared" si="38"/>
        <v>Clean</v>
      </c>
      <c r="AB262" s="2" t="str">
        <f t="shared" si="39"/>
        <v>valid</v>
      </c>
      <c r="AC262">
        <f t="shared" si="40"/>
        <v>0.25</v>
      </c>
      <c r="AD262">
        <f t="shared" si="41"/>
        <v>15209.880000000001</v>
      </c>
      <c r="AE262">
        <f t="shared" si="42"/>
        <v>4318.7300000000014</v>
      </c>
      <c r="AF262">
        <f t="shared" si="43"/>
        <v>0.28394241111698454</v>
      </c>
      <c r="AG262" t="str">
        <f t="shared" si="44"/>
        <v>September</v>
      </c>
      <c r="AH262">
        <f t="shared" si="45"/>
        <v>2025</v>
      </c>
      <c r="AI262" t="str">
        <f t="shared" si="46"/>
        <v>Warning</v>
      </c>
    </row>
    <row r="263" spans="1:35" ht="15.75" customHeight="1">
      <c r="A263" s="3" t="s">
        <v>1360</v>
      </c>
      <c r="B263" s="3" t="s">
        <v>1361</v>
      </c>
      <c r="C263" s="3" t="s">
        <v>1362</v>
      </c>
      <c r="D263" s="3" t="str">
        <f t="shared" si="34"/>
        <v>24-Jun-2025</v>
      </c>
      <c r="E263" s="3" t="str">
        <f t="shared" si="35"/>
        <v>18-Jun-2025</v>
      </c>
      <c r="F263" s="3">
        <f t="shared" si="36"/>
        <v>6</v>
      </c>
      <c r="G263" s="3" t="s">
        <v>1363</v>
      </c>
      <c r="H263" s="3" t="s">
        <v>176</v>
      </c>
      <c r="I263" s="3" t="s">
        <v>116</v>
      </c>
      <c r="J263" s="3" t="s">
        <v>35</v>
      </c>
      <c r="K263" s="3" t="s">
        <v>36</v>
      </c>
      <c r="L263" s="3" t="s">
        <v>37</v>
      </c>
      <c r="M263" s="3" t="s">
        <v>38</v>
      </c>
      <c r="N263" s="3" t="s">
        <v>117</v>
      </c>
      <c r="O263" s="3" t="s">
        <v>1364</v>
      </c>
      <c r="P263" s="3" t="s">
        <v>75</v>
      </c>
      <c r="Q263" s="3">
        <v>3</v>
      </c>
      <c r="R263" s="3">
        <v>686.74</v>
      </c>
      <c r="S263" s="3">
        <v>0.2</v>
      </c>
      <c r="T263" s="3">
        <v>1648.18</v>
      </c>
      <c r="U263" s="3">
        <v>987.91</v>
      </c>
      <c r="V263" s="3">
        <v>660.27</v>
      </c>
      <c r="W263" s="3" t="s">
        <v>208</v>
      </c>
      <c r="X263" s="3" t="s">
        <v>86</v>
      </c>
      <c r="Y263" s="2" t="str">
        <f t="shared" si="37"/>
        <v>Unique</v>
      </c>
      <c r="AA263" s="2" t="str">
        <f t="shared" si="38"/>
        <v>Clean</v>
      </c>
      <c r="AB263" s="2" t="str">
        <f t="shared" si="39"/>
        <v>valid</v>
      </c>
      <c r="AC263">
        <f t="shared" si="40"/>
        <v>0.2</v>
      </c>
      <c r="AD263">
        <f t="shared" si="41"/>
        <v>1648.1760000000004</v>
      </c>
      <c r="AE263">
        <f t="shared" si="42"/>
        <v>660.26600000000042</v>
      </c>
      <c r="AF263">
        <f t="shared" si="43"/>
        <v>0.40060406170214846</v>
      </c>
      <c r="AG263" t="str">
        <f t="shared" si="44"/>
        <v>June</v>
      </c>
      <c r="AH263">
        <f t="shared" si="45"/>
        <v>2025</v>
      </c>
      <c r="AI263" t="str">
        <f t="shared" si="46"/>
        <v>Warning</v>
      </c>
    </row>
    <row r="264" spans="1:35" ht="15.75" customHeight="1">
      <c r="A264" s="3" t="s">
        <v>1365</v>
      </c>
      <c r="B264" s="3" t="s">
        <v>1366</v>
      </c>
      <c r="C264" s="3" t="s">
        <v>1367</v>
      </c>
      <c r="D264" s="3" t="str">
        <f t="shared" si="34"/>
        <v>01-Jun-2025</v>
      </c>
      <c r="E264" s="3" t="str">
        <f t="shared" si="35"/>
        <v>26-May-2025</v>
      </c>
      <c r="F264" s="3">
        <f t="shared" si="36"/>
        <v>6</v>
      </c>
      <c r="G264" s="3" t="s">
        <v>955</v>
      </c>
      <c r="H264" s="3" t="s">
        <v>69</v>
      </c>
      <c r="I264" s="3" t="s">
        <v>49</v>
      </c>
      <c r="J264" s="3" t="s">
        <v>35</v>
      </c>
      <c r="K264" s="3" t="s">
        <v>515</v>
      </c>
      <c r="L264" s="3" t="s">
        <v>516</v>
      </c>
      <c r="M264" s="3" t="s">
        <v>94</v>
      </c>
      <c r="N264" s="3" t="s">
        <v>231</v>
      </c>
      <c r="O264" s="3" t="s">
        <v>1368</v>
      </c>
      <c r="P264" s="3" t="s">
        <v>56</v>
      </c>
      <c r="Q264" s="3">
        <v>4</v>
      </c>
      <c r="R264" s="3">
        <v>3349.86</v>
      </c>
      <c r="S264" s="3">
        <v>0</v>
      </c>
      <c r="T264" s="3">
        <v>13399.44</v>
      </c>
      <c r="U264" s="3">
        <v>8581.35</v>
      </c>
      <c r="V264" s="3">
        <v>4818.09</v>
      </c>
      <c r="W264" s="3" t="s">
        <v>145</v>
      </c>
      <c r="X264" s="3" t="s">
        <v>133</v>
      </c>
      <c r="Y264" s="2" t="str">
        <f t="shared" si="37"/>
        <v>Unique</v>
      </c>
      <c r="AA264" s="2" t="str">
        <f t="shared" si="38"/>
        <v>Clean</v>
      </c>
      <c r="AB264" s="2" t="str">
        <f t="shared" si="39"/>
        <v>valid</v>
      </c>
      <c r="AC264">
        <f t="shared" si="40"/>
        <v>0</v>
      </c>
      <c r="AD264">
        <f t="shared" si="41"/>
        <v>13399.44</v>
      </c>
      <c r="AE264">
        <f t="shared" si="42"/>
        <v>4818.09</v>
      </c>
      <c r="AF264">
        <f t="shared" si="43"/>
        <v>0.3595739821962709</v>
      </c>
      <c r="AG264" t="str">
        <f t="shared" si="44"/>
        <v>May</v>
      </c>
      <c r="AH264">
        <f t="shared" si="45"/>
        <v>2025</v>
      </c>
      <c r="AI264" t="str">
        <f t="shared" si="46"/>
        <v>Clean</v>
      </c>
    </row>
    <row r="265" spans="1:35" ht="15.75" customHeight="1">
      <c r="A265" s="3" t="s">
        <v>1369</v>
      </c>
      <c r="B265" s="3" t="s">
        <v>1370</v>
      </c>
      <c r="C265" s="3" t="s">
        <v>949</v>
      </c>
      <c r="D265" s="3" t="str">
        <f t="shared" si="34"/>
        <v>10-Aug-2025</v>
      </c>
      <c r="E265" s="3" t="str">
        <f t="shared" si="35"/>
        <v>06-Aug-2025</v>
      </c>
      <c r="F265" s="3">
        <f t="shared" si="36"/>
        <v>4</v>
      </c>
      <c r="G265" s="3" t="s">
        <v>1371</v>
      </c>
      <c r="H265" s="3" t="s">
        <v>188</v>
      </c>
      <c r="I265" s="3" t="s">
        <v>49</v>
      </c>
      <c r="J265" s="3" t="s">
        <v>35</v>
      </c>
      <c r="K265" s="3" t="s">
        <v>515</v>
      </c>
      <c r="L265" s="3" t="s">
        <v>516</v>
      </c>
      <c r="M265" s="3" t="s">
        <v>38</v>
      </c>
      <c r="N265" s="3" t="s">
        <v>206</v>
      </c>
      <c r="O265" s="3" t="s">
        <v>1372</v>
      </c>
      <c r="P265" s="3" t="s">
        <v>41</v>
      </c>
      <c r="Q265" s="3">
        <v>9</v>
      </c>
      <c r="R265" s="3">
        <v>4042.45</v>
      </c>
      <c r="S265" s="3">
        <v>0.1</v>
      </c>
      <c r="T265" s="3">
        <v>32743.84</v>
      </c>
      <c r="U265" s="3">
        <v>22452.05</v>
      </c>
      <c r="V265" s="3">
        <v>10291.790000000001</v>
      </c>
      <c r="W265" s="3" t="s">
        <v>145</v>
      </c>
      <c r="X265" s="3" t="s">
        <v>133</v>
      </c>
      <c r="Y265" s="2" t="str">
        <f t="shared" si="37"/>
        <v>Unique</v>
      </c>
      <c r="AA265" s="2" t="str">
        <f t="shared" si="38"/>
        <v>Clean</v>
      </c>
      <c r="AB265" s="2" t="str">
        <f t="shared" si="39"/>
        <v>valid</v>
      </c>
      <c r="AC265">
        <f t="shared" si="40"/>
        <v>0.1</v>
      </c>
      <c r="AD265">
        <f t="shared" si="41"/>
        <v>32743.844999999998</v>
      </c>
      <c r="AE265">
        <f t="shared" si="42"/>
        <v>10291.794999999998</v>
      </c>
      <c r="AF265">
        <f t="shared" si="43"/>
        <v>0.314312353970647</v>
      </c>
      <c r="AG265" t="str">
        <f t="shared" si="44"/>
        <v>August</v>
      </c>
      <c r="AH265">
        <f t="shared" si="45"/>
        <v>2025</v>
      </c>
      <c r="AI265" t="str">
        <f t="shared" si="46"/>
        <v>Clean</v>
      </c>
    </row>
    <row r="266" spans="1:35" ht="15.75" customHeight="1">
      <c r="A266" s="3" t="s">
        <v>1373</v>
      </c>
      <c r="B266" s="3" t="s">
        <v>1374</v>
      </c>
      <c r="C266" s="3" t="s">
        <v>1375</v>
      </c>
      <c r="D266" s="3" t="str">
        <f t="shared" si="34"/>
        <v>21-May-2024</v>
      </c>
      <c r="E266" s="3" t="str">
        <f t="shared" si="35"/>
        <v>16-May-2024</v>
      </c>
      <c r="F266" s="3">
        <f t="shared" si="36"/>
        <v>5</v>
      </c>
      <c r="G266" s="3" t="s">
        <v>1376</v>
      </c>
      <c r="H266" s="3" t="s">
        <v>218</v>
      </c>
      <c r="I266" s="3" t="s">
        <v>49</v>
      </c>
      <c r="J266" s="3" t="s">
        <v>50</v>
      </c>
      <c r="K266" s="3" t="s">
        <v>194</v>
      </c>
      <c r="L266" s="3" t="s">
        <v>195</v>
      </c>
      <c r="M266" s="3" t="s">
        <v>94</v>
      </c>
      <c r="N266" s="3" t="s">
        <v>102</v>
      </c>
      <c r="O266" s="3" t="s">
        <v>1377</v>
      </c>
      <c r="P266" s="3" t="s">
        <v>75</v>
      </c>
      <c r="Q266" s="3">
        <v>4</v>
      </c>
      <c r="R266" s="3">
        <v>1503.07</v>
      </c>
      <c r="S266" s="3">
        <v>0</v>
      </c>
      <c r="T266" s="3">
        <v>6012.28</v>
      </c>
      <c r="U266" s="3">
        <v>3927.64</v>
      </c>
      <c r="V266" s="3">
        <v>2084.64</v>
      </c>
      <c r="W266" s="3" t="s">
        <v>42</v>
      </c>
      <c r="X266" s="3" t="s">
        <v>43</v>
      </c>
      <c r="Y266" s="2" t="str">
        <f t="shared" si="37"/>
        <v>Unique</v>
      </c>
      <c r="AA266" s="2" t="str">
        <f t="shared" si="38"/>
        <v>Clean</v>
      </c>
      <c r="AB266" s="2" t="str">
        <f t="shared" si="39"/>
        <v>valid</v>
      </c>
      <c r="AC266">
        <f t="shared" si="40"/>
        <v>0</v>
      </c>
      <c r="AD266">
        <f t="shared" si="41"/>
        <v>6012.28</v>
      </c>
      <c r="AE266">
        <f t="shared" si="42"/>
        <v>2084.64</v>
      </c>
      <c r="AF266">
        <f t="shared" si="43"/>
        <v>0.34673035853286938</v>
      </c>
      <c r="AG266" t="str">
        <f t="shared" si="44"/>
        <v>May</v>
      </c>
      <c r="AH266">
        <f t="shared" si="45"/>
        <v>2024</v>
      </c>
      <c r="AI266" t="str">
        <f t="shared" si="46"/>
        <v>Clean</v>
      </c>
    </row>
    <row r="267" spans="1:35" ht="15.75" customHeight="1">
      <c r="A267" s="3" t="s">
        <v>1378</v>
      </c>
      <c r="B267" s="3" t="s">
        <v>1379</v>
      </c>
      <c r="C267" s="3" t="s">
        <v>917</v>
      </c>
      <c r="D267" s="3" t="str">
        <f t="shared" si="34"/>
        <v>22-Nov-2024</v>
      </c>
      <c r="E267" s="3" t="str">
        <f t="shared" si="35"/>
        <v>14-Nov-2024</v>
      </c>
      <c r="F267" s="3">
        <f t="shared" si="36"/>
        <v>8</v>
      </c>
      <c r="G267" s="3" t="s">
        <v>1380</v>
      </c>
      <c r="H267" s="3" t="s">
        <v>150</v>
      </c>
      <c r="I267" s="3" t="s">
        <v>116</v>
      </c>
      <c r="J267" s="3" t="s">
        <v>50</v>
      </c>
      <c r="K267" s="3" t="s">
        <v>194</v>
      </c>
      <c r="L267" s="3" t="s">
        <v>195</v>
      </c>
      <c r="M267" s="3" t="s">
        <v>53</v>
      </c>
      <c r="N267" s="3" t="s">
        <v>212</v>
      </c>
      <c r="O267" s="3" t="s">
        <v>1381</v>
      </c>
      <c r="P267" s="3" t="s">
        <v>56</v>
      </c>
      <c r="Q267" s="3">
        <v>1</v>
      </c>
      <c r="R267" s="3">
        <v>582.37</v>
      </c>
      <c r="S267" s="3">
        <v>0.15</v>
      </c>
      <c r="T267" s="3">
        <v>495.01</v>
      </c>
      <c r="U267" s="3">
        <v>285.13</v>
      </c>
      <c r="V267" s="3">
        <v>209.88</v>
      </c>
      <c r="W267" s="3" t="s">
        <v>132</v>
      </c>
      <c r="X267" s="3" t="s">
        <v>86</v>
      </c>
      <c r="Y267" s="2" t="str">
        <f t="shared" si="37"/>
        <v>Unique</v>
      </c>
      <c r="AA267" s="2" t="str">
        <f t="shared" si="38"/>
        <v>Clean</v>
      </c>
      <c r="AB267" s="2" t="str">
        <f t="shared" si="39"/>
        <v>valid</v>
      </c>
      <c r="AC267">
        <f t="shared" si="40"/>
        <v>0.15</v>
      </c>
      <c r="AD267">
        <f t="shared" si="41"/>
        <v>495.0145</v>
      </c>
      <c r="AE267">
        <f t="shared" si="42"/>
        <v>209.8845</v>
      </c>
      <c r="AF267">
        <f t="shared" si="43"/>
        <v>0.42399667080459258</v>
      </c>
      <c r="AG267" t="str">
        <f t="shared" si="44"/>
        <v>November</v>
      </c>
      <c r="AH267">
        <f t="shared" si="45"/>
        <v>2024</v>
      </c>
      <c r="AI267" t="str">
        <f t="shared" si="46"/>
        <v>Warning</v>
      </c>
    </row>
    <row r="268" spans="1:35" ht="15.75" customHeight="1">
      <c r="A268" s="3" t="s">
        <v>1382</v>
      </c>
      <c r="B268" s="3" t="s">
        <v>1383</v>
      </c>
      <c r="C268" s="3" t="s">
        <v>1384</v>
      </c>
      <c r="D268" s="3" t="str">
        <f t="shared" si="34"/>
        <v>10-May-2025</v>
      </c>
      <c r="E268" s="3" t="str">
        <f t="shared" si="35"/>
        <v>03-May-2025</v>
      </c>
      <c r="F268" s="3">
        <f t="shared" si="36"/>
        <v>7</v>
      </c>
      <c r="G268" s="3" t="s">
        <v>1385</v>
      </c>
      <c r="H268" s="3" t="s">
        <v>101</v>
      </c>
      <c r="I268" s="3" t="s">
        <v>123</v>
      </c>
      <c r="J268" s="3" t="s">
        <v>81</v>
      </c>
      <c r="K268" s="3" t="s">
        <v>82</v>
      </c>
      <c r="L268" s="3" t="s">
        <v>83</v>
      </c>
      <c r="M268" s="3" t="s">
        <v>38</v>
      </c>
      <c r="N268" s="3" t="s">
        <v>164</v>
      </c>
      <c r="O268" s="3" t="s">
        <v>1386</v>
      </c>
      <c r="P268" s="3" t="s">
        <v>41</v>
      </c>
      <c r="Q268" s="3">
        <v>3</v>
      </c>
      <c r="R268" s="3">
        <v>4339.24</v>
      </c>
      <c r="S268" s="3">
        <v>0</v>
      </c>
      <c r="T268" s="3">
        <v>13017.72</v>
      </c>
      <c r="U268" s="3">
        <v>10170.57</v>
      </c>
      <c r="V268" s="3">
        <v>2847.15</v>
      </c>
      <c r="W268" s="3" t="s">
        <v>42</v>
      </c>
      <c r="X268" s="3" t="s">
        <v>43</v>
      </c>
      <c r="Y268" s="2" t="str">
        <f t="shared" si="37"/>
        <v>Unique</v>
      </c>
      <c r="AA268" s="2" t="str">
        <f t="shared" si="38"/>
        <v>Clean</v>
      </c>
      <c r="AB268" s="2" t="str">
        <f t="shared" si="39"/>
        <v>valid</v>
      </c>
      <c r="AC268">
        <f t="shared" si="40"/>
        <v>0</v>
      </c>
      <c r="AD268">
        <f t="shared" si="41"/>
        <v>13017.72</v>
      </c>
      <c r="AE268">
        <f t="shared" si="42"/>
        <v>2847.1499999999996</v>
      </c>
      <c r="AF268">
        <f t="shared" si="43"/>
        <v>0.21871341525244051</v>
      </c>
      <c r="AG268" t="str">
        <f t="shared" si="44"/>
        <v>May</v>
      </c>
      <c r="AH268">
        <f t="shared" si="45"/>
        <v>2025</v>
      </c>
      <c r="AI268" t="str">
        <f t="shared" si="46"/>
        <v>Clean</v>
      </c>
    </row>
    <row r="269" spans="1:35" ht="15.75" customHeight="1">
      <c r="A269" s="3" t="s">
        <v>1387</v>
      </c>
      <c r="B269" s="3" t="s">
        <v>1023</v>
      </c>
      <c r="C269" s="3" t="s">
        <v>1388</v>
      </c>
      <c r="D269" s="3" t="str">
        <f t="shared" si="34"/>
        <v>04-Jun-2025</v>
      </c>
      <c r="E269" s="3" t="str">
        <f t="shared" si="35"/>
        <v>28-May-2025</v>
      </c>
      <c r="F269" s="3">
        <f t="shared" si="36"/>
        <v>7</v>
      </c>
      <c r="G269" s="3" t="s">
        <v>1389</v>
      </c>
      <c r="H269" s="3" t="s">
        <v>218</v>
      </c>
      <c r="I269" s="3" t="s">
        <v>116</v>
      </c>
      <c r="J269" s="3" t="s">
        <v>50</v>
      </c>
      <c r="K269" s="3" t="s">
        <v>319</v>
      </c>
      <c r="L269" s="3" t="s">
        <v>320</v>
      </c>
      <c r="M269" s="3" t="s">
        <v>53</v>
      </c>
      <c r="N269" s="3" t="s">
        <v>73</v>
      </c>
      <c r="O269" s="3" t="s">
        <v>1390</v>
      </c>
      <c r="P269" s="3" t="s">
        <v>64</v>
      </c>
      <c r="Q269" s="3">
        <v>4</v>
      </c>
      <c r="R269" s="3">
        <v>261.8</v>
      </c>
      <c r="S269" s="3">
        <v>0.25</v>
      </c>
      <c r="T269" s="3">
        <v>785.4</v>
      </c>
      <c r="U269" s="3">
        <v>557.22</v>
      </c>
      <c r="V269" s="3">
        <v>228.18</v>
      </c>
      <c r="W269" s="3" t="s">
        <v>42</v>
      </c>
      <c r="X269" s="3" t="s">
        <v>43</v>
      </c>
      <c r="Y269" s="2" t="str">
        <f t="shared" si="37"/>
        <v>Unique</v>
      </c>
      <c r="AA269" s="2" t="str">
        <f t="shared" si="38"/>
        <v>Clean</v>
      </c>
      <c r="AB269" s="2" t="str">
        <f t="shared" si="39"/>
        <v>valid</v>
      </c>
      <c r="AC269">
        <f t="shared" si="40"/>
        <v>0.25</v>
      </c>
      <c r="AD269">
        <f t="shared" si="41"/>
        <v>785.40000000000009</v>
      </c>
      <c r="AE269">
        <f t="shared" si="42"/>
        <v>228.18000000000006</v>
      </c>
      <c r="AF269">
        <f t="shared" si="43"/>
        <v>0.29052711993888469</v>
      </c>
      <c r="AG269" t="str">
        <f t="shared" si="44"/>
        <v>May</v>
      </c>
      <c r="AH269">
        <f t="shared" si="45"/>
        <v>2025</v>
      </c>
      <c r="AI269" t="str">
        <f t="shared" si="46"/>
        <v>Clean</v>
      </c>
    </row>
    <row r="270" spans="1:35" ht="15.75" customHeight="1">
      <c r="A270" s="3" t="s">
        <v>1391</v>
      </c>
      <c r="B270" s="3" t="s">
        <v>1392</v>
      </c>
      <c r="C270" s="3" t="s">
        <v>1392</v>
      </c>
      <c r="D270" s="3" t="str">
        <f t="shared" si="34"/>
        <v>17-Aug-2025</v>
      </c>
      <c r="E270" s="3" t="str">
        <f t="shared" si="35"/>
        <v>17-Aug-2025</v>
      </c>
      <c r="F270" s="3">
        <f t="shared" si="36"/>
        <v>0</v>
      </c>
      <c r="G270" s="3" t="s">
        <v>1393</v>
      </c>
      <c r="H270" s="3" t="s">
        <v>170</v>
      </c>
      <c r="I270" s="3" t="s">
        <v>123</v>
      </c>
      <c r="J270" s="3" t="s">
        <v>35</v>
      </c>
      <c r="K270" s="3" t="s">
        <v>162</v>
      </c>
      <c r="L270" s="3" t="s">
        <v>163</v>
      </c>
      <c r="M270" s="3" t="s">
        <v>94</v>
      </c>
      <c r="N270" s="3" t="s">
        <v>95</v>
      </c>
      <c r="O270" s="3" t="s">
        <v>1394</v>
      </c>
      <c r="P270" s="3" t="s">
        <v>64</v>
      </c>
      <c r="Q270" s="3">
        <v>7</v>
      </c>
      <c r="R270" s="3">
        <v>632.20000000000005</v>
      </c>
      <c r="S270" s="3">
        <v>0.25</v>
      </c>
      <c r="T270" s="3">
        <v>3319.05</v>
      </c>
      <c r="U270" s="3">
        <v>2124.6</v>
      </c>
      <c r="V270" s="3">
        <v>1194.45</v>
      </c>
      <c r="W270" s="3" t="s">
        <v>42</v>
      </c>
      <c r="X270" s="3" t="s">
        <v>43</v>
      </c>
      <c r="Y270" s="2" t="str">
        <f t="shared" si="37"/>
        <v>Unique</v>
      </c>
      <c r="AA270" s="2" t="str">
        <f t="shared" si="38"/>
        <v>Clean</v>
      </c>
      <c r="AB270" s="2" t="str">
        <f t="shared" si="39"/>
        <v>valid</v>
      </c>
      <c r="AC270">
        <f t="shared" si="40"/>
        <v>0.25</v>
      </c>
      <c r="AD270">
        <f t="shared" si="41"/>
        <v>3319.05</v>
      </c>
      <c r="AE270">
        <f t="shared" si="42"/>
        <v>1194.4500000000003</v>
      </c>
      <c r="AF270">
        <f t="shared" si="43"/>
        <v>0.35987707325891449</v>
      </c>
      <c r="AG270" t="str">
        <f t="shared" si="44"/>
        <v>August</v>
      </c>
      <c r="AH270">
        <f t="shared" si="45"/>
        <v>2025</v>
      </c>
      <c r="AI270" t="str">
        <f t="shared" si="46"/>
        <v>Clean</v>
      </c>
    </row>
    <row r="271" spans="1:35" ht="15.75" customHeight="1">
      <c r="A271" s="3" t="s">
        <v>1395</v>
      </c>
      <c r="B271" s="3" t="s">
        <v>1334</v>
      </c>
      <c r="C271" s="3" t="s">
        <v>1396</v>
      </c>
      <c r="D271" s="3" t="str">
        <f t="shared" si="34"/>
        <v>02-Dec-2025</v>
      </c>
      <c r="E271" s="3" t="str">
        <f t="shared" si="35"/>
        <v>02-Oct-2025</v>
      </c>
      <c r="F271" s="3">
        <f t="shared" si="36"/>
        <v>61</v>
      </c>
      <c r="G271" s="3" t="s">
        <v>1397</v>
      </c>
      <c r="H271" s="3" t="s">
        <v>156</v>
      </c>
      <c r="I271" s="3" t="s">
        <v>49</v>
      </c>
      <c r="J271" s="3" t="s">
        <v>81</v>
      </c>
      <c r="K271" s="3" t="s">
        <v>36</v>
      </c>
      <c r="L271" s="3" t="s">
        <v>143</v>
      </c>
      <c r="M271" s="3" t="s">
        <v>53</v>
      </c>
      <c r="N271" s="3" t="s">
        <v>54</v>
      </c>
      <c r="O271" s="3" t="s">
        <v>1398</v>
      </c>
      <c r="P271" s="3" t="s">
        <v>56</v>
      </c>
      <c r="Q271" s="3">
        <v>1</v>
      </c>
      <c r="R271" s="3">
        <v>1925.86</v>
      </c>
      <c r="S271" s="3">
        <v>0</v>
      </c>
      <c r="T271" s="3">
        <v>1925.86</v>
      </c>
      <c r="U271" s="3">
        <v>1321.89</v>
      </c>
      <c r="V271" s="3">
        <v>603.97</v>
      </c>
      <c r="W271" s="3" t="s">
        <v>42</v>
      </c>
      <c r="X271" s="3" t="s">
        <v>43</v>
      </c>
      <c r="Y271" s="2" t="str">
        <f t="shared" si="37"/>
        <v>Unique</v>
      </c>
      <c r="AA271" s="2" t="str">
        <f t="shared" si="38"/>
        <v>Clean</v>
      </c>
      <c r="AB271" s="2" t="str">
        <f t="shared" si="39"/>
        <v>valid</v>
      </c>
      <c r="AC271">
        <f t="shared" si="40"/>
        <v>0</v>
      </c>
      <c r="AD271">
        <f t="shared" si="41"/>
        <v>1925.86</v>
      </c>
      <c r="AE271">
        <f t="shared" si="42"/>
        <v>603.9699999999998</v>
      </c>
      <c r="AF271">
        <f t="shared" si="43"/>
        <v>0.31361054282242729</v>
      </c>
      <c r="AG271" t="str">
        <f t="shared" si="44"/>
        <v>October</v>
      </c>
      <c r="AH271">
        <f t="shared" si="45"/>
        <v>2025</v>
      </c>
      <c r="AI271" t="str">
        <f t="shared" si="46"/>
        <v>Clean</v>
      </c>
    </row>
    <row r="272" spans="1:35" ht="15.75" customHeight="1">
      <c r="A272" s="3" t="s">
        <v>1399</v>
      </c>
      <c r="B272" s="3" t="s">
        <v>1258</v>
      </c>
      <c r="C272" s="3" t="s">
        <v>573</v>
      </c>
      <c r="D272" s="3" t="str">
        <f t="shared" si="34"/>
        <v>13-Jan-2024</v>
      </c>
      <c r="E272" s="3" t="str">
        <f t="shared" si="35"/>
        <v>01-Dec-2024</v>
      </c>
      <c r="F272" s="3">
        <f t="shared" si="36"/>
        <v>-323</v>
      </c>
      <c r="G272" s="3" t="s">
        <v>1400</v>
      </c>
      <c r="H272" s="3" t="s">
        <v>115</v>
      </c>
      <c r="I272" s="3" t="s">
        <v>116</v>
      </c>
      <c r="J272" s="3" t="s">
        <v>35</v>
      </c>
      <c r="K272" s="3" t="s">
        <v>182</v>
      </c>
      <c r="L272" s="3" t="s">
        <v>183</v>
      </c>
      <c r="M272" s="3" t="s">
        <v>94</v>
      </c>
      <c r="N272" s="3" t="s">
        <v>391</v>
      </c>
      <c r="O272" s="3" t="s">
        <v>1401</v>
      </c>
      <c r="P272" s="3" t="s">
        <v>56</v>
      </c>
      <c r="Q272" s="3">
        <v>3</v>
      </c>
      <c r="R272" s="3">
        <v>827.44</v>
      </c>
      <c r="S272" s="3">
        <v>0</v>
      </c>
      <c r="T272" s="3">
        <v>2482.3200000000002</v>
      </c>
      <c r="U272" s="3">
        <v>1520.21</v>
      </c>
      <c r="V272" s="3">
        <v>962.11</v>
      </c>
      <c r="W272" s="3" t="s">
        <v>42</v>
      </c>
      <c r="X272" s="3" t="s">
        <v>43</v>
      </c>
      <c r="Y272" s="2" t="str">
        <f t="shared" si="37"/>
        <v>Unique</v>
      </c>
      <c r="AA272" s="2" t="str">
        <f t="shared" si="38"/>
        <v>Clean</v>
      </c>
      <c r="AB272" s="2" t="str">
        <f t="shared" si="39"/>
        <v>Invalid</v>
      </c>
      <c r="AC272">
        <f t="shared" si="40"/>
        <v>0</v>
      </c>
      <c r="AD272">
        <f t="shared" si="41"/>
        <v>2482.3200000000002</v>
      </c>
      <c r="AE272">
        <f t="shared" si="42"/>
        <v>962.11000000000013</v>
      </c>
      <c r="AF272">
        <f t="shared" si="43"/>
        <v>0.38758500112797706</v>
      </c>
      <c r="AG272" t="str">
        <f t="shared" si="44"/>
        <v>December</v>
      </c>
      <c r="AH272">
        <f t="shared" si="45"/>
        <v>2024</v>
      </c>
      <c r="AI272" t="str">
        <f t="shared" si="46"/>
        <v>Clean</v>
      </c>
    </row>
    <row r="273" spans="1:35" ht="15.75" customHeight="1">
      <c r="A273" s="3" t="s">
        <v>1402</v>
      </c>
      <c r="B273" s="3" t="s">
        <v>1403</v>
      </c>
      <c r="C273" s="3" t="s">
        <v>1404</v>
      </c>
      <c r="D273" s="3" t="str">
        <f t="shared" si="34"/>
        <v>25-Dec-2024</v>
      </c>
      <c r="E273" s="3" t="str">
        <f t="shared" si="35"/>
        <v>21-Dec-2024</v>
      </c>
      <c r="F273" s="3">
        <f t="shared" si="36"/>
        <v>4</v>
      </c>
      <c r="G273" s="3" t="s">
        <v>1405</v>
      </c>
      <c r="H273" s="3" t="s">
        <v>115</v>
      </c>
      <c r="I273" s="3" t="s">
        <v>34</v>
      </c>
      <c r="J273" s="3" t="s">
        <v>70</v>
      </c>
      <c r="K273" s="3" t="s">
        <v>71</v>
      </c>
      <c r="L273" s="3" t="s">
        <v>72</v>
      </c>
      <c r="M273" s="3" t="s">
        <v>38</v>
      </c>
      <c r="N273" s="3" t="s">
        <v>206</v>
      </c>
      <c r="O273" s="3" t="s">
        <v>1406</v>
      </c>
      <c r="P273" s="3" t="s">
        <v>75</v>
      </c>
      <c r="Q273" s="3">
        <v>7</v>
      </c>
      <c r="R273" s="3">
        <v>1667.75</v>
      </c>
      <c r="S273" s="3">
        <v>0</v>
      </c>
      <c r="T273" s="3">
        <v>11674.25</v>
      </c>
      <c r="U273" s="3">
        <v>9621.19</v>
      </c>
      <c r="V273" s="3">
        <v>2053.06</v>
      </c>
      <c r="W273" s="3" t="s">
        <v>208</v>
      </c>
      <c r="X273" s="3" t="s">
        <v>86</v>
      </c>
      <c r="Y273" s="2" t="str">
        <f t="shared" si="37"/>
        <v>Unique</v>
      </c>
      <c r="AA273" s="2" t="str">
        <f t="shared" si="38"/>
        <v>Clean</v>
      </c>
      <c r="AB273" s="2" t="str">
        <f t="shared" si="39"/>
        <v>valid</v>
      </c>
      <c r="AC273">
        <f t="shared" si="40"/>
        <v>0</v>
      </c>
      <c r="AD273">
        <f t="shared" si="41"/>
        <v>11674.25</v>
      </c>
      <c r="AE273">
        <f t="shared" si="42"/>
        <v>2053.0599999999995</v>
      </c>
      <c r="AF273">
        <f t="shared" si="43"/>
        <v>0.17586226095894808</v>
      </c>
      <c r="AG273" t="str">
        <f t="shared" si="44"/>
        <v>December</v>
      </c>
      <c r="AH273">
        <f t="shared" si="45"/>
        <v>2024</v>
      </c>
      <c r="AI273" t="str">
        <f t="shared" si="46"/>
        <v>Warning</v>
      </c>
    </row>
    <row r="274" spans="1:35" ht="15.75" customHeight="1">
      <c r="A274" s="3" t="s">
        <v>1407</v>
      </c>
      <c r="B274" s="3" t="s">
        <v>1408</v>
      </c>
      <c r="C274" s="3" t="s">
        <v>1409</v>
      </c>
      <c r="D274" s="3" t="str">
        <f t="shared" si="34"/>
        <v>24-Aug-2024</v>
      </c>
      <c r="E274" s="3" t="str">
        <f t="shared" si="35"/>
        <v>18-Aug-2024</v>
      </c>
      <c r="F274" s="3">
        <f t="shared" si="36"/>
        <v>6</v>
      </c>
      <c r="G274" s="3" t="s">
        <v>1410</v>
      </c>
      <c r="H274" s="3" t="s">
        <v>69</v>
      </c>
      <c r="I274" s="3" t="s">
        <v>34</v>
      </c>
      <c r="J274" s="3" t="s">
        <v>70</v>
      </c>
      <c r="K274" s="3" t="s">
        <v>108</v>
      </c>
      <c r="L274" s="3" t="s">
        <v>109</v>
      </c>
      <c r="M274" s="3" t="s">
        <v>53</v>
      </c>
      <c r="N274" s="3" t="s">
        <v>84</v>
      </c>
      <c r="O274" s="3" t="s">
        <v>1411</v>
      </c>
      <c r="P274" s="3" t="s">
        <v>64</v>
      </c>
      <c r="Q274" s="3">
        <v>7</v>
      </c>
      <c r="R274" s="3">
        <v>557.21</v>
      </c>
      <c r="S274" s="3">
        <v>0.1</v>
      </c>
      <c r="T274" s="3">
        <v>3510.42</v>
      </c>
      <c r="U274" s="3">
        <v>2191.5</v>
      </c>
      <c r="V274" s="3">
        <v>1213.48</v>
      </c>
      <c r="W274" s="3" t="s">
        <v>42</v>
      </c>
      <c r="X274" s="3" t="s">
        <v>43</v>
      </c>
      <c r="Y274" s="2" t="str">
        <f t="shared" si="37"/>
        <v>Duplicate Order ID</v>
      </c>
      <c r="Z274" s="5" t="s">
        <v>722</v>
      </c>
      <c r="AA274" s="2" t="str">
        <f t="shared" si="38"/>
        <v>Clean</v>
      </c>
      <c r="AB274" s="2" t="str">
        <f t="shared" si="39"/>
        <v>valid</v>
      </c>
      <c r="AC274">
        <f t="shared" si="40"/>
        <v>0.1</v>
      </c>
      <c r="AD274">
        <f t="shared" si="41"/>
        <v>3510.4230000000002</v>
      </c>
      <c r="AE274">
        <f t="shared" si="42"/>
        <v>1318.9230000000002</v>
      </c>
      <c r="AF274">
        <f t="shared" si="43"/>
        <v>0.37571625983535323</v>
      </c>
      <c r="AG274" t="str">
        <f t="shared" si="44"/>
        <v>August</v>
      </c>
      <c r="AH274">
        <f t="shared" si="45"/>
        <v>2024</v>
      </c>
      <c r="AI274" t="str">
        <f t="shared" si="46"/>
        <v>Clean</v>
      </c>
    </row>
    <row r="275" spans="1:35" ht="15.75" customHeight="1">
      <c r="A275" s="3" t="s">
        <v>1412</v>
      </c>
      <c r="B275" s="3" t="s">
        <v>1413</v>
      </c>
      <c r="C275" s="3" t="s">
        <v>1414</v>
      </c>
      <c r="D275" s="3" t="str">
        <f t="shared" si="34"/>
        <v>13-Feb-2025</v>
      </c>
      <c r="E275" s="3" t="str">
        <f t="shared" si="35"/>
        <v>13-Feb-2025</v>
      </c>
      <c r="F275" s="3">
        <f t="shared" si="36"/>
        <v>0</v>
      </c>
      <c r="G275" s="3" t="s">
        <v>1415</v>
      </c>
      <c r="H275" s="3" t="s">
        <v>61</v>
      </c>
      <c r="I275" s="3" t="s">
        <v>34</v>
      </c>
      <c r="J275" s="3" t="s">
        <v>50</v>
      </c>
      <c r="K275" s="3" t="s">
        <v>194</v>
      </c>
      <c r="L275" s="3" t="s">
        <v>195</v>
      </c>
      <c r="M275" s="3" t="s">
        <v>38</v>
      </c>
      <c r="N275" s="3" t="s">
        <v>39</v>
      </c>
      <c r="O275" s="3" t="s">
        <v>1416</v>
      </c>
      <c r="P275" s="3" t="s">
        <v>41</v>
      </c>
      <c r="Q275" s="3">
        <v>9</v>
      </c>
      <c r="R275" s="3">
        <v>2521.63</v>
      </c>
      <c r="S275" s="3">
        <v>0</v>
      </c>
      <c r="T275" s="3">
        <v>22694.67</v>
      </c>
      <c r="U275" s="3">
        <v>15405.36</v>
      </c>
      <c r="V275" s="3">
        <v>7289.31</v>
      </c>
      <c r="W275" s="3" t="s">
        <v>42</v>
      </c>
      <c r="X275" s="3" t="s">
        <v>133</v>
      </c>
      <c r="Y275" s="2" t="str">
        <f t="shared" si="37"/>
        <v>Unique</v>
      </c>
      <c r="AA275" s="2" t="str">
        <f t="shared" si="38"/>
        <v>Clean</v>
      </c>
      <c r="AB275" s="2" t="str">
        <f t="shared" si="39"/>
        <v>valid</v>
      </c>
      <c r="AC275">
        <f t="shared" si="40"/>
        <v>0</v>
      </c>
      <c r="AD275">
        <f t="shared" si="41"/>
        <v>22694.670000000002</v>
      </c>
      <c r="AE275">
        <f t="shared" si="42"/>
        <v>7289.3100000000013</v>
      </c>
      <c r="AF275">
        <f t="shared" si="43"/>
        <v>0.32119039404406413</v>
      </c>
      <c r="AG275" t="str">
        <f t="shared" si="44"/>
        <v>February</v>
      </c>
      <c r="AH275">
        <f t="shared" si="45"/>
        <v>2025</v>
      </c>
      <c r="AI275" t="str">
        <f t="shared" si="46"/>
        <v>Clean</v>
      </c>
    </row>
    <row r="276" spans="1:35" ht="15.75" customHeight="1">
      <c r="A276" s="3" t="s">
        <v>1417</v>
      </c>
      <c r="B276" s="3" t="s">
        <v>1418</v>
      </c>
      <c r="C276" s="3" t="s">
        <v>1419</v>
      </c>
      <c r="D276" s="3" t="str">
        <f t="shared" si="34"/>
        <v>14-Apr-2024</v>
      </c>
      <c r="E276" s="3" t="str">
        <f t="shared" si="35"/>
        <v>07-Apr-2024</v>
      </c>
      <c r="F276" s="3">
        <f t="shared" si="36"/>
        <v>7</v>
      </c>
      <c r="G276" s="3" t="s">
        <v>1420</v>
      </c>
      <c r="H276" s="3" t="s">
        <v>188</v>
      </c>
      <c r="I276" s="3" t="s">
        <v>34</v>
      </c>
      <c r="J276" s="3" t="s">
        <v>70</v>
      </c>
      <c r="K276" s="3" t="s">
        <v>250</v>
      </c>
      <c r="L276" s="3" t="s">
        <v>251</v>
      </c>
      <c r="M276" s="3" t="s">
        <v>94</v>
      </c>
      <c r="N276" s="3" t="s">
        <v>102</v>
      </c>
      <c r="O276" s="3" t="s">
        <v>1421</v>
      </c>
      <c r="P276" s="3" t="s">
        <v>75</v>
      </c>
      <c r="Q276" s="3">
        <v>6</v>
      </c>
      <c r="R276" s="3">
        <v>4246.71</v>
      </c>
      <c r="S276" s="3">
        <v>0.15</v>
      </c>
      <c r="T276" s="3">
        <v>21658.22</v>
      </c>
      <c r="U276" s="3">
        <v>15490.69</v>
      </c>
      <c r="V276" s="3">
        <v>6167.53</v>
      </c>
      <c r="W276" s="3" t="s">
        <v>208</v>
      </c>
      <c r="X276" s="3" t="s">
        <v>133</v>
      </c>
      <c r="Y276" s="2" t="str">
        <f t="shared" si="37"/>
        <v>Unique</v>
      </c>
      <c r="AA276" s="2" t="str">
        <f t="shared" si="38"/>
        <v>Clean</v>
      </c>
      <c r="AB276" s="2" t="str">
        <f t="shared" si="39"/>
        <v>valid</v>
      </c>
      <c r="AC276">
        <f t="shared" si="40"/>
        <v>0.15</v>
      </c>
      <c r="AD276">
        <f t="shared" si="41"/>
        <v>21658.221000000001</v>
      </c>
      <c r="AE276">
        <f t="shared" si="42"/>
        <v>6167.5310000000009</v>
      </c>
      <c r="AF276">
        <f t="shared" si="43"/>
        <v>0.28476627881856043</v>
      </c>
      <c r="AG276" t="str">
        <f t="shared" si="44"/>
        <v>April</v>
      </c>
      <c r="AH276">
        <f t="shared" si="45"/>
        <v>2024</v>
      </c>
      <c r="AI276" t="str">
        <f t="shared" si="46"/>
        <v>Warning</v>
      </c>
    </row>
    <row r="277" spans="1:35" ht="15.75" customHeight="1">
      <c r="A277" s="3" t="s">
        <v>1422</v>
      </c>
      <c r="B277" s="3" t="s">
        <v>687</v>
      </c>
      <c r="C277" s="3" t="s">
        <v>1423</v>
      </c>
      <c r="D277" s="3" t="str">
        <f t="shared" si="34"/>
        <v>22-Feb-2024</v>
      </c>
      <c r="E277" s="3" t="str">
        <f t="shared" si="35"/>
        <v>15-Feb-2024</v>
      </c>
      <c r="F277" s="3">
        <f t="shared" si="36"/>
        <v>7</v>
      </c>
      <c r="G277" s="3" t="s">
        <v>1424</v>
      </c>
      <c r="H277" s="3" t="s">
        <v>150</v>
      </c>
      <c r="I277" s="3" t="s">
        <v>49</v>
      </c>
      <c r="J277" s="3" t="s">
        <v>50</v>
      </c>
      <c r="K277" s="3" t="s">
        <v>129</v>
      </c>
      <c r="L277" s="3" t="s">
        <v>130</v>
      </c>
      <c r="M277" s="3" t="s">
        <v>53</v>
      </c>
      <c r="N277" s="3" t="s">
        <v>73</v>
      </c>
      <c r="O277" s="3" t="s">
        <v>1425</v>
      </c>
      <c r="P277" s="3" t="s">
        <v>56</v>
      </c>
      <c r="Q277" s="3">
        <v>1</v>
      </c>
      <c r="R277" s="3">
        <v>980.51</v>
      </c>
      <c r="S277" s="3">
        <v>0</v>
      </c>
      <c r="T277" s="3">
        <v>980.51</v>
      </c>
      <c r="U277" s="3">
        <v>660.92</v>
      </c>
      <c r="V277" s="3">
        <v>319.58999999999997</v>
      </c>
      <c r="W277" s="3" t="s">
        <v>42</v>
      </c>
      <c r="X277" s="3" t="s">
        <v>43</v>
      </c>
      <c r="Y277" s="2" t="str">
        <f t="shared" si="37"/>
        <v>Unique</v>
      </c>
      <c r="AA277" s="2" t="str">
        <f t="shared" si="38"/>
        <v>Clean</v>
      </c>
      <c r="AB277" s="2" t="str">
        <f t="shared" si="39"/>
        <v>valid</v>
      </c>
      <c r="AC277">
        <f t="shared" si="40"/>
        <v>0</v>
      </c>
      <c r="AD277">
        <f t="shared" si="41"/>
        <v>980.51</v>
      </c>
      <c r="AE277">
        <f t="shared" si="42"/>
        <v>319.59000000000003</v>
      </c>
      <c r="AF277">
        <f t="shared" si="43"/>
        <v>0.32594262169687205</v>
      </c>
      <c r="AG277" t="str">
        <f t="shared" si="44"/>
        <v>February</v>
      </c>
      <c r="AH277">
        <f t="shared" si="45"/>
        <v>2024</v>
      </c>
      <c r="AI277" t="str">
        <f t="shared" si="46"/>
        <v>Clean</v>
      </c>
    </row>
    <row r="278" spans="1:35" ht="15.75" customHeight="1">
      <c r="A278" s="3" t="s">
        <v>1426</v>
      </c>
      <c r="B278" s="3" t="s">
        <v>1061</v>
      </c>
      <c r="C278" s="3" t="s">
        <v>1427</v>
      </c>
      <c r="D278" s="3" t="str">
        <f t="shared" si="34"/>
        <v>23-Jan-2024</v>
      </c>
      <c r="E278" s="3" t="str">
        <f t="shared" si="35"/>
        <v>22-Jan-2024</v>
      </c>
      <c r="F278" s="3">
        <f t="shared" si="36"/>
        <v>1</v>
      </c>
      <c r="G278" s="3" t="s">
        <v>1428</v>
      </c>
      <c r="H278" s="3" t="s">
        <v>170</v>
      </c>
      <c r="I278" s="3" t="s">
        <v>49</v>
      </c>
      <c r="J278" s="3" t="s">
        <v>280</v>
      </c>
      <c r="K278" s="3" t="s">
        <v>224</v>
      </c>
      <c r="L278" s="3" t="s">
        <v>225</v>
      </c>
      <c r="M278" s="3" t="s">
        <v>53</v>
      </c>
      <c r="N278" s="3" t="s">
        <v>84</v>
      </c>
      <c r="O278" s="3" t="s">
        <v>1429</v>
      </c>
      <c r="P278" s="3" t="s">
        <v>41</v>
      </c>
      <c r="Q278" s="3">
        <v>6</v>
      </c>
      <c r="R278" s="3">
        <v>3391.53</v>
      </c>
      <c r="S278" s="3">
        <v>-0.14000000000000001</v>
      </c>
      <c r="T278" s="3">
        <v>15261.89</v>
      </c>
      <c r="U278" s="3">
        <v>8413.5300000000007</v>
      </c>
      <c r="V278" s="3">
        <v>6848.36</v>
      </c>
      <c r="W278" s="3" t="s">
        <v>42</v>
      </c>
      <c r="X278" s="3" t="s">
        <v>43</v>
      </c>
      <c r="Y278" s="2" t="str">
        <f t="shared" si="37"/>
        <v>Unique</v>
      </c>
      <c r="AA278" s="2" t="str">
        <f t="shared" si="38"/>
        <v>Invalid</v>
      </c>
      <c r="AB278" s="2" t="str">
        <f t="shared" si="39"/>
        <v>valid</v>
      </c>
      <c r="AC278">
        <f t="shared" si="40"/>
        <v>-0.14000000000000001</v>
      </c>
      <c r="AD278">
        <f t="shared" si="41"/>
        <v>23198.065200000005</v>
      </c>
      <c r="AE278">
        <f t="shared" si="42"/>
        <v>14784.535200000004</v>
      </c>
      <c r="AF278">
        <f t="shared" si="43"/>
        <v>0.63731759836591895</v>
      </c>
      <c r="AG278" t="str">
        <f t="shared" si="44"/>
        <v>January</v>
      </c>
      <c r="AH278">
        <f t="shared" si="45"/>
        <v>2024</v>
      </c>
      <c r="AI278" t="str">
        <f t="shared" si="46"/>
        <v>Invalid</v>
      </c>
    </row>
    <row r="279" spans="1:35" ht="15.75" customHeight="1">
      <c r="A279" s="3" t="s">
        <v>1430</v>
      </c>
      <c r="B279" s="3" t="s">
        <v>1431</v>
      </c>
      <c r="C279" s="3" t="s">
        <v>1431</v>
      </c>
      <c r="D279" s="3" t="str">
        <f t="shared" si="34"/>
        <v>04-Jun-2025</v>
      </c>
      <c r="E279" s="3" t="str">
        <f t="shared" si="35"/>
        <v>04-Jun-2025</v>
      </c>
      <c r="F279" s="3">
        <f t="shared" si="36"/>
        <v>0</v>
      </c>
      <c r="G279" s="3" t="s">
        <v>1208</v>
      </c>
      <c r="H279" s="3" t="s">
        <v>61</v>
      </c>
      <c r="I279" s="3" t="s">
        <v>116</v>
      </c>
      <c r="J279" s="3" t="s">
        <v>35</v>
      </c>
      <c r="K279" s="3" t="s">
        <v>331</v>
      </c>
      <c r="L279" s="3" t="s">
        <v>332</v>
      </c>
      <c r="M279" s="3" t="s">
        <v>94</v>
      </c>
      <c r="N279" s="3" t="s">
        <v>95</v>
      </c>
      <c r="O279" s="3" t="s">
        <v>1432</v>
      </c>
      <c r="P279" s="3" t="s">
        <v>41</v>
      </c>
      <c r="Q279" s="3">
        <v>1</v>
      </c>
      <c r="R279" s="3">
        <v>2133.73</v>
      </c>
      <c r="S279" s="3">
        <v>0.15</v>
      </c>
      <c r="T279" s="3">
        <v>2008.39</v>
      </c>
      <c r="U279" s="3">
        <v>1002.57</v>
      </c>
      <c r="V279" s="3">
        <v>811.1</v>
      </c>
      <c r="W279" s="3" t="s">
        <v>145</v>
      </c>
      <c r="X279" s="3" t="s">
        <v>86</v>
      </c>
      <c r="Y279" s="2" t="str">
        <f t="shared" si="37"/>
        <v>Unique</v>
      </c>
      <c r="AA279" s="2" t="str">
        <f t="shared" si="38"/>
        <v>Clean</v>
      </c>
      <c r="AB279" s="2" t="str">
        <f t="shared" si="39"/>
        <v>valid</v>
      </c>
      <c r="AC279">
        <f t="shared" si="40"/>
        <v>0.15</v>
      </c>
      <c r="AD279">
        <f t="shared" si="41"/>
        <v>1813.6704999999999</v>
      </c>
      <c r="AE279">
        <f t="shared" si="42"/>
        <v>811.1004999999999</v>
      </c>
      <c r="AF279">
        <f t="shared" si="43"/>
        <v>0.4472149158295291</v>
      </c>
      <c r="AG279" t="str">
        <f t="shared" si="44"/>
        <v>June</v>
      </c>
      <c r="AH279">
        <f t="shared" si="45"/>
        <v>2025</v>
      </c>
      <c r="AI279" t="str">
        <f t="shared" si="46"/>
        <v>Warning</v>
      </c>
    </row>
    <row r="280" spans="1:35" ht="15.75" customHeight="1">
      <c r="A280" s="3" t="s">
        <v>1433</v>
      </c>
      <c r="B280" s="3" t="s">
        <v>795</v>
      </c>
      <c r="C280" s="3" t="s">
        <v>1434</v>
      </c>
      <c r="D280" s="3" t="str">
        <f t="shared" si="34"/>
        <v>14-Mar-2025</v>
      </c>
      <c r="E280" s="3" t="str">
        <f t="shared" si="35"/>
        <v>07-Mar-2025</v>
      </c>
      <c r="F280" s="3">
        <f t="shared" si="36"/>
        <v>7</v>
      </c>
      <c r="G280" s="3" t="s">
        <v>1435</v>
      </c>
      <c r="H280" s="3" t="s">
        <v>1436</v>
      </c>
      <c r="I280" s="3" t="s">
        <v>49</v>
      </c>
      <c r="J280" s="3" t="s">
        <v>35</v>
      </c>
      <c r="K280" s="3" t="s">
        <v>515</v>
      </c>
      <c r="L280" s="3" t="s">
        <v>516</v>
      </c>
      <c r="M280" s="3" t="s">
        <v>94</v>
      </c>
      <c r="N280" s="3" t="s">
        <v>95</v>
      </c>
      <c r="O280" s="3" t="s">
        <v>1437</v>
      </c>
      <c r="P280" s="3" t="s">
        <v>56</v>
      </c>
      <c r="Q280" s="3">
        <v>1</v>
      </c>
      <c r="R280" s="3">
        <v>3979.64</v>
      </c>
      <c r="S280" s="3">
        <v>0.05</v>
      </c>
      <c r="T280" s="3">
        <v>3780.66</v>
      </c>
      <c r="U280" s="3">
        <v>2148.31</v>
      </c>
      <c r="V280" s="3">
        <v>1632.35</v>
      </c>
      <c r="W280" s="3" t="s">
        <v>42</v>
      </c>
      <c r="X280" s="3" t="s">
        <v>133</v>
      </c>
      <c r="Y280" s="2" t="str">
        <f t="shared" si="37"/>
        <v>Unique</v>
      </c>
      <c r="AA280" s="2" t="str">
        <f t="shared" si="38"/>
        <v>Clean</v>
      </c>
      <c r="AB280" s="2" t="str">
        <f t="shared" si="39"/>
        <v>valid</v>
      </c>
      <c r="AC280">
        <f t="shared" si="40"/>
        <v>0.05</v>
      </c>
      <c r="AD280">
        <f t="shared" si="41"/>
        <v>3780.6579999999999</v>
      </c>
      <c r="AE280">
        <f t="shared" si="42"/>
        <v>1632.348</v>
      </c>
      <c r="AF280">
        <f t="shared" si="43"/>
        <v>0.43176293650470365</v>
      </c>
      <c r="AG280" t="str">
        <f t="shared" si="44"/>
        <v>March</v>
      </c>
      <c r="AH280">
        <f t="shared" si="45"/>
        <v>2025</v>
      </c>
      <c r="AI280" t="str">
        <f t="shared" si="46"/>
        <v>Clean</v>
      </c>
    </row>
    <row r="281" spans="1:35" ht="15.75" customHeight="1">
      <c r="A281" s="3" t="s">
        <v>1438</v>
      </c>
      <c r="B281" s="3" t="s">
        <v>1439</v>
      </c>
      <c r="C281" s="3" t="s">
        <v>1440</v>
      </c>
      <c r="D281" s="3" t="str">
        <f t="shared" si="34"/>
        <v>10-Apr-2024</v>
      </c>
      <c r="E281" s="3" t="str">
        <f t="shared" si="35"/>
        <v>04-Sep-2024</v>
      </c>
      <c r="F281" s="3">
        <f t="shared" si="36"/>
        <v>-147</v>
      </c>
      <c r="G281" s="3" t="s">
        <v>1441</v>
      </c>
      <c r="H281" s="3" t="s">
        <v>188</v>
      </c>
      <c r="I281" s="3" t="s">
        <v>49</v>
      </c>
      <c r="J281" s="3" t="s">
        <v>81</v>
      </c>
      <c r="K281" s="3" t="s">
        <v>82</v>
      </c>
      <c r="L281" s="3" t="s">
        <v>83</v>
      </c>
      <c r="M281" s="3" t="s">
        <v>38</v>
      </c>
      <c r="N281" s="3" t="s">
        <v>164</v>
      </c>
      <c r="O281" s="3" t="s">
        <v>1442</v>
      </c>
      <c r="P281" s="3" t="s">
        <v>64</v>
      </c>
      <c r="Q281" s="3">
        <v>1</v>
      </c>
      <c r="R281" s="3">
        <v>4359.12</v>
      </c>
      <c r="S281" s="3">
        <v>0.05</v>
      </c>
      <c r="T281" s="3">
        <v>4141.16</v>
      </c>
      <c r="U281" s="3">
        <v>2754.17</v>
      </c>
      <c r="V281" s="3">
        <v>1386.99</v>
      </c>
      <c r="W281" s="3" t="s">
        <v>42</v>
      </c>
      <c r="X281" s="3" t="s">
        <v>43</v>
      </c>
      <c r="Y281" s="2" t="str">
        <f t="shared" si="37"/>
        <v>Unique</v>
      </c>
      <c r="AA281" s="2" t="str">
        <f t="shared" si="38"/>
        <v>Clean</v>
      </c>
      <c r="AB281" s="2" t="str">
        <f t="shared" si="39"/>
        <v>Invalid</v>
      </c>
      <c r="AC281">
        <f t="shared" si="40"/>
        <v>0.05</v>
      </c>
      <c r="AD281">
        <f t="shared" si="41"/>
        <v>4141.1639999999998</v>
      </c>
      <c r="AE281">
        <f t="shared" si="42"/>
        <v>1386.9939999999997</v>
      </c>
      <c r="AF281">
        <f t="shared" si="43"/>
        <v>0.33492853700070796</v>
      </c>
      <c r="AG281" t="str">
        <f t="shared" si="44"/>
        <v>September</v>
      </c>
      <c r="AH281">
        <f t="shared" si="45"/>
        <v>2024</v>
      </c>
      <c r="AI281" t="str">
        <f t="shared" si="46"/>
        <v>Clean</v>
      </c>
    </row>
    <row r="282" spans="1:35" ht="15.75" customHeight="1">
      <c r="A282" s="3" t="s">
        <v>1443</v>
      </c>
      <c r="B282" s="3" t="s">
        <v>1444</v>
      </c>
      <c r="C282" s="3" t="s">
        <v>1445</v>
      </c>
      <c r="D282" s="3" t="str">
        <f t="shared" si="34"/>
        <v>26-Dec-2024</v>
      </c>
      <c r="E282" s="3" t="str">
        <f t="shared" si="35"/>
        <v>23-Dec-2024</v>
      </c>
      <c r="F282" s="3">
        <f t="shared" si="36"/>
        <v>3</v>
      </c>
      <c r="G282" s="3" t="s">
        <v>1446</v>
      </c>
      <c r="H282" s="3" t="s">
        <v>115</v>
      </c>
      <c r="I282" s="3" t="s">
        <v>34</v>
      </c>
      <c r="J282" s="3" t="s">
        <v>70</v>
      </c>
      <c r="K282" s="3" t="s">
        <v>237</v>
      </c>
      <c r="L282" s="3" t="s">
        <v>238</v>
      </c>
      <c r="M282" s="3" t="s">
        <v>94</v>
      </c>
      <c r="N282" s="3" t="s">
        <v>102</v>
      </c>
      <c r="O282" s="3" t="s">
        <v>1447</v>
      </c>
      <c r="P282" s="3" t="s">
        <v>75</v>
      </c>
      <c r="Q282" s="3">
        <v>9</v>
      </c>
      <c r="R282" s="3">
        <v>993.67</v>
      </c>
      <c r="S282" s="3">
        <v>0</v>
      </c>
      <c r="T282" s="3">
        <v>8943.0300000000007</v>
      </c>
      <c r="U282" s="3">
        <v>5165.38</v>
      </c>
      <c r="V282" s="3">
        <v>3777.65</v>
      </c>
      <c r="W282" s="3" t="s">
        <v>42</v>
      </c>
      <c r="X282" s="3" t="s">
        <v>43</v>
      </c>
      <c r="Y282" s="2" t="str">
        <f t="shared" si="37"/>
        <v>Unique</v>
      </c>
      <c r="AA282" s="2" t="str">
        <f t="shared" si="38"/>
        <v>Clean</v>
      </c>
      <c r="AB282" s="2" t="str">
        <f t="shared" si="39"/>
        <v>valid</v>
      </c>
      <c r="AC282">
        <f t="shared" si="40"/>
        <v>0</v>
      </c>
      <c r="AD282">
        <f t="shared" si="41"/>
        <v>8943.0299999999988</v>
      </c>
      <c r="AE282">
        <f t="shared" si="42"/>
        <v>3777.6499999999987</v>
      </c>
      <c r="AF282">
        <f t="shared" si="43"/>
        <v>0.42241276167026154</v>
      </c>
      <c r="AG282" t="str">
        <f t="shared" si="44"/>
        <v>December</v>
      </c>
      <c r="AH282">
        <f t="shared" si="45"/>
        <v>2024</v>
      </c>
      <c r="AI282" t="str">
        <f t="shared" si="46"/>
        <v>Clean</v>
      </c>
    </row>
    <row r="283" spans="1:35" ht="15.75" customHeight="1">
      <c r="A283" s="3" t="s">
        <v>1448</v>
      </c>
      <c r="B283" s="3" t="s">
        <v>1449</v>
      </c>
      <c r="C283" s="3" t="s">
        <v>1450</v>
      </c>
      <c r="D283" s="3" t="str">
        <f t="shared" si="34"/>
        <v>27-Jul-2025</v>
      </c>
      <c r="E283" s="3" t="str">
        <f t="shared" si="35"/>
        <v>25-Jul-2025</v>
      </c>
      <c r="F283" s="3">
        <f t="shared" si="36"/>
        <v>2</v>
      </c>
      <c r="G283" s="3" t="s">
        <v>1451</v>
      </c>
      <c r="H283" s="3" t="s">
        <v>375</v>
      </c>
      <c r="I283" s="3" t="s">
        <v>34</v>
      </c>
      <c r="J283" s="3" t="s">
        <v>50</v>
      </c>
      <c r="K283" s="3" t="s">
        <v>319</v>
      </c>
      <c r="L283" s="3" t="s">
        <v>320</v>
      </c>
      <c r="M283" s="3" t="s">
        <v>38</v>
      </c>
      <c r="N283" s="3" t="s">
        <v>206</v>
      </c>
      <c r="O283" s="3" t="s">
        <v>1452</v>
      </c>
      <c r="P283" s="3" t="s">
        <v>41</v>
      </c>
      <c r="Q283" s="3">
        <v>6</v>
      </c>
      <c r="R283" s="3">
        <v>3438.38</v>
      </c>
      <c r="S283" s="3">
        <v>0.2</v>
      </c>
      <c r="T283" s="3">
        <v>16504.22</v>
      </c>
      <c r="U283" s="3">
        <v>11262.71</v>
      </c>
      <c r="V283" s="3">
        <v>5241.51</v>
      </c>
      <c r="W283" s="3" t="s">
        <v>42</v>
      </c>
      <c r="X283" s="3" t="s">
        <v>43</v>
      </c>
      <c r="Y283" s="2" t="str">
        <f t="shared" si="37"/>
        <v>Unique</v>
      </c>
      <c r="AA283" s="2" t="str">
        <f t="shared" si="38"/>
        <v>Clean</v>
      </c>
      <c r="AB283" s="2" t="str">
        <f t="shared" si="39"/>
        <v>valid</v>
      </c>
      <c r="AC283">
        <f t="shared" si="40"/>
        <v>0.2</v>
      </c>
      <c r="AD283">
        <f t="shared" si="41"/>
        <v>16504.223999999998</v>
      </c>
      <c r="AE283">
        <f t="shared" si="42"/>
        <v>5241.5139999999992</v>
      </c>
      <c r="AF283">
        <f t="shared" si="43"/>
        <v>0.31758621308096641</v>
      </c>
      <c r="AG283" t="str">
        <f t="shared" si="44"/>
        <v>July</v>
      </c>
      <c r="AH283">
        <f t="shared" si="45"/>
        <v>2025</v>
      </c>
      <c r="AI283" t="str">
        <f t="shared" si="46"/>
        <v>Clean</v>
      </c>
    </row>
    <row r="284" spans="1:35" ht="15.75" customHeight="1">
      <c r="A284" s="3" t="s">
        <v>1453</v>
      </c>
      <c r="B284" s="3" t="s">
        <v>1454</v>
      </c>
      <c r="C284" s="3" t="s">
        <v>1455</v>
      </c>
      <c r="D284" s="3" t="str">
        <f t="shared" si="34"/>
        <v>10-Feb-2024</v>
      </c>
      <c r="E284" s="3" t="str">
        <f t="shared" si="35"/>
        <v>01-Oct-2024</v>
      </c>
      <c r="F284" s="3">
        <f t="shared" si="36"/>
        <v>-234</v>
      </c>
      <c r="G284" s="3" t="s">
        <v>1456</v>
      </c>
      <c r="H284" s="3" t="s">
        <v>33</v>
      </c>
      <c r="I284" s="3" t="s">
        <v>123</v>
      </c>
      <c r="J284" s="3" t="s">
        <v>50</v>
      </c>
      <c r="K284" s="3" t="s">
        <v>224</v>
      </c>
      <c r="L284" s="3" t="s">
        <v>225</v>
      </c>
      <c r="M284" s="3" t="s">
        <v>53</v>
      </c>
      <c r="N284" s="3" t="s">
        <v>54</v>
      </c>
      <c r="O284" s="3" t="s">
        <v>1457</v>
      </c>
      <c r="P284" s="3" t="s">
        <v>41</v>
      </c>
      <c r="Q284" s="3">
        <v>2</v>
      </c>
      <c r="R284" s="3">
        <v>2298</v>
      </c>
      <c r="S284" s="3">
        <v>0</v>
      </c>
      <c r="T284" s="3">
        <v>4596</v>
      </c>
      <c r="U284" s="3">
        <v>3220.33</v>
      </c>
      <c r="V284" s="3">
        <v>1375.67</v>
      </c>
      <c r="W284" s="3" t="s">
        <v>42</v>
      </c>
      <c r="X284" s="3" t="s">
        <v>43</v>
      </c>
      <c r="Y284" s="2" t="str">
        <f t="shared" si="37"/>
        <v>Unique</v>
      </c>
      <c r="AA284" s="2" t="str">
        <f t="shared" si="38"/>
        <v>Clean</v>
      </c>
      <c r="AB284" s="2" t="str">
        <f t="shared" si="39"/>
        <v>Invalid</v>
      </c>
      <c r="AC284">
        <f t="shared" si="40"/>
        <v>0</v>
      </c>
      <c r="AD284">
        <f t="shared" si="41"/>
        <v>4596</v>
      </c>
      <c r="AE284">
        <f t="shared" si="42"/>
        <v>1375.67</v>
      </c>
      <c r="AF284">
        <f t="shared" si="43"/>
        <v>0.29931897302001742</v>
      </c>
      <c r="AG284" t="str">
        <f t="shared" si="44"/>
        <v>October</v>
      </c>
      <c r="AH284">
        <f t="shared" si="45"/>
        <v>2024</v>
      </c>
      <c r="AI284" t="str">
        <f t="shared" si="46"/>
        <v>Clean</v>
      </c>
    </row>
    <row r="285" spans="1:35" ht="15.75" customHeight="1">
      <c r="A285" s="3" t="s">
        <v>1458</v>
      </c>
      <c r="B285" s="3" t="s">
        <v>1459</v>
      </c>
      <c r="C285" s="3" t="s">
        <v>1460</v>
      </c>
      <c r="D285" s="3" t="str">
        <f t="shared" si="34"/>
        <v>20-Mar-2025</v>
      </c>
      <c r="E285" s="3" t="str">
        <f t="shared" si="35"/>
        <v>13-Mar-2025</v>
      </c>
      <c r="F285" s="3">
        <f t="shared" si="36"/>
        <v>7</v>
      </c>
      <c r="G285" s="3" t="s">
        <v>1461</v>
      </c>
      <c r="H285" s="3" t="s">
        <v>91</v>
      </c>
      <c r="I285" s="3" t="s">
        <v>34</v>
      </c>
      <c r="J285" s="3" t="s">
        <v>81</v>
      </c>
      <c r="K285" s="3" t="s">
        <v>82</v>
      </c>
      <c r="L285" s="3" t="s">
        <v>83</v>
      </c>
      <c r="M285" s="3" t="s">
        <v>53</v>
      </c>
      <c r="N285" s="3" t="s">
        <v>73</v>
      </c>
      <c r="O285" s="3" t="s">
        <v>1462</v>
      </c>
      <c r="P285" s="3" t="s">
        <v>64</v>
      </c>
      <c r="Q285" s="3">
        <v>1</v>
      </c>
      <c r="R285" s="3">
        <v>1814.01</v>
      </c>
      <c r="S285" s="3">
        <v>0</v>
      </c>
      <c r="T285" s="3">
        <v>1814.01</v>
      </c>
      <c r="U285" s="3">
        <v>1033.47</v>
      </c>
      <c r="V285" s="3">
        <v>780.54</v>
      </c>
      <c r="W285" s="3" t="s">
        <v>42</v>
      </c>
      <c r="X285" s="3" t="s">
        <v>43</v>
      </c>
      <c r="Y285" s="2" t="str">
        <f t="shared" si="37"/>
        <v>Unique</v>
      </c>
      <c r="AA285" s="2" t="str">
        <f t="shared" si="38"/>
        <v>Clean</v>
      </c>
      <c r="AB285" s="2" t="str">
        <f t="shared" si="39"/>
        <v>valid</v>
      </c>
      <c r="AC285">
        <f t="shared" si="40"/>
        <v>0</v>
      </c>
      <c r="AD285">
        <f t="shared" si="41"/>
        <v>1814.01</v>
      </c>
      <c r="AE285">
        <f t="shared" si="42"/>
        <v>780.54</v>
      </c>
      <c r="AF285">
        <f t="shared" si="43"/>
        <v>0.43028428729720342</v>
      </c>
      <c r="AG285" t="str">
        <f t="shared" si="44"/>
        <v>March</v>
      </c>
      <c r="AH285">
        <f t="shared" si="45"/>
        <v>2025</v>
      </c>
      <c r="AI285" t="str">
        <f t="shared" si="46"/>
        <v>Clean</v>
      </c>
    </row>
    <row r="286" spans="1:35" ht="15.75" customHeight="1">
      <c r="A286" s="3" t="s">
        <v>1463</v>
      </c>
      <c r="B286" s="3" t="s">
        <v>1464</v>
      </c>
      <c r="C286" s="3" t="s">
        <v>1465</v>
      </c>
      <c r="D286" s="3" t="str">
        <f t="shared" si="34"/>
        <v>14-Dec-2024</v>
      </c>
      <c r="E286" s="3" t="str">
        <f t="shared" si="35"/>
        <v>12-Aug-2024</v>
      </c>
      <c r="F286" s="3">
        <f t="shared" si="36"/>
        <v>124</v>
      </c>
      <c r="G286" s="3" t="s">
        <v>1466</v>
      </c>
      <c r="H286" s="3" t="s">
        <v>33</v>
      </c>
      <c r="I286" s="3" t="s">
        <v>34</v>
      </c>
      <c r="J286" s="3" t="s">
        <v>50</v>
      </c>
      <c r="K286" s="3" t="s">
        <v>51</v>
      </c>
      <c r="L286" s="3" t="s">
        <v>52</v>
      </c>
      <c r="M286" s="3" t="s">
        <v>53</v>
      </c>
      <c r="N286" s="3" t="s">
        <v>54</v>
      </c>
      <c r="O286" s="3" t="s">
        <v>1467</v>
      </c>
      <c r="P286" s="3" t="s">
        <v>56</v>
      </c>
      <c r="Q286" s="3">
        <v>3</v>
      </c>
      <c r="R286" s="3">
        <v>1576.92</v>
      </c>
      <c r="S286" s="3">
        <v>0</v>
      </c>
      <c r="T286" s="3">
        <v>4730.76</v>
      </c>
      <c r="U286" s="3">
        <v>3139.73</v>
      </c>
      <c r="V286" s="3">
        <v>1591.03</v>
      </c>
      <c r="W286" s="3" t="s">
        <v>42</v>
      </c>
      <c r="X286" s="3" t="s">
        <v>133</v>
      </c>
      <c r="Y286" s="2" t="str">
        <f t="shared" si="37"/>
        <v>Unique</v>
      </c>
      <c r="AA286" s="2" t="str">
        <f t="shared" si="38"/>
        <v>Clean</v>
      </c>
      <c r="AB286" s="2" t="str">
        <f t="shared" si="39"/>
        <v>valid</v>
      </c>
      <c r="AC286">
        <f t="shared" si="40"/>
        <v>0</v>
      </c>
      <c r="AD286">
        <f t="shared" si="41"/>
        <v>4730.76</v>
      </c>
      <c r="AE286">
        <f t="shared" si="42"/>
        <v>1591.0300000000002</v>
      </c>
      <c r="AF286">
        <f t="shared" si="43"/>
        <v>0.33631594077907145</v>
      </c>
      <c r="AG286" t="str">
        <f t="shared" si="44"/>
        <v>August</v>
      </c>
      <c r="AH286">
        <f t="shared" si="45"/>
        <v>2024</v>
      </c>
      <c r="AI286" t="str">
        <f t="shared" si="46"/>
        <v>Clean</v>
      </c>
    </row>
    <row r="287" spans="1:35" ht="15.75" customHeight="1">
      <c r="A287" s="3" t="s">
        <v>1468</v>
      </c>
      <c r="B287" s="3" t="s">
        <v>1469</v>
      </c>
      <c r="C287" s="3" t="s">
        <v>1470</v>
      </c>
      <c r="D287" s="3" t="str">
        <f t="shared" si="34"/>
        <v>20-Aug-2025</v>
      </c>
      <c r="E287" s="3" t="str">
        <f t="shared" si="35"/>
        <v>15-Aug-2025</v>
      </c>
      <c r="F287" s="3">
        <f t="shared" si="36"/>
        <v>5</v>
      </c>
      <c r="G287" s="3" t="s">
        <v>1471</v>
      </c>
      <c r="H287" s="3" t="s">
        <v>101</v>
      </c>
      <c r="I287" s="3" t="s">
        <v>123</v>
      </c>
      <c r="J287" s="3" t="s">
        <v>35</v>
      </c>
      <c r="K287" s="3" t="s">
        <v>36</v>
      </c>
      <c r="L287" s="3" t="s">
        <v>37</v>
      </c>
      <c r="M287" s="3" t="s">
        <v>38</v>
      </c>
      <c r="N287" s="3" t="s">
        <v>164</v>
      </c>
      <c r="O287" s="3" t="s">
        <v>1472</v>
      </c>
      <c r="P287" s="3" t="s">
        <v>75</v>
      </c>
      <c r="Q287" s="3">
        <v>9</v>
      </c>
      <c r="R287" s="3">
        <v>4081.77</v>
      </c>
      <c r="S287" s="3">
        <v>0</v>
      </c>
      <c r="T287" s="3">
        <v>36735.93</v>
      </c>
      <c r="U287" s="3">
        <v>30820.84</v>
      </c>
      <c r="V287" s="3">
        <v>5915.09</v>
      </c>
      <c r="W287" s="3" t="s">
        <v>42</v>
      </c>
      <c r="X287" s="3" t="s">
        <v>43</v>
      </c>
      <c r="Y287" s="2" t="str">
        <f t="shared" si="37"/>
        <v>Unique</v>
      </c>
      <c r="AA287" s="2" t="str">
        <f t="shared" si="38"/>
        <v>Clean</v>
      </c>
      <c r="AB287" s="2" t="str">
        <f t="shared" si="39"/>
        <v>valid</v>
      </c>
      <c r="AC287">
        <f t="shared" si="40"/>
        <v>0</v>
      </c>
      <c r="AD287">
        <f t="shared" si="41"/>
        <v>36735.93</v>
      </c>
      <c r="AE287">
        <f t="shared" si="42"/>
        <v>5915.09</v>
      </c>
      <c r="AF287">
        <f t="shared" si="43"/>
        <v>0.16101647624001897</v>
      </c>
      <c r="AG287" t="str">
        <f t="shared" si="44"/>
        <v>August</v>
      </c>
      <c r="AH287">
        <f t="shared" si="45"/>
        <v>2025</v>
      </c>
      <c r="AI287" t="str">
        <f t="shared" si="46"/>
        <v>Clean</v>
      </c>
    </row>
    <row r="288" spans="1:35" ht="15.75" customHeight="1">
      <c r="A288" s="3" t="s">
        <v>1473</v>
      </c>
      <c r="B288" s="3" t="s">
        <v>1474</v>
      </c>
      <c r="C288" s="3" t="s">
        <v>1475</v>
      </c>
      <c r="D288" s="3" t="str">
        <f t="shared" si="34"/>
        <v>03-Feb-2024</v>
      </c>
      <c r="E288" s="3" t="str">
        <f t="shared" si="35"/>
        <v>28-Feb-2024</v>
      </c>
      <c r="F288" s="3">
        <f t="shared" si="36"/>
        <v>-25</v>
      </c>
      <c r="G288" s="3" t="s">
        <v>1476</v>
      </c>
      <c r="H288" s="3" t="s">
        <v>150</v>
      </c>
      <c r="I288" s="3" t="s">
        <v>49</v>
      </c>
      <c r="J288" s="3" t="s">
        <v>35</v>
      </c>
      <c r="K288" s="3" t="s">
        <v>515</v>
      </c>
      <c r="L288" s="3" t="s">
        <v>516</v>
      </c>
      <c r="M288" s="3" t="s">
        <v>53</v>
      </c>
      <c r="N288" s="3" t="s">
        <v>73</v>
      </c>
      <c r="O288" s="3" t="s">
        <v>1477</v>
      </c>
      <c r="P288" s="3" t="s">
        <v>64</v>
      </c>
      <c r="Q288" s="3">
        <v>7</v>
      </c>
      <c r="R288" s="3">
        <v>701.8</v>
      </c>
      <c r="S288" s="3">
        <v>0.1</v>
      </c>
      <c r="T288" s="3">
        <v>4421.34</v>
      </c>
      <c r="U288" s="3">
        <v>2489.98</v>
      </c>
      <c r="V288" s="3">
        <v>1931.36</v>
      </c>
      <c r="W288" s="3" t="s">
        <v>145</v>
      </c>
      <c r="X288" s="3" t="s">
        <v>133</v>
      </c>
      <c r="Y288" s="2" t="str">
        <f t="shared" si="37"/>
        <v>Unique</v>
      </c>
      <c r="AA288" s="2" t="str">
        <f t="shared" si="38"/>
        <v>Clean</v>
      </c>
      <c r="AB288" s="2" t="str">
        <f t="shared" si="39"/>
        <v>Invalid</v>
      </c>
      <c r="AC288">
        <f t="shared" si="40"/>
        <v>0.1</v>
      </c>
      <c r="AD288">
        <f t="shared" si="41"/>
        <v>4421.3399999999992</v>
      </c>
      <c r="AE288">
        <f t="shared" si="42"/>
        <v>1931.3599999999992</v>
      </c>
      <c r="AF288">
        <f t="shared" si="43"/>
        <v>0.43682684435035524</v>
      </c>
      <c r="AG288" t="str">
        <f t="shared" si="44"/>
        <v>February</v>
      </c>
      <c r="AH288">
        <f t="shared" si="45"/>
        <v>2024</v>
      </c>
      <c r="AI288" t="str">
        <f t="shared" si="46"/>
        <v>Clean</v>
      </c>
    </row>
    <row r="289" spans="1:35" ht="15.75" customHeight="1">
      <c r="A289" s="3" t="s">
        <v>1478</v>
      </c>
      <c r="B289" s="3" t="s">
        <v>1479</v>
      </c>
      <c r="C289" s="3" t="s">
        <v>1480</v>
      </c>
      <c r="D289" s="3" t="str">
        <f t="shared" si="34"/>
        <v>07-Sep-2024</v>
      </c>
      <c r="E289" s="3" t="str">
        <f t="shared" si="35"/>
        <v>09-May-2024</v>
      </c>
      <c r="F289" s="3">
        <f t="shared" si="36"/>
        <v>121</v>
      </c>
      <c r="G289" s="3" t="s">
        <v>1481</v>
      </c>
      <c r="H289" s="3" t="s">
        <v>101</v>
      </c>
      <c r="I289" s="3" t="s">
        <v>49</v>
      </c>
      <c r="J289" s="3" t="s">
        <v>70</v>
      </c>
      <c r="K289" s="3" t="s">
        <v>347</v>
      </c>
      <c r="L289" s="3" t="s">
        <v>348</v>
      </c>
      <c r="M289" s="3" t="s">
        <v>94</v>
      </c>
      <c r="N289" s="3" t="s">
        <v>102</v>
      </c>
      <c r="O289" s="3" t="s">
        <v>1482</v>
      </c>
      <c r="P289" s="3" t="s">
        <v>75</v>
      </c>
      <c r="Q289" s="3">
        <v>3</v>
      </c>
      <c r="R289" s="3">
        <v>2555.66</v>
      </c>
      <c r="S289" s="3">
        <v>0.15</v>
      </c>
      <c r="T289" s="3">
        <v>6516.93</v>
      </c>
      <c r="U289" s="3">
        <v>4511.54</v>
      </c>
      <c r="V289" s="3">
        <v>2005.39</v>
      </c>
      <c r="W289" s="3" t="s">
        <v>42</v>
      </c>
      <c r="X289" s="3" t="s">
        <v>86</v>
      </c>
      <c r="Y289" s="2" t="str">
        <f t="shared" si="37"/>
        <v>Unique</v>
      </c>
      <c r="AA289" s="2" t="str">
        <f t="shared" si="38"/>
        <v>Clean</v>
      </c>
      <c r="AB289" s="2" t="str">
        <f t="shared" si="39"/>
        <v>valid</v>
      </c>
      <c r="AC289">
        <f t="shared" si="40"/>
        <v>0.15</v>
      </c>
      <c r="AD289">
        <f t="shared" si="41"/>
        <v>6516.9329999999991</v>
      </c>
      <c r="AE289">
        <f t="shared" si="42"/>
        <v>2005.3929999999991</v>
      </c>
      <c r="AF289">
        <f t="shared" si="43"/>
        <v>0.30772036477895343</v>
      </c>
      <c r="AG289" t="str">
        <f t="shared" si="44"/>
        <v>May</v>
      </c>
      <c r="AH289">
        <f t="shared" si="45"/>
        <v>2024</v>
      </c>
      <c r="AI289" t="str">
        <f t="shared" si="46"/>
        <v>Warning</v>
      </c>
    </row>
    <row r="290" spans="1:35" ht="15.75" customHeight="1">
      <c r="A290" s="3" t="s">
        <v>1483</v>
      </c>
      <c r="B290" s="3" t="s">
        <v>1484</v>
      </c>
      <c r="C290" s="3" t="s">
        <v>1484</v>
      </c>
      <c r="D290" s="3" t="str">
        <f t="shared" si="34"/>
        <v>24-Jun-2024</v>
      </c>
      <c r="E290" s="3" t="str">
        <f t="shared" si="35"/>
        <v>24-Jun-2024</v>
      </c>
      <c r="F290" s="3">
        <f t="shared" si="36"/>
        <v>0</v>
      </c>
      <c r="G290" s="3" t="s">
        <v>1485</v>
      </c>
      <c r="H290" s="3" t="s">
        <v>188</v>
      </c>
      <c r="I290" s="3" t="s">
        <v>49</v>
      </c>
      <c r="J290" s="3" t="s">
        <v>50</v>
      </c>
      <c r="K290" s="3" t="s">
        <v>194</v>
      </c>
      <c r="L290" s="3" t="s">
        <v>195</v>
      </c>
      <c r="M290" s="3" t="s">
        <v>38</v>
      </c>
      <c r="N290" s="3" t="s">
        <v>206</v>
      </c>
      <c r="O290" s="3" t="s">
        <v>1486</v>
      </c>
      <c r="P290" s="3" t="s">
        <v>56</v>
      </c>
      <c r="Q290" s="3">
        <v>2</v>
      </c>
      <c r="R290" s="3">
        <v>4359.8999999999996</v>
      </c>
      <c r="S290" s="3">
        <v>0.15</v>
      </c>
      <c r="T290" s="3">
        <v>7411.83</v>
      </c>
      <c r="U290" s="3">
        <v>4904.63</v>
      </c>
      <c r="V290" s="3">
        <v>2507.1999999999998</v>
      </c>
      <c r="W290" s="3" t="s">
        <v>42</v>
      </c>
      <c r="X290" s="3" t="s">
        <v>43</v>
      </c>
      <c r="Y290" s="2" t="str">
        <f t="shared" si="37"/>
        <v>Unique</v>
      </c>
      <c r="AA290" s="2" t="str">
        <f t="shared" si="38"/>
        <v>Clean</v>
      </c>
      <c r="AB290" s="2" t="str">
        <f t="shared" si="39"/>
        <v>valid</v>
      </c>
      <c r="AC290">
        <f t="shared" si="40"/>
        <v>0.15</v>
      </c>
      <c r="AD290">
        <f t="shared" si="41"/>
        <v>7411.829999999999</v>
      </c>
      <c r="AE290">
        <f t="shared" si="42"/>
        <v>2507.1999999999989</v>
      </c>
      <c r="AF290">
        <f t="shared" si="43"/>
        <v>0.3382700358750807</v>
      </c>
      <c r="AG290" t="str">
        <f t="shared" si="44"/>
        <v>June</v>
      </c>
      <c r="AH290">
        <f t="shared" si="45"/>
        <v>2024</v>
      </c>
      <c r="AI290" t="str">
        <f t="shared" si="46"/>
        <v>Clean</v>
      </c>
    </row>
    <row r="291" spans="1:35" ht="15.75" customHeight="1">
      <c r="A291" s="3" t="s">
        <v>1487</v>
      </c>
      <c r="B291" s="3" t="s">
        <v>262</v>
      </c>
      <c r="C291" s="3" t="s">
        <v>659</v>
      </c>
      <c r="D291" s="3" t="str">
        <f t="shared" si="34"/>
        <v>27-Jun-2025</v>
      </c>
      <c r="E291" s="3" t="str">
        <f t="shared" si="35"/>
        <v>19-Jun-2025</v>
      </c>
      <c r="F291" s="3">
        <f t="shared" si="36"/>
        <v>8</v>
      </c>
      <c r="G291" s="3" t="s">
        <v>1488</v>
      </c>
      <c r="H291" s="3" t="s">
        <v>33</v>
      </c>
      <c r="I291" s="3" t="s">
        <v>123</v>
      </c>
      <c r="J291" s="3" t="s">
        <v>70</v>
      </c>
      <c r="K291" s="3" t="s">
        <v>347</v>
      </c>
      <c r="L291" s="3" t="s">
        <v>348</v>
      </c>
      <c r="M291" s="3" t="s">
        <v>53</v>
      </c>
      <c r="N291" s="3" t="s">
        <v>212</v>
      </c>
      <c r="O291" s="3" t="s">
        <v>1489</v>
      </c>
      <c r="P291" s="3" t="s">
        <v>64</v>
      </c>
      <c r="Q291" s="3">
        <v>2</v>
      </c>
      <c r="R291" s="3">
        <v>4346.6899999999996</v>
      </c>
      <c r="S291" s="3">
        <v>0.05</v>
      </c>
      <c r="T291" s="3">
        <v>8258.7099999999991</v>
      </c>
      <c r="U291" s="3">
        <v>7018.97</v>
      </c>
      <c r="V291" s="3">
        <v>1239.74</v>
      </c>
      <c r="W291" s="3" t="s">
        <v>42</v>
      </c>
      <c r="X291" s="3" t="s">
        <v>43</v>
      </c>
      <c r="Y291" s="2" t="str">
        <f t="shared" si="37"/>
        <v>Unique</v>
      </c>
      <c r="AA291" s="2" t="str">
        <f t="shared" si="38"/>
        <v>Clean</v>
      </c>
      <c r="AB291" s="2" t="str">
        <f t="shared" si="39"/>
        <v>valid</v>
      </c>
      <c r="AC291">
        <f t="shared" si="40"/>
        <v>0.05</v>
      </c>
      <c r="AD291">
        <f t="shared" si="41"/>
        <v>8258.7109999999993</v>
      </c>
      <c r="AE291">
        <f t="shared" si="42"/>
        <v>1239.7409999999991</v>
      </c>
      <c r="AF291">
        <f t="shared" si="43"/>
        <v>0.15011313508851432</v>
      </c>
      <c r="AG291" t="str">
        <f t="shared" si="44"/>
        <v>June</v>
      </c>
      <c r="AH291">
        <f t="shared" si="45"/>
        <v>2025</v>
      </c>
      <c r="AI291" t="str">
        <f t="shared" si="46"/>
        <v>Clean</v>
      </c>
    </row>
    <row r="292" spans="1:35" ht="15.75" customHeight="1">
      <c r="A292" s="3" t="s">
        <v>1490</v>
      </c>
      <c r="B292" s="3" t="s">
        <v>1491</v>
      </c>
      <c r="C292" s="3" t="s">
        <v>1492</v>
      </c>
      <c r="D292" s="3" t="str">
        <f t="shared" si="34"/>
        <v>26-Aug-2025</v>
      </c>
      <c r="E292" s="3" t="str">
        <f t="shared" si="35"/>
        <v>22-Aug-2025</v>
      </c>
      <c r="F292" s="3">
        <f t="shared" si="36"/>
        <v>4</v>
      </c>
      <c r="G292" s="3" t="s">
        <v>1493</v>
      </c>
      <c r="H292" s="3" t="s">
        <v>218</v>
      </c>
      <c r="I292" s="3" t="s">
        <v>123</v>
      </c>
      <c r="J292" s="3" t="s">
        <v>50</v>
      </c>
      <c r="K292" s="3" t="s">
        <v>319</v>
      </c>
      <c r="L292" s="3" t="s">
        <v>320</v>
      </c>
      <c r="M292" s="3" t="s">
        <v>53</v>
      </c>
      <c r="N292" s="3" t="s">
        <v>54</v>
      </c>
      <c r="O292" s="3" t="s">
        <v>1494</v>
      </c>
      <c r="P292" s="3" t="s">
        <v>75</v>
      </c>
      <c r="Q292" s="3">
        <v>1</v>
      </c>
      <c r="R292" s="3">
        <v>1842.63</v>
      </c>
      <c r="S292" s="3">
        <v>0.1</v>
      </c>
      <c r="T292" s="3">
        <v>1658.37</v>
      </c>
      <c r="U292" s="3">
        <v>971.12</v>
      </c>
      <c r="V292" s="3">
        <v>687.25</v>
      </c>
      <c r="W292" s="3" t="s">
        <v>42</v>
      </c>
      <c r="X292" s="3" t="s">
        <v>43</v>
      </c>
      <c r="Y292" s="2" t="str">
        <f t="shared" si="37"/>
        <v>Unique</v>
      </c>
      <c r="AA292" s="2" t="str">
        <f t="shared" si="38"/>
        <v>Clean</v>
      </c>
      <c r="AB292" s="2" t="str">
        <f t="shared" si="39"/>
        <v>valid</v>
      </c>
      <c r="AC292">
        <f t="shared" si="40"/>
        <v>0.1</v>
      </c>
      <c r="AD292">
        <f t="shared" si="41"/>
        <v>1658.3670000000002</v>
      </c>
      <c r="AE292">
        <f t="shared" si="42"/>
        <v>687.24700000000018</v>
      </c>
      <c r="AF292">
        <f t="shared" si="43"/>
        <v>0.41441188832146331</v>
      </c>
      <c r="AG292" t="str">
        <f t="shared" si="44"/>
        <v>August</v>
      </c>
      <c r="AH292">
        <f t="shared" si="45"/>
        <v>2025</v>
      </c>
      <c r="AI292" t="str">
        <f t="shared" si="46"/>
        <v>Clean</v>
      </c>
    </row>
    <row r="293" spans="1:35" ht="15.75" customHeight="1">
      <c r="A293" s="3" t="s">
        <v>1495</v>
      </c>
      <c r="B293" s="3" t="s">
        <v>1496</v>
      </c>
      <c r="C293" s="3" t="s">
        <v>1497</v>
      </c>
      <c r="D293" s="3" t="str">
        <f t="shared" si="34"/>
        <v>10-Apr-2024</v>
      </c>
      <c r="E293" s="3" t="str">
        <f t="shared" si="35"/>
        <v>04-May-2024</v>
      </c>
      <c r="F293" s="3">
        <f t="shared" si="36"/>
        <v>-24</v>
      </c>
      <c r="G293" s="3" t="s">
        <v>1498</v>
      </c>
      <c r="H293" s="3" t="s">
        <v>150</v>
      </c>
      <c r="I293" s="3" t="s">
        <v>123</v>
      </c>
      <c r="J293" s="3" t="s">
        <v>35</v>
      </c>
      <c r="K293" s="3" t="s">
        <v>36</v>
      </c>
      <c r="L293" s="3" t="s">
        <v>37</v>
      </c>
      <c r="M293" s="3" t="s">
        <v>38</v>
      </c>
      <c r="N293" s="3" t="s">
        <v>206</v>
      </c>
      <c r="O293" s="3" t="s">
        <v>1499</v>
      </c>
      <c r="P293" s="3" t="s">
        <v>75</v>
      </c>
      <c r="Q293" s="3">
        <v>4</v>
      </c>
      <c r="R293" s="3">
        <v>3228.66</v>
      </c>
      <c r="S293" s="3">
        <v>0.25</v>
      </c>
      <c r="T293" s="3">
        <v>9685.98</v>
      </c>
      <c r="U293" s="3">
        <v>7730.04</v>
      </c>
      <c r="V293" s="3">
        <v>1955.94</v>
      </c>
      <c r="W293" s="3" t="s">
        <v>42</v>
      </c>
      <c r="X293" s="3" t="s">
        <v>43</v>
      </c>
      <c r="Y293" s="2" t="str">
        <f t="shared" si="37"/>
        <v>Unique</v>
      </c>
      <c r="AA293" s="2" t="str">
        <f t="shared" si="38"/>
        <v>Clean</v>
      </c>
      <c r="AB293" s="2" t="str">
        <f t="shared" si="39"/>
        <v>Invalid</v>
      </c>
      <c r="AC293">
        <f t="shared" si="40"/>
        <v>0.25</v>
      </c>
      <c r="AD293">
        <f t="shared" si="41"/>
        <v>9685.98</v>
      </c>
      <c r="AE293">
        <f t="shared" si="42"/>
        <v>1955.9399999999996</v>
      </c>
      <c r="AF293">
        <f t="shared" si="43"/>
        <v>0.20193516815025425</v>
      </c>
      <c r="AG293" t="str">
        <f t="shared" si="44"/>
        <v>May</v>
      </c>
      <c r="AH293">
        <f t="shared" si="45"/>
        <v>2024</v>
      </c>
      <c r="AI293" t="str">
        <f t="shared" si="46"/>
        <v>Clean</v>
      </c>
    </row>
    <row r="294" spans="1:35" ht="15.75" customHeight="1">
      <c r="A294" s="3" t="s">
        <v>1500</v>
      </c>
      <c r="B294" s="3" t="s">
        <v>1501</v>
      </c>
      <c r="C294" s="3" t="s">
        <v>1502</v>
      </c>
      <c r="D294" s="3" t="str">
        <f t="shared" si="34"/>
        <v>03-Mar-2025</v>
      </c>
      <c r="E294" s="3" t="str">
        <f t="shared" si="35"/>
        <v>28-Feb-2025</v>
      </c>
      <c r="F294" s="3">
        <f t="shared" si="36"/>
        <v>3</v>
      </c>
      <c r="G294" s="3" t="s">
        <v>1503</v>
      </c>
      <c r="H294" s="3" t="s">
        <v>375</v>
      </c>
      <c r="I294" s="3" t="s">
        <v>123</v>
      </c>
      <c r="J294" s="3" t="s">
        <v>35</v>
      </c>
      <c r="K294" s="3" t="s">
        <v>331</v>
      </c>
      <c r="L294" s="3" t="s">
        <v>332</v>
      </c>
      <c r="M294" s="3" t="s">
        <v>38</v>
      </c>
      <c r="N294" s="3" t="s">
        <v>62</v>
      </c>
      <c r="O294" s="3" t="s">
        <v>1504</v>
      </c>
      <c r="P294" s="3" t="s">
        <v>56</v>
      </c>
      <c r="Q294" s="3">
        <v>9</v>
      </c>
      <c r="R294" s="3">
        <v>3748.95</v>
      </c>
      <c r="S294" s="3">
        <v>0</v>
      </c>
      <c r="T294" s="3">
        <v>33740.550000000003</v>
      </c>
      <c r="U294" s="3">
        <v>24621.89</v>
      </c>
      <c r="V294" s="3">
        <v>9118.66</v>
      </c>
      <c r="W294" s="3" t="s">
        <v>145</v>
      </c>
      <c r="X294" s="3" t="s">
        <v>86</v>
      </c>
      <c r="Y294" s="2" t="str">
        <f t="shared" si="37"/>
        <v>Unique</v>
      </c>
      <c r="AA294" s="2" t="str">
        <f t="shared" si="38"/>
        <v>Clean</v>
      </c>
      <c r="AB294" s="2" t="str">
        <f t="shared" si="39"/>
        <v>valid</v>
      </c>
      <c r="AC294">
        <f t="shared" si="40"/>
        <v>0</v>
      </c>
      <c r="AD294">
        <f t="shared" si="41"/>
        <v>33740.549999999996</v>
      </c>
      <c r="AE294">
        <f t="shared" si="42"/>
        <v>9118.6599999999962</v>
      </c>
      <c r="AF294">
        <f t="shared" si="43"/>
        <v>0.2702581908119458</v>
      </c>
      <c r="AG294" t="str">
        <f t="shared" si="44"/>
        <v>February</v>
      </c>
      <c r="AH294">
        <f t="shared" si="45"/>
        <v>2025</v>
      </c>
      <c r="AI294" t="str">
        <f t="shared" si="46"/>
        <v>Warning</v>
      </c>
    </row>
    <row r="295" spans="1:35" ht="15.75" customHeight="1">
      <c r="A295" s="3" t="s">
        <v>1505</v>
      </c>
      <c r="B295" s="3" t="s">
        <v>1506</v>
      </c>
      <c r="C295" s="3" t="s">
        <v>1507</v>
      </c>
      <c r="D295" s="3" t="str">
        <f t="shared" si="34"/>
        <v>11-Mar-2024</v>
      </c>
      <c r="E295" s="3" t="str">
        <f t="shared" si="35"/>
        <v>03-Jul-2024</v>
      </c>
      <c r="F295" s="3">
        <f t="shared" si="36"/>
        <v>-114</v>
      </c>
      <c r="G295" s="3" t="s">
        <v>1508</v>
      </c>
      <c r="H295" s="3" t="s">
        <v>69</v>
      </c>
      <c r="I295" s="3" t="s">
        <v>123</v>
      </c>
      <c r="J295" s="3" t="s">
        <v>70</v>
      </c>
      <c r="K295" s="3" t="s">
        <v>71</v>
      </c>
      <c r="L295" s="3" t="s">
        <v>72</v>
      </c>
      <c r="M295" s="3" t="s">
        <v>94</v>
      </c>
      <c r="N295" s="3" t="s">
        <v>231</v>
      </c>
      <c r="O295" s="3" t="s">
        <v>1509</v>
      </c>
      <c r="P295" s="3" t="s">
        <v>64</v>
      </c>
      <c r="Q295" s="3">
        <v>2</v>
      </c>
      <c r="R295" s="3">
        <v>4401.51</v>
      </c>
      <c r="S295" s="3">
        <v>0.65</v>
      </c>
      <c r="T295" s="3">
        <v>8362.8700000000008</v>
      </c>
      <c r="U295" s="3">
        <v>6541.04</v>
      </c>
      <c r="V295" s="3">
        <v>1821.83</v>
      </c>
      <c r="W295" s="3" t="s">
        <v>42</v>
      </c>
      <c r="X295" s="3" t="s">
        <v>43</v>
      </c>
      <c r="Y295" s="2" t="str">
        <f t="shared" si="37"/>
        <v>Unique</v>
      </c>
      <c r="AA295" s="2" t="str">
        <f t="shared" si="38"/>
        <v>Invalid</v>
      </c>
      <c r="AB295" s="2" t="str">
        <f t="shared" si="39"/>
        <v>Invalid</v>
      </c>
      <c r="AC295">
        <f t="shared" si="40"/>
        <v>0.65</v>
      </c>
      <c r="AD295">
        <f t="shared" si="41"/>
        <v>3081.0569999999998</v>
      </c>
      <c r="AE295">
        <f t="shared" si="42"/>
        <v>-3459.9830000000002</v>
      </c>
      <c r="AF295">
        <f t="shared" si="43"/>
        <v>-1.1229857156164267</v>
      </c>
      <c r="AG295" t="str">
        <f t="shared" si="44"/>
        <v>July</v>
      </c>
      <c r="AH295">
        <f t="shared" si="45"/>
        <v>2024</v>
      </c>
      <c r="AI295" t="str">
        <f t="shared" si="46"/>
        <v>Invalid</v>
      </c>
    </row>
    <row r="296" spans="1:35" ht="15.75" customHeight="1">
      <c r="A296" s="3" t="s">
        <v>1510</v>
      </c>
      <c r="B296" s="3" t="s">
        <v>1511</v>
      </c>
      <c r="C296" s="3" t="s">
        <v>1512</v>
      </c>
      <c r="D296" s="3" t="str">
        <f t="shared" si="34"/>
        <v>22-Jul-2025</v>
      </c>
      <c r="E296" s="3" t="str">
        <f t="shared" si="35"/>
        <v>16-Jul-2025</v>
      </c>
      <c r="F296" s="3">
        <f t="shared" si="36"/>
        <v>6</v>
      </c>
      <c r="G296" s="3" t="s">
        <v>1513</v>
      </c>
      <c r="H296" s="3" t="s">
        <v>150</v>
      </c>
      <c r="I296" s="3" t="s">
        <v>34</v>
      </c>
      <c r="J296" s="3" t="s">
        <v>50</v>
      </c>
      <c r="K296" s="3" t="s">
        <v>51</v>
      </c>
      <c r="L296" s="3" t="s">
        <v>52</v>
      </c>
      <c r="M296" s="3" t="s">
        <v>94</v>
      </c>
      <c r="N296" s="3" t="s">
        <v>231</v>
      </c>
      <c r="O296" s="3" t="s">
        <v>1514</v>
      </c>
      <c r="P296" s="3" t="s">
        <v>41</v>
      </c>
      <c r="Q296" s="3">
        <v>6</v>
      </c>
      <c r="R296" s="3">
        <v>4159.33</v>
      </c>
      <c r="S296" s="3">
        <v>0.25</v>
      </c>
      <c r="T296" s="3">
        <v>18716.990000000002</v>
      </c>
      <c r="U296" s="3">
        <v>12282.43</v>
      </c>
      <c r="V296" s="3">
        <v>6434.56</v>
      </c>
      <c r="W296" s="3" t="s">
        <v>42</v>
      </c>
      <c r="X296" s="3" t="s">
        <v>133</v>
      </c>
      <c r="Y296" s="2" t="str">
        <f t="shared" si="37"/>
        <v>Unique</v>
      </c>
      <c r="AA296" s="2" t="str">
        <f t="shared" si="38"/>
        <v>Clean</v>
      </c>
      <c r="AB296" s="2" t="str">
        <f t="shared" si="39"/>
        <v>valid</v>
      </c>
      <c r="AC296">
        <f t="shared" si="40"/>
        <v>0.25</v>
      </c>
      <c r="AD296">
        <f t="shared" si="41"/>
        <v>18716.985000000001</v>
      </c>
      <c r="AE296">
        <f t="shared" si="42"/>
        <v>6434.5550000000003</v>
      </c>
      <c r="AF296">
        <f t="shared" si="43"/>
        <v>0.34378159730319813</v>
      </c>
      <c r="AG296" t="str">
        <f t="shared" si="44"/>
        <v>July</v>
      </c>
      <c r="AH296">
        <f t="shared" si="45"/>
        <v>2025</v>
      </c>
      <c r="AI296" t="str">
        <f t="shared" si="46"/>
        <v>Clean</v>
      </c>
    </row>
    <row r="297" spans="1:35" ht="15.75" customHeight="1">
      <c r="A297" s="3" t="s">
        <v>1515</v>
      </c>
      <c r="B297" s="3" t="s">
        <v>1516</v>
      </c>
      <c r="C297" s="3" t="s">
        <v>1517</v>
      </c>
      <c r="D297" s="3" t="str">
        <f t="shared" si="34"/>
        <v>28-Jun-2025</v>
      </c>
      <c r="E297" s="3" t="str">
        <f t="shared" si="35"/>
        <v>25-Jun-2025</v>
      </c>
      <c r="F297" s="3">
        <f t="shared" si="36"/>
        <v>3</v>
      </c>
      <c r="G297" s="3" t="s">
        <v>1518</v>
      </c>
      <c r="H297" s="3" t="s">
        <v>115</v>
      </c>
      <c r="I297" s="3" t="s">
        <v>49</v>
      </c>
      <c r="J297" s="3" t="s">
        <v>50</v>
      </c>
      <c r="K297" s="3" t="s">
        <v>224</v>
      </c>
      <c r="L297" s="3" t="s">
        <v>225</v>
      </c>
      <c r="M297" s="3" t="s">
        <v>38</v>
      </c>
      <c r="N297" s="3" t="s">
        <v>206</v>
      </c>
      <c r="O297" s="3" t="s">
        <v>1519</v>
      </c>
      <c r="P297" s="3" t="s">
        <v>75</v>
      </c>
      <c r="Q297" s="3">
        <v>3</v>
      </c>
      <c r="R297" s="3">
        <v>3476.05</v>
      </c>
      <c r="S297" s="3">
        <v>0.1</v>
      </c>
      <c r="T297" s="3">
        <v>9385.34</v>
      </c>
      <c r="U297" s="3">
        <v>5828.54</v>
      </c>
      <c r="V297" s="3">
        <v>3556.8</v>
      </c>
      <c r="W297" s="3" t="s">
        <v>42</v>
      </c>
      <c r="X297" s="3" t="s">
        <v>43</v>
      </c>
      <c r="Y297" s="2" t="str">
        <f t="shared" si="37"/>
        <v>Unique</v>
      </c>
      <c r="AA297" s="2" t="str">
        <f t="shared" si="38"/>
        <v>Clean</v>
      </c>
      <c r="AB297" s="2" t="str">
        <f t="shared" si="39"/>
        <v>valid</v>
      </c>
      <c r="AC297">
        <f t="shared" si="40"/>
        <v>0.1</v>
      </c>
      <c r="AD297">
        <f t="shared" si="41"/>
        <v>9385.3350000000009</v>
      </c>
      <c r="AE297">
        <f t="shared" si="42"/>
        <v>3556.795000000001</v>
      </c>
      <c r="AF297">
        <f t="shared" si="43"/>
        <v>0.37897368607513748</v>
      </c>
      <c r="AG297" t="str">
        <f t="shared" si="44"/>
        <v>June</v>
      </c>
      <c r="AH297">
        <f t="shared" si="45"/>
        <v>2025</v>
      </c>
      <c r="AI297" t="str">
        <f t="shared" si="46"/>
        <v>Clean</v>
      </c>
    </row>
    <row r="298" spans="1:35" ht="15.75" customHeight="1">
      <c r="A298" s="3" t="s">
        <v>1520</v>
      </c>
      <c r="B298" s="3" t="s">
        <v>1521</v>
      </c>
      <c r="C298" s="3" t="s">
        <v>1522</v>
      </c>
      <c r="D298" s="3" t="str">
        <f t="shared" si="34"/>
        <v>26-May-2025</v>
      </c>
      <c r="E298" s="3" t="str">
        <f t="shared" si="35"/>
        <v>24-May-2025</v>
      </c>
      <c r="F298" s="3">
        <f t="shared" si="36"/>
        <v>2</v>
      </c>
      <c r="G298" s="3" t="s">
        <v>1523</v>
      </c>
      <c r="H298" s="3" t="s">
        <v>115</v>
      </c>
      <c r="I298" s="3" t="s">
        <v>123</v>
      </c>
      <c r="J298" s="3" t="s">
        <v>35</v>
      </c>
      <c r="K298" s="3" t="s">
        <v>331</v>
      </c>
      <c r="L298" s="3" t="s">
        <v>332</v>
      </c>
      <c r="M298" s="3" t="s">
        <v>53</v>
      </c>
      <c r="N298" s="3" t="s">
        <v>73</v>
      </c>
      <c r="O298" s="3" t="s">
        <v>1524</v>
      </c>
      <c r="P298" s="3" t="s">
        <v>56</v>
      </c>
      <c r="Q298" s="3">
        <v>6</v>
      </c>
      <c r="R298" s="3">
        <v>3495.41</v>
      </c>
      <c r="S298" s="3">
        <v>0.15</v>
      </c>
      <c r="T298" s="3">
        <v>17826.59</v>
      </c>
      <c r="U298" s="3">
        <v>10855.35</v>
      </c>
      <c r="V298" s="3">
        <v>6971.24</v>
      </c>
      <c r="W298" s="3" t="s">
        <v>42</v>
      </c>
      <c r="X298" s="3" t="s">
        <v>43</v>
      </c>
      <c r="Y298" s="2" t="str">
        <f t="shared" si="37"/>
        <v>Unique</v>
      </c>
      <c r="AA298" s="2" t="str">
        <f t="shared" si="38"/>
        <v>Clean</v>
      </c>
      <c r="AB298" s="2" t="str">
        <f t="shared" si="39"/>
        <v>valid</v>
      </c>
      <c r="AC298">
        <f t="shared" si="40"/>
        <v>0.15</v>
      </c>
      <c r="AD298">
        <f t="shared" si="41"/>
        <v>17826.591</v>
      </c>
      <c r="AE298">
        <f t="shared" si="42"/>
        <v>6971.241</v>
      </c>
      <c r="AF298">
        <f t="shared" si="43"/>
        <v>0.39105855965394615</v>
      </c>
      <c r="AG298" t="str">
        <f t="shared" si="44"/>
        <v>May</v>
      </c>
      <c r="AH298">
        <f t="shared" si="45"/>
        <v>2025</v>
      </c>
      <c r="AI298" t="str">
        <f t="shared" si="46"/>
        <v>Clean</v>
      </c>
    </row>
    <row r="299" spans="1:35" ht="15.75" customHeight="1">
      <c r="A299" s="3" t="s">
        <v>1525</v>
      </c>
      <c r="B299" s="3" t="s">
        <v>1526</v>
      </c>
      <c r="C299" s="3" t="s">
        <v>1527</v>
      </c>
      <c r="D299" s="3" t="str">
        <f t="shared" si="34"/>
        <v>06-Nov-2024</v>
      </c>
      <c r="E299" s="3" t="str">
        <f t="shared" si="35"/>
        <v>29-Oct-2024</v>
      </c>
      <c r="F299" s="3">
        <f t="shared" si="36"/>
        <v>8</v>
      </c>
      <c r="G299" s="3" t="s">
        <v>1528</v>
      </c>
      <c r="H299" s="3" t="s">
        <v>176</v>
      </c>
      <c r="I299" s="3" t="s">
        <v>116</v>
      </c>
      <c r="J299" s="3" t="s">
        <v>70</v>
      </c>
      <c r="K299" s="3" t="s">
        <v>347</v>
      </c>
      <c r="L299" s="3" t="s">
        <v>348</v>
      </c>
      <c r="M299" s="3" t="s">
        <v>94</v>
      </c>
      <c r="N299" s="3" t="s">
        <v>102</v>
      </c>
      <c r="O299" s="3" t="s">
        <v>1529</v>
      </c>
      <c r="P299" s="3" t="s">
        <v>56</v>
      </c>
      <c r="Q299" s="3">
        <v>6</v>
      </c>
      <c r="R299" s="3">
        <v>1169.92</v>
      </c>
      <c r="S299" s="3">
        <v>0.15</v>
      </c>
      <c r="T299" s="3">
        <v>5966.59</v>
      </c>
      <c r="U299" s="3">
        <v>3994.72</v>
      </c>
      <c r="V299" s="3">
        <v>1971.87</v>
      </c>
      <c r="W299" s="3" t="s">
        <v>42</v>
      </c>
      <c r="X299" s="3" t="s">
        <v>43</v>
      </c>
      <c r="Y299" s="2" t="str">
        <f t="shared" si="37"/>
        <v>Unique</v>
      </c>
      <c r="AA299" s="2" t="str">
        <f t="shared" si="38"/>
        <v>Clean</v>
      </c>
      <c r="AB299" s="2" t="str">
        <f t="shared" si="39"/>
        <v>valid</v>
      </c>
      <c r="AC299">
        <f t="shared" si="40"/>
        <v>0.15</v>
      </c>
      <c r="AD299">
        <f t="shared" si="41"/>
        <v>5966.5920000000006</v>
      </c>
      <c r="AE299">
        <f t="shared" si="42"/>
        <v>1971.8720000000008</v>
      </c>
      <c r="AF299">
        <f t="shared" si="43"/>
        <v>0.33048547646629778</v>
      </c>
      <c r="AG299" t="str">
        <f t="shared" si="44"/>
        <v>October</v>
      </c>
      <c r="AH299">
        <f t="shared" si="45"/>
        <v>2024</v>
      </c>
      <c r="AI299" t="str">
        <f t="shared" si="46"/>
        <v>Clean</v>
      </c>
    </row>
    <row r="300" spans="1:35" ht="15.75" customHeight="1">
      <c r="A300" s="3" t="s">
        <v>1530</v>
      </c>
      <c r="B300" s="3" t="s">
        <v>1531</v>
      </c>
      <c r="C300" s="3" t="s">
        <v>1532</v>
      </c>
      <c r="D300" s="3" t="str">
        <f t="shared" si="34"/>
        <v>26-Jan-2025</v>
      </c>
      <c r="E300" s="3" t="str">
        <f t="shared" si="35"/>
        <v>23-Jan-2025</v>
      </c>
      <c r="F300" s="3">
        <f t="shared" si="36"/>
        <v>3</v>
      </c>
      <c r="G300" s="3" t="s">
        <v>1533</v>
      </c>
      <c r="H300" s="3" t="s">
        <v>61</v>
      </c>
      <c r="I300" s="3" t="s">
        <v>34</v>
      </c>
      <c r="J300" s="3" t="s">
        <v>70</v>
      </c>
      <c r="K300" s="3" t="s">
        <v>250</v>
      </c>
      <c r="L300" s="3" t="s">
        <v>251</v>
      </c>
      <c r="M300" s="3" t="s">
        <v>94</v>
      </c>
      <c r="N300" s="3" t="s">
        <v>102</v>
      </c>
      <c r="O300" s="3" t="s">
        <v>1534</v>
      </c>
      <c r="P300" s="3" t="s">
        <v>64</v>
      </c>
      <c r="Q300" s="3">
        <v>7</v>
      </c>
      <c r="R300" s="3">
        <v>348.49</v>
      </c>
      <c r="S300" s="3">
        <v>0.2</v>
      </c>
      <c r="T300" s="3">
        <v>1951.54</v>
      </c>
      <c r="U300" s="3">
        <v>1609.95</v>
      </c>
      <c r="V300" s="3">
        <v>341.59</v>
      </c>
      <c r="W300" s="3" t="s">
        <v>208</v>
      </c>
      <c r="X300" s="3" t="s">
        <v>133</v>
      </c>
      <c r="Y300" s="2" t="str">
        <f t="shared" si="37"/>
        <v>Unique</v>
      </c>
      <c r="AA300" s="2" t="str">
        <f t="shared" si="38"/>
        <v>Clean</v>
      </c>
      <c r="AB300" s="2" t="str">
        <f t="shared" si="39"/>
        <v>valid</v>
      </c>
      <c r="AC300">
        <f t="shared" si="40"/>
        <v>0.2</v>
      </c>
      <c r="AD300">
        <f t="shared" si="41"/>
        <v>1951.5440000000003</v>
      </c>
      <c r="AE300">
        <f t="shared" si="42"/>
        <v>341.59400000000028</v>
      </c>
      <c r="AF300">
        <f t="shared" si="43"/>
        <v>0.17503781621116421</v>
      </c>
      <c r="AG300" t="str">
        <f t="shared" si="44"/>
        <v>January</v>
      </c>
      <c r="AH300">
        <f t="shared" si="45"/>
        <v>2025</v>
      </c>
      <c r="AI300" t="str">
        <f t="shared" si="46"/>
        <v>Warning</v>
      </c>
    </row>
    <row r="301" spans="1:35" ht="15.75" customHeight="1">
      <c r="A301" s="3" t="s">
        <v>1535</v>
      </c>
      <c r="B301" s="3" t="s">
        <v>1527</v>
      </c>
      <c r="C301" s="3" t="s">
        <v>1536</v>
      </c>
      <c r="D301" s="3" t="str">
        <f t="shared" si="34"/>
        <v>12-Nov-2024</v>
      </c>
      <c r="E301" s="3" t="str">
        <f t="shared" si="35"/>
        <v>06-Nov-2024</v>
      </c>
      <c r="F301" s="3">
        <f t="shared" si="36"/>
        <v>6</v>
      </c>
      <c r="G301" s="3" t="s">
        <v>1537</v>
      </c>
      <c r="H301" s="3" t="s">
        <v>156</v>
      </c>
      <c r="I301" s="3" t="s">
        <v>49</v>
      </c>
      <c r="J301" s="3" t="s">
        <v>81</v>
      </c>
      <c r="K301" s="3" t="s">
        <v>243</v>
      </c>
      <c r="L301" s="3" t="s">
        <v>244</v>
      </c>
      <c r="M301" s="3" t="s">
        <v>94</v>
      </c>
      <c r="N301" s="3" t="s">
        <v>95</v>
      </c>
      <c r="O301" s="3" t="s">
        <v>1538</v>
      </c>
      <c r="P301" s="3" t="s">
        <v>75</v>
      </c>
      <c r="Q301" s="3">
        <v>7</v>
      </c>
      <c r="R301" s="3">
        <v>1719.05</v>
      </c>
      <c r="S301" s="3">
        <v>0.1</v>
      </c>
      <c r="T301" s="3">
        <v>10830.02</v>
      </c>
      <c r="U301" s="3">
        <v>7055.31</v>
      </c>
      <c r="V301" s="3">
        <v>3774.71</v>
      </c>
      <c r="W301" s="3" t="s">
        <v>42</v>
      </c>
      <c r="X301" s="3" t="s">
        <v>43</v>
      </c>
      <c r="Y301" s="2" t="str">
        <f t="shared" si="37"/>
        <v>Unique</v>
      </c>
      <c r="AA301" s="2" t="str">
        <f t="shared" si="38"/>
        <v>Clean</v>
      </c>
      <c r="AB301" s="2" t="str">
        <f t="shared" si="39"/>
        <v>valid</v>
      </c>
      <c r="AC301">
        <f t="shared" si="40"/>
        <v>0.1</v>
      </c>
      <c r="AD301">
        <f t="shared" si="41"/>
        <v>10830.015000000001</v>
      </c>
      <c r="AE301">
        <f t="shared" si="42"/>
        <v>3774.7050000000008</v>
      </c>
      <c r="AF301">
        <f t="shared" si="43"/>
        <v>0.34854106850267524</v>
      </c>
      <c r="AG301" t="str">
        <f t="shared" si="44"/>
        <v>November</v>
      </c>
      <c r="AH301">
        <f t="shared" si="45"/>
        <v>2024</v>
      </c>
      <c r="AI301" t="str">
        <f t="shared" si="46"/>
        <v>Clean</v>
      </c>
    </row>
    <row r="302" spans="1:35" ht="15.75" customHeight="1">
      <c r="A302" s="3" t="s">
        <v>1539</v>
      </c>
      <c r="B302" s="3" t="s">
        <v>1540</v>
      </c>
      <c r="C302" s="3" t="s">
        <v>1541</v>
      </c>
      <c r="D302" s="3" t="str">
        <f t="shared" si="34"/>
        <v>23-Apr-2024</v>
      </c>
      <c r="E302" s="3" t="str">
        <f t="shared" si="35"/>
        <v>15-Apr-2024</v>
      </c>
      <c r="F302" s="3">
        <f t="shared" si="36"/>
        <v>8</v>
      </c>
      <c r="G302" s="3" t="s">
        <v>1542</v>
      </c>
      <c r="H302" s="3" t="s">
        <v>218</v>
      </c>
      <c r="I302" s="3" t="s">
        <v>49</v>
      </c>
      <c r="J302" s="3" t="s">
        <v>35</v>
      </c>
      <c r="K302" s="3" t="s">
        <v>162</v>
      </c>
      <c r="L302" s="3" t="s">
        <v>163</v>
      </c>
      <c r="M302" s="3" t="s">
        <v>94</v>
      </c>
      <c r="N302" s="3" t="s">
        <v>95</v>
      </c>
      <c r="O302" s="3" t="s">
        <v>1543</v>
      </c>
      <c r="P302" s="3" t="s">
        <v>41</v>
      </c>
      <c r="Q302" s="3">
        <v>9</v>
      </c>
      <c r="R302" s="3">
        <v>3893.74</v>
      </c>
      <c r="S302" s="3">
        <v>0.1</v>
      </c>
      <c r="T302" s="3">
        <v>31539.29</v>
      </c>
      <c r="U302" s="3">
        <v>22100.14</v>
      </c>
      <c r="V302" s="3">
        <v>9439.15</v>
      </c>
      <c r="W302" s="3" t="s">
        <v>42</v>
      </c>
      <c r="X302" s="3" t="s">
        <v>43</v>
      </c>
      <c r="Y302" s="2" t="str">
        <f t="shared" si="37"/>
        <v>Unique</v>
      </c>
      <c r="AA302" s="2" t="str">
        <f t="shared" si="38"/>
        <v>Clean</v>
      </c>
      <c r="AB302" s="2" t="str">
        <f t="shared" si="39"/>
        <v>valid</v>
      </c>
      <c r="AC302">
        <f t="shared" si="40"/>
        <v>0.1</v>
      </c>
      <c r="AD302">
        <f t="shared" si="41"/>
        <v>31539.293999999998</v>
      </c>
      <c r="AE302">
        <f t="shared" si="42"/>
        <v>9439.1539999999986</v>
      </c>
      <c r="AF302">
        <f t="shared" si="43"/>
        <v>0.29928234918638313</v>
      </c>
      <c r="AG302" t="str">
        <f t="shared" si="44"/>
        <v>April</v>
      </c>
      <c r="AH302">
        <f t="shared" si="45"/>
        <v>2024</v>
      </c>
      <c r="AI302" t="str">
        <f t="shared" si="46"/>
        <v>Clean</v>
      </c>
    </row>
    <row r="303" spans="1:35" ht="15.75" customHeight="1">
      <c r="A303" s="3" t="s">
        <v>1544</v>
      </c>
      <c r="B303" s="3" t="s">
        <v>1023</v>
      </c>
      <c r="C303" s="3" t="s">
        <v>1545</v>
      </c>
      <c r="D303" s="3" t="str">
        <f t="shared" si="34"/>
        <v>01-Jun-2025</v>
      </c>
      <c r="E303" s="3" t="str">
        <f t="shared" si="35"/>
        <v>28-May-2025</v>
      </c>
      <c r="F303" s="3">
        <f t="shared" si="36"/>
        <v>4</v>
      </c>
      <c r="G303" s="3" t="s">
        <v>1546</v>
      </c>
      <c r="H303" s="3" t="s">
        <v>61</v>
      </c>
      <c r="I303" s="3" t="s">
        <v>123</v>
      </c>
      <c r="J303" s="3" t="s">
        <v>50</v>
      </c>
      <c r="K303" s="3" t="s">
        <v>194</v>
      </c>
      <c r="L303" s="3" t="s">
        <v>195</v>
      </c>
      <c r="M303" s="3" t="s">
        <v>94</v>
      </c>
      <c r="N303" s="3" t="s">
        <v>231</v>
      </c>
      <c r="O303" s="3" t="s">
        <v>1547</v>
      </c>
      <c r="P303" s="3" t="s">
        <v>56</v>
      </c>
      <c r="Q303" s="3">
        <v>4</v>
      </c>
      <c r="R303" s="3">
        <v>1654.11</v>
      </c>
      <c r="S303" s="3">
        <v>0.05</v>
      </c>
      <c r="T303" s="3">
        <v>6285.62</v>
      </c>
      <c r="U303" s="3">
        <v>3705.38</v>
      </c>
      <c r="V303" s="3">
        <v>2580.2399999999998</v>
      </c>
      <c r="W303" s="3" t="s">
        <v>42</v>
      </c>
      <c r="X303" s="3" t="s">
        <v>43</v>
      </c>
      <c r="Y303" s="2" t="str">
        <f t="shared" si="37"/>
        <v>Unique</v>
      </c>
      <c r="AA303" s="2" t="str">
        <f t="shared" si="38"/>
        <v>Clean</v>
      </c>
      <c r="AB303" s="2" t="str">
        <f t="shared" si="39"/>
        <v>valid</v>
      </c>
      <c r="AC303">
        <f t="shared" si="40"/>
        <v>0.05</v>
      </c>
      <c r="AD303">
        <f t="shared" si="41"/>
        <v>6285.6179999999995</v>
      </c>
      <c r="AE303">
        <f t="shared" si="42"/>
        <v>2580.2379999999994</v>
      </c>
      <c r="AF303">
        <f t="shared" si="43"/>
        <v>0.41049869718458865</v>
      </c>
      <c r="AG303" t="str">
        <f t="shared" si="44"/>
        <v>May</v>
      </c>
      <c r="AH303">
        <f t="shared" si="45"/>
        <v>2025</v>
      </c>
      <c r="AI303" t="str">
        <f t="shared" si="46"/>
        <v>Clean</v>
      </c>
    </row>
    <row r="304" spans="1:35" ht="15.75" customHeight="1">
      <c r="A304" s="3" t="s">
        <v>1548</v>
      </c>
      <c r="B304" s="3" t="s">
        <v>1388</v>
      </c>
      <c r="C304" s="3" t="s">
        <v>1549</v>
      </c>
      <c r="D304" s="3" t="str">
        <f t="shared" si="34"/>
        <v>12-Jun-2025</v>
      </c>
      <c r="E304" s="3" t="str">
        <f t="shared" si="35"/>
        <v>04-Jun-2025</v>
      </c>
      <c r="F304" s="3">
        <f t="shared" si="36"/>
        <v>8</v>
      </c>
      <c r="G304" s="3" t="s">
        <v>1550</v>
      </c>
      <c r="H304" s="3" t="s">
        <v>101</v>
      </c>
      <c r="I304" s="3" t="s">
        <v>34</v>
      </c>
      <c r="J304" s="3" t="s">
        <v>81</v>
      </c>
      <c r="K304" s="3" t="s">
        <v>257</v>
      </c>
      <c r="L304" s="3" t="s">
        <v>258</v>
      </c>
      <c r="M304" s="3" t="s">
        <v>38</v>
      </c>
      <c r="N304" s="3" t="s">
        <v>164</v>
      </c>
      <c r="O304" s="3" t="s">
        <v>1551</v>
      </c>
      <c r="P304" s="3" t="s">
        <v>56</v>
      </c>
      <c r="Q304" s="3">
        <v>2</v>
      </c>
      <c r="R304" s="3">
        <v>2703.28</v>
      </c>
      <c r="S304" s="3">
        <v>0.25</v>
      </c>
      <c r="T304" s="3">
        <v>4054.92</v>
      </c>
      <c r="U304" s="3">
        <v>2424.83</v>
      </c>
      <c r="V304" s="3">
        <v>1630.09</v>
      </c>
      <c r="W304" s="3" t="s">
        <v>42</v>
      </c>
      <c r="X304" s="3" t="s">
        <v>43</v>
      </c>
      <c r="Y304" s="2" t="str">
        <f t="shared" si="37"/>
        <v>Unique</v>
      </c>
      <c r="AA304" s="2" t="str">
        <f t="shared" si="38"/>
        <v>Clean</v>
      </c>
      <c r="AB304" s="2" t="str">
        <f t="shared" si="39"/>
        <v>valid</v>
      </c>
      <c r="AC304">
        <f t="shared" si="40"/>
        <v>0.25</v>
      </c>
      <c r="AD304">
        <f t="shared" si="41"/>
        <v>4054.92</v>
      </c>
      <c r="AE304">
        <f t="shared" si="42"/>
        <v>1630.0900000000001</v>
      </c>
      <c r="AF304">
        <f t="shared" si="43"/>
        <v>0.40200299882611745</v>
      </c>
      <c r="AG304" t="str">
        <f t="shared" si="44"/>
        <v>June</v>
      </c>
      <c r="AH304">
        <f t="shared" si="45"/>
        <v>2025</v>
      </c>
      <c r="AI304" t="str">
        <f t="shared" si="46"/>
        <v>Clean</v>
      </c>
    </row>
    <row r="305" spans="1:35" ht="15.75" customHeight="1">
      <c r="A305" s="3" t="s">
        <v>1552</v>
      </c>
      <c r="B305" s="3" t="s">
        <v>1553</v>
      </c>
      <c r="C305" s="3" t="s">
        <v>1047</v>
      </c>
      <c r="D305" s="3" t="str">
        <f t="shared" si="34"/>
        <v>28-Jun-2024</v>
      </c>
      <c r="E305" s="3" t="str">
        <f t="shared" si="35"/>
        <v>23-Jun-2024</v>
      </c>
      <c r="F305" s="3">
        <f t="shared" si="36"/>
        <v>5</v>
      </c>
      <c r="G305" s="3" t="s">
        <v>1554</v>
      </c>
      <c r="H305" s="3" t="s">
        <v>218</v>
      </c>
      <c r="I305" s="3" t="s">
        <v>123</v>
      </c>
      <c r="J305" s="3" t="s">
        <v>81</v>
      </c>
      <c r="K305" s="3" t="s">
        <v>243</v>
      </c>
      <c r="L305" s="3" t="s">
        <v>244</v>
      </c>
      <c r="M305" s="3" t="s">
        <v>53</v>
      </c>
      <c r="N305" s="3" t="s">
        <v>84</v>
      </c>
      <c r="O305" s="3" t="s">
        <v>1555</v>
      </c>
      <c r="P305" s="3" t="s">
        <v>75</v>
      </c>
      <c r="Q305" s="3">
        <v>2</v>
      </c>
      <c r="R305" s="3">
        <v>1313.14</v>
      </c>
      <c r="S305" s="3">
        <v>0.1</v>
      </c>
      <c r="T305" s="3">
        <v>2363.65</v>
      </c>
      <c r="U305" s="3">
        <v>1876.1</v>
      </c>
      <c r="V305" s="3">
        <v>487.55</v>
      </c>
      <c r="W305" s="3" t="s">
        <v>145</v>
      </c>
      <c r="X305" s="3" t="s">
        <v>133</v>
      </c>
      <c r="Y305" s="2" t="str">
        <f t="shared" si="37"/>
        <v>Unique</v>
      </c>
      <c r="AA305" s="2" t="str">
        <f t="shared" si="38"/>
        <v>Clean</v>
      </c>
      <c r="AB305" s="2" t="str">
        <f t="shared" si="39"/>
        <v>valid</v>
      </c>
      <c r="AC305">
        <f t="shared" si="40"/>
        <v>0.1</v>
      </c>
      <c r="AD305">
        <f t="shared" si="41"/>
        <v>2363.652</v>
      </c>
      <c r="AE305">
        <f t="shared" si="42"/>
        <v>487.55200000000013</v>
      </c>
      <c r="AF305">
        <f t="shared" si="43"/>
        <v>0.20627063544041174</v>
      </c>
      <c r="AG305" t="str">
        <f t="shared" si="44"/>
        <v>June</v>
      </c>
      <c r="AH305">
        <f t="shared" si="45"/>
        <v>2024</v>
      </c>
      <c r="AI305" t="str">
        <f t="shared" si="46"/>
        <v>Clean</v>
      </c>
    </row>
    <row r="306" spans="1:35" ht="15.75" customHeight="1">
      <c r="A306" s="3" t="s">
        <v>1556</v>
      </c>
      <c r="B306" s="3" t="s">
        <v>1557</v>
      </c>
      <c r="C306" s="3" t="s">
        <v>1558</v>
      </c>
      <c r="D306" s="3" t="str">
        <f t="shared" si="34"/>
        <v>13-Mar-2024</v>
      </c>
      <c r="E306" s="3" t="str">
        <f t="shared" si="35"/>
        <v>03-Jun-2024</v>
      </c>
      <c r="F306" s="3">
        <f t="shared" si="36"/>
        <v>-82</v>
      </c>
      <c r="G306" s="3" t="s">
        <v>1559</v>
      </c>
      <c r="H306" s="3" t="s">
        <v>33</v>
      </c>
      <c r="I306" s="3" t="s">
        <v>34</v>
      </c>
      <c r="J306" s="3" t="s">
        <v>35</v>
      </c>
      <c r="K306" s="3" t="s">
        <v>162</v>
      </c>
      <c r="L306" s="3" t="s">
        <v>163</v>
      </c>
      <c r="M306" s="3" t="s">
        <v>53</v>
      </c>
      <c r="N306" s="3" t="s">
        <v>73</v>
      </c>
      <c r="O306" s="3" t="s">
        <v>1560</v>
      </c>
      <c r="P306" s="3" t="s">
        <v>75</v>
      </c>
      <c r="Q306" s="3">
        <v>6</v>
      </c>
      <c r="R306" s="3">
        <v>2403.0500000000002</v>
      </c>
      <c r="S306" s="3">
        <v>0.1</v>
      </c>
      <c r="T306" s="3">
        <v>12976.47</v>
      </c>
      <c r="U306" s="3">
        <v>10019.98</v>
      </c>
      <c r="V306" s="3">
        <v>2956.49</v>
      </c>
      <c r="W306" s="3" t="s">
        <v>42</v>
      </c>
      <c r="X306" s="3" t="s">
        <v>43</v>
      </c>
      <c r="Y306" s="2" t="str">
        <f t="shared" si="37"/>
        <v>Unique</v>
      </c>
      <c r="AA306" s="2" t="str">
        <f t="shared" si="38"/>
        <v>Clean</v>
      </c>
      <c r="AB306" s="2" t="str">
        <f t="shared" si="39"/>
        <v>Invalid</v>
      </c>
      <c r="AC306">
        <f t="shared" si="40"/>
        <v>0.1</v>
      </c>
      <c r="AD306">
        <f t="shared" si="41"/>
        <v>12976.470000000001</v>
      </c>
      <c r="AE306">
        <f t="shared" si="42"/>
        <v>2956.4900000000016</v>
      </c>
      <c r="AF306">
        <f t="shared" si="43"/>
        <v>0.22783468847845378</v>
      </c>
      <c r="AG306" t="str">
        <f t="shared" si="44"/>
        <v>June</v>
      </c>
      <c r="AH306">
        <f t="shared" si="45"/>
        <v>2024</v>
      </c>
      <c r="AI306" t="str">
        <f t="shared" si="46"/>
        <v>Clean</v>
      </c>
    </row>
    <row r="307" spans="1:35" ht="15.75" customHeight="1">
      <c r="A307" s="3" t="s">
        <v>1561</v>
      </c>
      <c r="B307" s="3" t="s">
        <v>1562</v>
      </c>
      <c r="C307" s="3" t="s">
        <v>1226</v>
      </c>
      <c r="D307" s="3" t="str">
        <f t="shared" si="34"/>
        <v>05-Feb-2024</v>
      </c>
      <c r="E307" s="3" t="str">
        <f t="shared" si="35"/>
        <v>01-May-2024</v>
      </c>
      <c r="F307" s="3">
        <f t="shared" si="36"/>
        <v>-86</v>
      </c>
      <c r="G307" s="3" t="s">
        <v>1563</v>
      </c>
      <c r="H307" s="3" t="s">
        <v>80</v>
      </c>
      <c r="I307" s="3" t="s">
        <v>34</v>
      </c>
      <c r="J307" s="3" t="s">
        <v>50</v>
      </c>
      <c r="K307" s="3" t="s">
        <v>224</v>
      </c>
      <c r="L307" s="3" t="s">
        <v>225</v>
      </c>
      <c r="M307" s="3" t="s">
        <v>53</v>
      </c>
      <c r="N307" s="3" t="s">
        <v>84</v>
      </c>
      <c r="O307" s="3" t="s">
        <v>1564</v>
      </c>
      <c r="P307" s="3" t="s">
        <v>64</v>
      </c>
      <c r="Q307" s="3">
        <v>4</v>
      </c>
      <c r="R307" s="3">
        <v>4156.0600000000004</v>
      </c>
      <c r="S307" s="3">
        <v>0.55000000000000004</v>
      </c>
      <c r="T307" s="3">
        <v>13299.39</v>
      </c>
      <c r="U307" s="3">
        <v>9851.91</v>
      </c>
      <c r="V307" s="3">
        <v>3447.48</v>
      </c>
      <c r="W307" s="3" t="s">
        <v>42</v>
      </c>
      <c r="X307" s="3" t="s">
        <v>86</v>
      </c>
      <c r="Y307" s="2" t="str">
        <f t="shared" si="37"/>
        <v>Unique</v>
      </c>
      <c r="AA307" s="2" t="str">
        <f t="shared" si="38"/>
        <v>Invalid</v>
      </c>
      <c r="AB307" s="2" t="str">
        <f t="shared" si="39"/>
        <v>Invalid</v>
      </c>
      <c r="AC307">
        <f t="shared" si="40"/>
        <v>0.55000000000000004</v>
      </c>
      <c r="AD307">
        <f t="shared" si="41"/>
        <v>7480.9080000000004</v>
      </c>
      <c r="AE307">
        <f t="shared" si="42"/>
        <v>-2371.0019999999995</v>
      </c>
      <c r="AF307">
        <f t="shared" si="43"/>
        <v>-0.31694040349112695</v>
      </c>
      <c r="AG307" t="str">
        <f t="shared" si="44"/>
        <v>May</v>
      </c>
      <c r="AH307">
        <f t="shared" si="45"/>
        <v>2024</v>
      </c>
      <c r="AI307" t="str">
        <f t="shared" si="46"/>
        <v>Invalid</v>
      </c>
    </row>
    <row r="308" spans="1:35" ht="15.75" customHeight="1">
      <c r="A308" s="3" t="s">
        <v>1565</v>
      </c>
      <c r="B308" s="3" t="s">
        <v>1566</v>
      </c>
      <c r="C308" s="3" t="s">
        <v>105</v>
      </c>
      <c r="D308" s="3" t="str">
        <f t="shared" si="34"/>
        <v>23-Feb-2025</v>
      </c>
      <c r="E308" s="3" t="str">
        <f t="shared" si="35"/>
        <v>20-Feb-2025</v>
      </c>
      <c r="F308" s="3">
        <f t="shared" si="36"/>
        <v>3</v>
      </c>
      <c r="G308" s="3" t="s">
        <v>1567</v>
      </c>
      <c r="H308" s="3" t="s">
        <v>170</v>
      </c>
      <c r="I308" s="3" t="s">
        <v>34</v>
      </c>
      <c r="J308" s="3" t="s">
        <v>35</v>
      </c>
      <c r="K308" s="3" t="s">
        <v>36</v>
      </c>
      <c r="L308" s="3" t="s">
        <v>37</v>
      </c>
      <c r="M308" s="3" t="s">
        <v>94</v>
      </c>
      <c r="N308" s="3" t="s">
        <v>231</v>
      </c>
      <c r="O308" s="3" t="s">
        <v>1568</v>
      </c>
      <c r="P308" s="3" t="s">
        <v>41</v>
      </c>
      <c r="Q308" s="3">
        <v>4</v>
      </c>
      <c r="R308" s="3">
        <v>3673.11</v>
      </c>
      <c r="S308" s="3">
        <v>0</v>
      </c>
      <c r="T308" s="3">
        <v>14692.44</v>
      </c>
      <c r="U308" s="3">
        <v>10082.19</v>
      </c>
      <c r="V308" s="3">
        <v>4610.25</v>
      </c>
      <c r="W308" s="3" t="s">
        <v>42</v>
      </c>
      <c r="X308" s="3" t="s">
        <v>43</v>
      </c>
      <c r="Y308" s="2" t="str">
        <f t="shared" si="37"/>
        <v>Unique</v>
      </c>
      <c r="AA308" s="2" t="str">
        <f t="shared" si="38"/>
        <v>Clean</v>
      </c>
      <c r="AB308" s="2" t="str">
        <f t="shared" si="39"/>
        <v>valid</v>
      </c>
      <c r="AC308">
        <f t="shared" si="40"/>
        <v>0</v>
      </c>
      <c r="AD308">
        <f t="shared" si="41"/>
        <v>14692.44</v>
      </c>
      <c r="AE308">
        <f t="shared" si="42"/>
        <v>4610.25</v>
      </c>
      <c r="AF308">
        <f t="shared" si="43"/>
        <v>0.31378382351740075</v>
      </c>
      <c r="AG308" t="str">
        <f t="shared" si="44"/>
        <v>February</v>
      </c>
      <c r="AH308">
        <f t="shared" si="45"/>
        <v>2025</v>
      </c>
      <c r="AI308" t="str">
        <f t="shared" si="46"/>
        <v>Clean</v>
      </c>
    </row>
    <row r="309" spans="1:35" ht="15.75" customHeight="1">
      <c r="A309" s="3" t="s">
        <v>1569</v>
      </c>
      <c r="B309" s="3" t="s">
        <v>1570</v>
      </c>
      <c r="C309" s="3" t="s">
        <v>1571</v>
      </c>
      <c r="D309" s="3" t="str">
        <f t="shared" si="34"/>
        <v>19-Jul-2025</v>
      </c>
      <c r="E309" s="3" t="str">
        <f t="shared" si="35"/>
        <v>12-Jul-2025</v>
      </c>
      <c r="F309" s="3">
        <f t="shared" si="36"/>
        <v>7</v>
      </c>
      <c r="G309" s="3" t="s">
        <v>1572</v>
      </c>
      <c r="H309" s="3" t="s">
        <v>80</v>
      </c>
      <c r="I309" s="3" t="s">
        <v>116</v>
      </c>
      <c r="J309" s="3" t="s">
        <v>35</v>
      </c>
      <c r="K309" s="3" t="s">
        <v>182</v>
      </c>
      <c r="L309" s="3" t="s">
        <v>183</v>
      </c>
      <c r="M309" s="3" t="s">
        <v>53</v>
      </c>
      <c r="N309" s="3" t="s">
        <v>54</v>
      </c>
      <c r="O309" s="3" t="s">
        <v>1573</v>
      </c>
      <c r="P309" s="3" t="s">
        <v>64</v>
      </c>
      <c r="Q309" s="3">
        <v>9</v>
      </c>
      <c r="R309" s="3">
        <v>4093.04</v>
      </c>
      <c r="S309" s="3">
        <v>0.2</v>
      </c>
      <c r="T309" s="3">
        <v>29469.89</v>
      </c>
      <c r="U309" s="3">
        <v>18935.509999999998</v>
      </c>
      <c r="V309" s="3">
        <v>10534.38</v>
      </c>
      <c r="W309" s="3" t="s">
        <v>145</v>
      </c>
      <c r="X309" s="3" t="s">
        <v>86</v>
      </c>
      <c r="Y309" s="2" t="str">
        <f t="shared" si="37"/>
        <v>Unique</v>
      </c>
      <c r="AA309" s="2" t="str">
        <f t="shared" si="38"/>
        <v>Clean</v>
      </c>
      <c r="AB309" s="2" t="str">
        <f t="shared" si="39"/>
        <v>valid</v>
      </c>
      <c r="AC309">
        <f t="shared" si="40"/>
        <v>0.2</v>
      </c>
      <c r="AD309">
        <f t="shared" si="41"/>
        <v>29469.888000000003</v>
      </c>
      <c r="AE309">
        <f t="shared" si="42"/>
        <v>10534.378000000004</v>
      </c>
      <c r="AF309">
        <f t="shared" si="43"/>
        <v>0.3574624375905332</v>
      </c>
      <c r="AG309" t="str">
        <f t="shared" si="44"/>
        <v>July</v>
      </c>
      <c r="AH309">
        <f t="shared" si="45"/>
        <v>2025</v>
      </c>
      <c r="AI309" t="str">
        <f t="shared" si="46"/>
        <v>Warning</v>
      </c>
    </row>
    <row r="310" spans="1:35" ht="15.75" customHeight="1">
      <c r="A310" s="3" t="s">
        <v>1574</v>
      </c>
      <c r="B310" s="3" t="s">
        <v>1575</v>
      </c>
      <c r="C310" s="3" t="s">
        <v>1576</v>
      </c>
      <c r="D310" s="3" t="str">
        <f t="shared" si="34"/>
        <v>19-Jun-2025</v>
      </c>
      <c r="E310" s="3" t="str">
        <f t="shared" si="35"/>
        <v>13-Jun-2025</v>
      </c>
      <c r="F310" s="3">
        <f t="shared" si="36"/>
        <v>6</v>
      </c>
      <c r="G310" s="3" t="s">
        <v>1577</v>
      </c>
      <c r="H310" s="3" t="s">
        <v>188</v>
      </c>
      <c r="I310" s="3" t="s">
        <v>34</v>
      </c>
      <c r="J310" s="3" t="s">
        <v>35</v>
      </c>
      <c r="K310" s="3" t="s">
        <v>36</v>
      </c>
      <c r="L310" s="3" t="s">
        <v>37</v>
      </c>
      <c r="M310" s="3" t="s">
        <v>53</v>
      </c>
      <c r="N310" s="3" t="s">
        <v>54</v>
      </c>
      <c r="O310" s="3" t="s">
        <v>1578</v>
      </c>
      <c r="P310" s="3" t="s">
        <v>64</v>
      </c>
      <c r="Q310" s="3">
        <v>4</v>
      </c>
      <c r="R310" s="3">
        <v>731.57</v>
      </c>
      <c r="S310" s="3">
        <v>0.2</v>
      </c>
      <c r="T310" s="3">
        <v>2341.02</v>
      </c>
      <c r="U310" s="3">
        <v>1565.49</v>
      </c>
      <c r="V310" s="3">
        <v>775.53</v>
      </c>
      <c r="W310" s="3" t="s">
        <v>42</v>
      </c>
      <c r="X310" s="3" t="s">
        <v>43</v>
      </c>
      <c r="Y310" s="2" t="str">
        <f t="shared" si="37"/>
        <v>Unique</v>
      </c>
      <c r="AA310" s="2" t="str">
        <f t="shared" si="38"/>
        <v>Clean</v>
      </c>
      <c r="AB310" s="2" t="str">
        <f t="shared" si="39"/>
        <v>valid</v>
      </c>
      <c r="AC310">
        <f t="shared" si="40"/>
        <v>0.2</v>
      </c>
      <c r="AD310">
        <f t="shared" si="41"/>
        <v>2341.0240000000003</v>
      </c>
      <c r="AE310">
        <f t="shared" si="42"/>
        <v>775.53400000000033</v>
      </c>
      <c r="AF310">
        <f t="shared" si="43"/>
        <v>0.33127981601213835</v>
      </c>
      <c r="AG310" t="str">
        <f t="shared" si="44"/>
        <v>June</v>
      </c>
      <c r="AH310">
        <f t="shared" si="45"/>
        <v>2025</v>
      </c>
      <c r="AI310" t="str">
        <f t="shared" si="46"/>
        <v>Clean</v>
      </c>
    </row>
    <row r="311" spans="1:35" ht="15.75" customHeight="1">
      <c r="A311" s="3" t="s">
        <v>1579</v>
      </c>
      <c r="B311" s="3" t="s">
        <v>1580</v>
      </c>
      <c r="C311" s="3" t="s">
        <v>135</v>
      </c>
      <c r="D311" s="3" t="str">
        <f t="shared" si="34"/>
        <v>22-Jul-2024</v>
      </c>
      <c r="E311" s="3" t="str">
        <f t="shared" si="35"/>
        <v>20-Jul-2024</v>
      </c>
      <c r="F311" s="3">
        <f t="shared" si="36"/>
        <v>2</v>
      </c>
      <c r="G311" s="3" t="s">
        <v>1581</v>
      </c>
      <c r="H311" s="3" t="s">
        <v>80</v>
      </c>
      <c r="I311" s="3" t="s">
        <v>34</v>
      </c>
      <c r="J311" s="3" t="s">
        <v>70</v>
      </c>
      <c r="K311" s="3" t="s">
        <v>347</v>
      </c>
      <c r="L311" s="3" t="s">
        <v>348</v>
      </c>
      <c r="M311" s="3" t="s">
        <v>53</v>
      </c>
      <c r="N311" s="3" t="s">
        <v>54</v>
      </c>
      <c r="O311" s="3" t="s">
        <v>1582</v>
      </c>
      <c r="P311" s="3" t="s">
        <v>64</v>
      </c>
      <c r="Q311" s="3">
        <v>7</v>
      </c>
      <c r="R311" s="3">
        <v>2060.73</v>
      </c>
      <c r="S311" s="3">
        <v>0.1</v>
      </c>
      <c r="T311" s="3">
        <v>12982.6</v>
      </c>
      <c r="U311" s="3">
        <v>7246.36</v>
      </c>
      <c r="V311" s="3">
        <v>5736.24</v>
      </c>
      <c r="W311" s="3" t="s">
        <v>42</v>
      </c>
      <c r="X311" s="3" t="s">
        <v>86</v>
      </c>
      <c r="Y311" s="2" t="str">
        <f t="shared" si="37"/>
        <v>Unique</v>
      </c>
      <c r="AA311" s="2" t="str">
        <f t="shared" si="38"/>
        <v>Clean</v>
      </c>
      <c r="AB311" s="2" t="str">
        <f t="shared" si="39"/>
        <v>valid</v>
      </c>
      <c r="AC311">
        <f t="shared" si="40"/>
        <v>0.1</v>
      </c>
      <c r="AD311">
        <f t="shared" si="41"/>
        <v>12982.599</v>
      </c>
      <c r="AE311">
        <f t="shared" si="42"/>
        <v>5736.2390000000005</v>
      </c>
      <c r="AF311">
        <f t="shared" si="43"/>
        <v>0.441840574448922</v>
      </c>
      <c r="AG311" t="str">
        <f t="shared" si="44"/>
        <v>July</v>
      </c>
      <c r="AH311">
        <f t="shared" si="45"/>
        <v>2024</v>
      </c>
      <c r="AI311" t="str">
        <f t="shared" si="46"/>
        <v>Warning</v>
      </c>
    </row>
    <row r="312" spans="1:35" ht="15.75" customHeight="1">
      <c r="A312" s="3" t="s">
        <v>1583</v>
      </c>
      <c r="B312" s="3" t="s">
        <v>1584</v>
      </c>
      <c r="C312" s="3" t="s">
        <v>1585</v>
      </c>
      <c r="D312" s="3" t="str">
        <f t="shared" si="34"/>
        <v>08-Jul-2024</v>
      </c>
      <c r="E312" s="3" t="str">
        <f t="shared" si="35"/>
        <v>04-Jul-2024</v>
      </c>
      <c r="F312" s="3">
        <f t="shared" si="36"/>
        <v>4</v>
      </c>
      <c r="G312" s="3" t="s">
        <v>1586</v>
      </c>
      <c r="H312" s="3" t="s">
        <v>188</v>
      </c>
      <c r="I312" s="3" t="s">
        <v>49</v>
      </c>
      <c r="J312" s="3" t="s">
        <v>70</v>
      </c>
      <c r="K312" s="3" t="s">
        <v>347</v>
      </c>
      <c r="L312" s="3" t="s">
        <v>348</v>
      </c>
      <c r="M312" s="3" t="s">
        <v>94</v>
      </c>
      <c r="N312" s="3" t="s">
        <v>391</v>
      </c>
      <c r="O312" s="3" t="s">
        <v>1587</v>
      </c>
      <c r="P312" s="3" t="s">
        <v>64</v>
      </c>
      <c r="Q312" s="3">
        <v>8</v>
      </c>
      <c r="R312" s="3">
        <v>2034.25</v>
      </c>
      <c r="S312" s="3">
        <v>0</v>
      </c>
      <c r="T312" s="3">
        <v>16274</v>
      </c>
      <c r="U312" s="3">
        <v>9424.25</v>
      </c>
      <c r="V312" s="3">
        <v>6849.75</v>
      </c>
      <c r="W312" s="3" t="s">
        <v>42</v>
      </c>
      <c r="X312" s="3" t="s">
        <v>43</v>
      </c>
      <c r="Y312" s="2" t="str">
        <f t="shared" si="37"/>
        <v>Unique</v>
      </c>
      <c r="AA312" s="2" t="str">
        <f t="shared" si="38"/>
        <v>Clean</v>
      </c>
      <c r="AB312" s="2" t="str">
        <f t="shared" si="39"/>
        <v>valid</v>
      </c>
      <c r="AC312">
        <f t="shared" si="40"/>
        <v>0</v>
      </c>
      <c r="AD312">
        <f t="shared" si="41"/>
        <v>16274</v>
      </c>
      <c r="AE312">
        <f t="shared" si="42"/>
        <v>6849.75</v>
      </c>
      <c r="AF312">
        <f t="shared" si="43"/>
        <v>0.42090143787636719</v>
      </c>
      <c r="AG312" t="str">
        <f t="shared" si="44"/>
        <v>July</v>
      </c>
      <c r="AH312">
        <f t="shared" si="45"/>
        <v>2024</v>
      </c>
      <c r="AI312" t="str">
        <f t="shared" si="46"/>
        <v>Clean</v>
      </c>
    </row>
    <row r="313" spans="1:35" ht="15.75" customHeight="1">
      <c r="A313" s="3" t="s">
        <v>1588</v>
      </c>
      <c r="B313" s="3" t="s">
        <v>1589</v>
      </c>
      <c r="C313" s="3" t="s">
        <v>953</v>
      </c>
      <c r="D313" s="3" t="str">
        <f t="shared" si="34"/>
        <v>02-May-2024</v>
      </c>
      <c r="E313" s="3" t="str">
        <f t="shared" si="35"/>
        <v>27-Apr-2024</v>
      </c>
      <c r="F313" s="3">
        <f t="shared" si="36"/>
        <v>5</v>
      </c>
      <c r="G313" s="3" t="s">
        <v>1590</v>
      </c>
      <c r="H313" s="3" t="s">
        <v>48</v>
      </c>
      <c r="I313" s="3" t="s">
        <v>116</v>
      </c>
      <c r="J313" s="3" t="s">
        <v>70</v>
      </c>
      <c r="K313" s="3" t="s">
        <v>237</v>
      </c>
      <c r="L313" s="3" t="s">
        <v>238</v>
      </c>
      <c r="M313" s="3" t="s">
        <v>38</v>
      </c>
      <c r="N313" s="3" t="s">
        <v>206</v>
      </c>
      <c r="O313" s="3" t="s">
        <v>1591</v>
      </c>
      <c r="P313" s="3" t="s">
        <v>41</v>
      </c>
      <c r="Q313" s="3">
        <v>5</v>
      </c>
      <c r="R313" s="3">
        <v>554.04</v>
      </c>
      <c r="S313" s="3">
        <v>0.1</v>
      </c>
      <c r="T313" s="3">
        <v>2493.1799999999998</v>
      </c>
      <c r="U313" s="3">
        <v>1764</v>
      </c>
      <c r="V313" s="3">
        <v>729.18</v>
      </c>
      <c r="W313" s="3" t="s">
        <v>42</v>
      </c>
      <c r="X313" s="3" t="s">
        <v>43</v>
      </c>
      <c r="Y313" s="2" t="str">
        <f t="shared" si="37"/>
        <v>Unique</v>
      </c>
      <c r="AA313" s="2" t="str">
        <f t="shared" si="38"/>
        <v>Clean</v>
      </c>
      <c r="AB313" s="2" t="str">
        <f t="shared" si="39"/>
        <v>valid</v>
      </c>
      <c r="AC313">
        <f t="shared" si="40"/>
        <v>0.1</v>
      </c>
      <c r="AD313">
        <f t="shared" si="41"/>
        <v>2493.1799999999998</v>
      </c>
      <c r="AE313">
        <f t="shared" si="42"/>
        <v>729.17999999999984</v>
      </c>
      <c r="AF313">
        <f t="shared" si="43"/>
        <v>0.29246985777200196</v>
      </c>
      <c r="AG313" t="str">
        <f t="shared" si="44"/>
        <v>April</v>
      </c>
      <c r="AH313">
        <f t="shared" si="45"/>
        <v>2024</v>
      </c>
      <c r="AI313" t="str">
        <f t="shared" si="46"/>
        <v>Clean</v>
      </c>
    </row>
    <row r="314" spans="1:35" ht="15.75" customHeight="1">
      <c r="A314" s="3" t="s">
        <v>1592</v>
      </c>
      <c r="B314" s="3" t="s">
        <v>1593</v>
      </c>
      <c r="C314" s="3" t="s">
        <v>525</v>
      </c>
      <c r="D314" s="3" t="str">
        <f t="shared" si="34"/>
        <v>04-Aug-2024</v>
      </c>
      <c r="E314" s="3" t="str">
        <f t="shared" si="35"/>
        <v>31-Jul-2024</v>
      </c>
      <c r="F314" s="3">
        <f t="shared" si="36"/>
        <v>4</v>
      </c>
      <c r="G314" s="3" t="s">
        <v>1594</v>
      </c>
      <c r="H314" s="3" t="s">
        <v>33</v>
      </c>
      <c r="I314" s="3" t="s">
        <v>49</v>
      </c>
      <c r="J314" s="3" t="s">
        <v>50</v>
      </c>
      <c r="K314" s="3" t="s">
        <v>224</v>
      </c>
      <c r="L314" s="3" t="s">
        <v>225</v>
      </c>
      <c r="M314" s="3" t="s">
        <v>94</v>
      </c>
      <c r="N314" s="3" t="s">
        <v>231</v>
      </c>
      <c r="O314" s="3" t="s">
        <v>1595</v>
      </c>
      <c r="P314" s="3" t="s">
        <v>75</v>
      </c>
      <c r="Q314" s="3">
        <v>8</v>
      </c>
      <c r="R314" s="3">
        <v>2614.7399999999998</v>
      </c>
      <c r="S314" s="3">
        <v>0</v>
      </c>
      <c r="T314" s="3">
        <v>15688.44</v>
      </c>
      <c r="U314" s="3">
        <v>10047.33</v>
      </c>
      <c r="V314" s="3">
        <v>5641.11</v>
      </c>
      <c r="W314" s="3" t="s">
        <v>42</v>
      </c>
      <c r="X314" s="3" t="s">
        <v>86</v>
      </c>
      <c r="Y314" s="4" t="str">
        <f t="shared" si="37"/>
        <v>Unique</v>
      </c>
      <c r="AA314" s="2" t="str">
        <f t="shared" si="38"/>
        <v>Clean</v>
      </c>
      <c r="AB314" s="2" t="str">
        <f t="shared" si="39"/>
        <v>valid</v>
      </c>
      <c r="AC314">
        <f t="shared" si="40"/>
        <v>0</v>
      </c>
      <c r="AD314">
        <f t="shared" si="41"/>
        <v>20917.919999999998</v>
      </c>
      <c r="AE314">
        <f t="shared" si="42"/>
        <v>10870.589999999998</v>
      </c>
      <c r="AF314">
        <f t="shared" si="43"/>
        <v>0.5196783427797792</v>
      </c>
      <c r="AG314" t="str">
        <f t="shared" si="44"/>
        <v>July</v>
      </c>
      <c r="AH314">
        <f t="shared" si="45"/>
        <v>2024</v>
      </c>
      <c r="AI314" t="str">
        <f t="shared" si="46"/>
        <v>Warning</v>
      </c>
    </row>
    <row r="315" spans="1:35" ht="15.75" customHeight="1">
      <c r="A315" s="3" t="s">
        <v>1596</v>
      </c>
      <c r="B315" s="3" t="s">
        <v>1597</v>
      </c>
      <c r="C315" s="3" t="s">
        <v>1598</v>
      </c>
      <c r="D315" s="3" t="str">
        <f t="shared" si="34"/>
        <v>31-May-2025</v>
      </c>
      <c r="E315" s="3" t="str">
        <f t="shared" si="35"/>
        <v>30-May-2025</v>
      </c>
      <c r="F315" s="3">
        <f t="shared" si="36"/>
        <v>1</v>
      </c>
      <c r="G315" s="3" t="s">
        <v>1599</v>
      </c>
      <c r="H315" s="3" t="s">
        <v>156</v>
      </c>
      <c r="I315" s="3" t="s">
        <v>116</v>
      </c>
      <c r="J315" s="3" t="s">
        <v>35</v>
      </c>
      <c r="K315" s="3" t="s">
        <v>182</v>
      </c>
      <c r="L315" s="3" t="s">
        <v>183</v>
      </c>
      <c r="M315" s="3" t="s">
        <v>94</v>
      </c>
      <c r="N315" s="3" t="s">
        <v>231</v>
      </c>
      <c r="O315" s="3" t="s">
        <v>1600</v>
      </c>
      <c r="P315" s="3" t="s">
        <v>64</v>
      </c>
      <c r="Q315" s="3">
        <v>8</v>
      </c>
      <c r="R315" s="3">
        <v>2081.4299999999998</v>
      </c>
      <c r="S315" s="3">
        <v>0.25</v>
      </c>
      <c r="T315" s="3">
        <v>12488.58</v>
      </c>
      <c r="U315" s="3">
        <v>10717.4</v>
      </c>
      <c r="V315" s="3">
        <v>1771.18</v>
      </c>
      <c r="W315" s="3" t="s">
        <v>132</v>
      </c>
      <c r="X315" s="3" t="s">
        <v>86</v>
      </c>
      <c r="Y315" s="2" t="str">
        <f t="shared" si="37"/>
        <v>Unique</v>
      </c>
      <c r="AA315" s="2" t="str">
        <f t="shared" si="38"/>
        <v>Clean</v>
      </c>
      <c r="AB315" s="2" t="str">
        <f t="shared" si="39"/>
        <v>valid</v>
      </c>
      <c r="AC315">
        <f t="shared" si="40"/>
        <v>0.25</v>
      </c>
      <c r="AD315">
        <f t="shared" si="41"/>
        <v>12488.579999999998</v>
      </c>
      <c r="AE315">
        <f t="shared" si="42"/>
        <v>1771.1799999999985</v>
      </c>
      <c r="AF315">
        <f t="shared" si="43"/>
        <v>0.14182397037933847</v>
      </c>
      <c r="AG315" t="str">
        <f t="shared" si="44"/>
        <v>May</v>
      </c>
      <c r="AH315">
        <f t="shared" si="45"/>
        <v>2025</v>
      </c>
      <c r="AI315" t="str">
        <f t="shared" si="46"/>
        <v>Warning</v>
      </c>
    </row>
    <row r="316" spans="1:35" ht="15.75" customHeight="1">
      <c r="A316" s="3" t="s">
        <v>1601</v>
      </c>
      <c r="B316" s="3" t="s">
        <v>1107</v>
      </c>
      <c r="C316" s="3" t="s">
        <v>126</v>
      </c>
      <c r="D316" s="3" t="str">
        <f t="shared" si="34"/>
        <v>20-May-2025</v>
      </c>
      <c r="E316" s="3" t="str">
        <f t="shared" si="35"/>
        <v>18-May-2025</v>
      </c>
      <c r="F316" s="3">
        <f t="shared" si="36"/>
        <v>2</v>
      </c>
      <c r="G316" s="3" t="s">
        <v>1602</v>
      </c>
      <c r="H316" s="3" t="s">
        <v>61</v>
      </c>
      <c r="I316" s="3" t="s">
        <v>116</v>
      </c>
      <c r="J316" s="3" t="s">
        <v>81</v>
      </c>
      <c r="K316" s="3" t="s">
        <v>92</v>
      </c>
      <c r="L316" s="3" t="s">
        <v>93</v>
      </c>
      <c r="M316" s="3" t="s">
        <v>38</v>
      </c>
      <c r="N316" s="3" t="s">
        <v>117</v>
      </c>
      <c r="O316" s="3" t="s">
        <v>1603</v>
      </c>
      <c r="P316" s="3" t="s">
        <v>75</v>
      </c>
      <c r="Q316" s="3">
        <v>9</v>
      </c>
      <c r="R316" s="3">
        <v>847.76</v>
      </c>
      <c r="S316" s="3">
        <v>0.15</v>
      </c>
      <c r="T316" s="3">
        <v>6485.36</v>
      </c>
      <c r="U316" s="3">
        <v>5376.17</v>
      </c>
      <c r="V316" s="3">
        <v>1109.19</v>
      </c>
      <c r="W316" s="3" t="s">
        <v>208</v>
      </c>
      <c r="X316" s="3" t="s">
        <v>133</v>
      </c>
      <c r="Y316" s="2" t="str">
        <f t="shared" si="37"/>
        <v>Duplicate Order ID</v>
      </c>
      <c r="Z316" s="5" t="s">
        <v>722</v>
      </c>
      <c r="AA316" s="2" t="str">
        <f t="shared" si="38"/>
        <v>Clean</v>
      </c>
      <c r="AB316" s="2" t="str">
        <f t="shared" si="39"/>
        <v>valid</v>
      </c>
      <c r="AC316">
        <f t="shared" si="40"/>
        <v>0.15</v>
      </c>
      <c r="AD316">
        <f t="shared" si="41"/>
        <v>6485.3639999999996</v>
      </c>
      <c r="AE316">
        <f t="shared" si="42"/>
        <v>1109.1939999999995</v>
      </c>
      <c r="AF316">
        <f t="shared" si="43"/>
        <v>0.17103033846673826</v>
      </c>
      <c r="AG316" t="str">
        <f t="shared" si="44"/>
        <v>May</v>
      </c>
      <c r="AH316">
        <f t="shared" si="45"/>
        <v>2025</v>
      </c>
      <c r="AI316" t="str">
        <f t="shared" si="46"/>
        <v>Warning</v>
      </c>
    </row>
    <row r="317" spans="1:35" ht="15.75" customHeight="1">
      <c r="A317" s="3" t="s">
        <v>1604</v>
      </c>
      <c r="B317" s="3" t="s">
        <v>1605</v>
      </c>
      <c r="C317" s="3" t="s">
        <v>1606</v>
      </c>
      <c r="D317" s="3" t="str">
        <f t="shared" si="34"/>
        <v>08-Jul-2024</v>
      </c>
      <c r="E317" s="3" t="str">
        <f t="shared" si="35"/>
        <v>02-Jul-2024</v>
      </c>
      <c r="F317" s="3">
        <f t="shared" si="36"/>
        <v>6</v>
      </c>
      <c r="G317" s="3" t="s">
        <v>1607</v>
      </c>
      <c r="H317" s="3" t="s">
        <v>188</v>
      </c>
      <c r="I317" s="3" t="s">
        <v>34</v>
      </c>
      <c r="J317" s="3" t="s">
        <v>35</v>
      </c>
      <c r="K317" s="3" t="s">
        <v>515</v>
      </c>
      <c r="L317" s="3" t="s">
        <v>516</v>
      </c>
      <c r="M317" s="3" t="s">
        <v>38</v>
      </c>
      <c r="N317" s="3" t="s">
        <v>39</v>
      </c>
      <c r="O317" s="3" t="s">
        <v>1608</v>
      </c>
      <c r="P317" s="3" t="s">
        <v>75</v>
      </c>
      <c r="Q317" s="3">
        <v>9</v>
      </c>
      <c r="R317" s="3">
        <v>3450.4</v>
      </c>
      <c r="S317" s="3">
        <v>0.05</v>
      </c>
      <c r="T317" s="3">
        <v>29500.92</v>
      </c>
      <c r="U317" s="3">
        <v>17989.68</v>
      </c>
      <c r="V317" s="3">
        <v>11511.24</v>
      </c>
      <c r="W317" s="3" t="s">
        <v>145</v>
      </c>
      <c r="X317" s="3" t="s">
        <v>133</v>
      </c>
      <c r="Y317" s="2" t="str">
        <f t="shared" si="37"/>
        <v>Unique</v>
      </c>
      <c r="AA317" s="2" t="str">
        <f t="shared" si="38"/>
        <v>Clean</v>
      </c>
      <c r="AB317" s="2" t="str">
        <f t="shared" si="39"/>
        <v>valid</v>
      </c>
      <c r="AC317">
        <f t="shared" si="40"/>
        <v>0.05</v>
      </c>
      <c r="AD317">
        <f t="shared" si="41"/>
        <v>29500.920000000002</v>
      </c>
      <c r="AE317">
        <f t="shared" si="42"/>
        <v>11511.240000000002</v>
      </c>
      <c r="AF317">
        <f t="shared" si="43"/>
        <v>0.39019935649464493</v>
      </c>
      <c r="AG317" t="str">
        <f t="shared" si="44"/>
        <v>July</v>
      </c>
      <c r="AH317">
        <f t="shared" si="45"/>
        <v>2024</v>
      </c>
      <c r="AI317" t="str">
        <f t="shared" si="46"/>
        <v>Clean</v>
      </c>
    </row>
    <row r="318" spans="1:35" ht="15.75" customHeight="1">
      <c r="A318" s="3" t="s">
        <v>1609</v>
      </c>
      <c r="B318" s="3" t="s">
        <v>1610</v>
      </c>
      <c r="C318" s="3" t="s">
        <v>1611</v>
      </c>
      <c r="D318" s="3" t="str">
        <f t="shared" si="34"/>
        <v>18-Feb-2024</v>
      </c>
      <c r="E318" s="3" t="str">
        <f t="shared" si="35"/>
        <v>16-Feb-2024</v>
      </c>
      <c r="F318" s="3">
        <f t="shared" si="36"/>
        <v>2</v>
      </c>
      <c r="G318" s="3" t="s">
        <v>1612</v>
      </c>
      <c r="H318" s="3" t="s">
        <v>33</v>
      </c>
      <c r="I318" s="3" t="s">
        <v>116</v>
      </c>
      <c r="J318" s="3" t="s">
        <v>35</v>
      </c>
      <c r="K318" s="3" t="s">
        <v>162</v>
      </c>
      <c r="L318" s="3" t="s">
        <v>163</v>
      </c>
      <c r="M318" s="3" t="s">
        <v>38</v>
      </c>
      <c r="N318" s="3" t="s">
        <v>117</v>
      </c>
      <c r="O318" s="3" t="s">
        <v>1613</v>
      </c>
      <c r="P318" s="3" t="s">
        <v>75</v>
      </c>
      <c r="Q318" s="3">
        <v>2</v>
      </c>
      <c r="R318" s="3">
        <v>1947.53</v>
      </c>
      <c r="S318" s="3">
        <v>0.2</v>
      </c>
      <c r="T318" s="3">
        <v>3116.05</v>
      </c>
      <c r="U318" s="3">
        <v>1956.63</v>
      </c>
      <c r="V318" s="3">
        <v>1159.42</v>
      </c>
      <c r="W318" s="3" t="s">
        <v>42</v>
      </c>
      <c r="X318" s="3" t="s">
        <v>86</v>
      </c>
      <c r="Y318" s="2" t="str">
        <f t="shared" si="37"/>
        <v>Unique</v>
      </c>
      <c r="AA318" s="2" t="str">
        <f t="shared" si="38"/>
        <v>Clean</v>
      </c>
      <c r="AB318" s="2" t="str">
        <f t="shared" si="39"/>
        <v>valid</v>
      </c>
      <c r="AC318">
        <f t="shared" si="40"/>
        <v>0.2</v>
      </c>
      <c r="AD318">
        <f t="shared" si="41"/>
        <v>3116.0480000000002</v>
      </c>
      <c r="AE318">
        <f t="shared" si="42"/>
        <v>1159.4180000000001</v>
      </c>
      <c r="AF318">
        <f t="shared" si="43"/>
        <v>0.37207963420332424</v>
      </c>
      <c r="AG318" t="str">
        <f t="shared" si="44"/>
        <v>February</v>
      </c>
      <c r="AH318">
        <f t="shared" si="45"/>
        <v>2024</v>
      </c>
      <c r="AI318" t="str">
        <f t="shared" si="46"/>
        <v>Warning</v>
      </c>
    </row>
    <row r="319" spans="1:35" ht="15.75" customHeight="1">
      <c r="A319" s="3" t="s">
        <v>1614</v>
      </c>
      <c r="B319" s="3" t="s">
        <v>1615</v>
      </c>
      <c r="C319" s="3" t="s">
        <v>1616</v>
      </c>
      <c r="D319" s="3" t="str">
        <f t="shared" si="34"/>
        <v>04-Sep-2025</v>
      </c>
      <c r="E319" s="3" t="str">
        <f t="shared" si="35"/>
        <v>29-Aug-2025</v>
      </c>
      <c r="F319" s="3">
        <f t="shared" si="36"/>
        <v>6</v>
      </c>
      <c r="G319" s="3" t="s">
        <v>1617</v>
      </c>
      <c r="H319" s="3" t="s">
        <v>101</v>
      </c>
      <c r="I319" s="3" t="s">
        <v>116</v>
      </c>
      <c r="J319" s="3" t="s">
        <v>70</v>
      </c>
      <c r="K319" s="3" t="s">
        <v>250</v>
      </c>
      <c r="L319" s="3" t="s">
        <v>251</v>
      </c>
      <c r="M319" s="3" t="s">
        <v>53</v>
      </c>
      <c r="N319" s="3" t="s">
        <v>54</v>
      </c>
      <c r="O319" s="3" t="s">
        <v>1618</v>
      </c>
      <c r="P319" s="3" t="s">
        <v>64</v>
      </c>
      <c r="Q319" s="3">
        <v>9</v>
      </c>
      <c r="R319" s="3">
        <v>2996.97</v>
      </c>
      <c r="S319" s="3">
        <v>0.15</v>
      </c>
      <c r="T319" s="3">
        <v>22926.82</v>
      </c>
      <c r="U319" s="3">
        <v>14621.59</v>
      </c>
      <c r="V319" s="3">
        <v>8305.23</v>
      </c>
      <c r="W319" s="3" t="s">
        <v>42</v>
      </c>
      <c r="X319" s="3" t="s">
        <v>43</v>
      </c>
      <c r="Y319" s="2" t="str">
        <f t="shared" si="37"/>
        <v>Unique</v>
      </c>
      <c r="AA319" s="2" t="str">
        <f t="shared" si="38"/>
        <v>Clean</v>
      </c>
      <c r="AB319" s="2" t="str">
        <f t="shared" si="39"/>
        <v>valid</v>
      </c>
      <c r="AC319">
        <f t="shared" si="40"/>
        <v>0.15</v>
      </c>
      <c r="AD319">
        <f t="shared" si="41"/>
        <v>22926.820499999998</v>
      </c>
      <c r="AE319">
        <f t="shared" si="42"/>
        <v>8305.2304999999978</v>
      </c>
      <c r="AF319">
        <f t="shared" si="43"/>
        <v>0.36224955396671765</v>
      </c>
      <c r="AG319" t="str">
        <f t="shared" si="44"/>
        <v>August</v>
      </c>
      <c r="AH319">
        <f t="shared" si="45"/>
        <v>2025</v>
      </c>
      <c r="AI319" t="str">
        <f t="shared" si="46"/>
        <v>Clean</v>
      </c>
    </row>
    <row r="320" spans="1:35" ht="15.75" customHeight="1">
      <c r="A320" s="3" t="s">
        <v>1619</v>
      </c>
      <c r="B320" s="3" t="s">
        <v>1620</v>
      </c>
      <c r="C320" s="3" t="s">
        <v>1621</v>
      </c>
      <c r="D320" s="3" t="str">
        <f t="shared" si="34"/>
        <v>30-Apr-2024</v>
      </c>
      <c r="E320" s="3" t="str">
        <f t="shared" si="35"/>
        <v>25-Apr-2024</v>
      </c>
      <c r="F320" s="3">
        <f t="shared" si="36"/>
        <v>5</v>
      </c>
      <c r="G320" s="3" t="s">
        <v>1622</v>
      </c>
      <c r="H320" s="3" t="s">
        <v>48</v>
      </c>
      <c r="I320" s="3" t="s">
        <v>49</v>
      </c>
      <c r="J320" s="3" t="s">
        <v>70</v>
      </c>
      <c r="K320" s="3" t="s">
        <v>237</v>
      </c>
      <c r="L320" s="3" t="s">
        <v>238</v>
      </c>
      <c r="M320" s="3" t="s">
        <v>94</v>
      </c>
      <c r="N320" s="3" t="s">
        <v>231</v>
      </c>
      <c r="O320" s="3" t="s">
        <v>1623</v>
      </c>
      <c r="P320" s="3" t="s">
        <v>75</v>
      </c>
      <c r="Q320" s="3">
        <v>3</v>
      </c>
      <c r="R320" s="3">
        <v>4149.46</v>
      </c>
      <c r="S320" s="3">
        <v>0.1</v>
      </c>
      <c r="T320" s="3">
        <v>11203.54</v>
      </c>
      <c r="U320" s="3">
        <v>8452.93</v>
      </c>
      <c r="V320" s="3">
        <v>2750.61</v>
      </c>
      <c r="W320" s="3" t="s">
        <v>42</v>
      </c>
      <c r="X320" s="3" t="s">
        <v>43</v>
      </c>
      <c r="Y320" s="2" t="str">
        <f t="shared" si="37"/>
        <v>Unique</v>
      </c>
      <c r="AA320" s="2" t="str">
        <f t="shared" si="38"/>
        <v>Clean</v>
      </c>
      <c r="AB320" s="2" t="str">
        <f t="shared" si="39"/>
        <v>valid</v>
      </c>
      <c r="AC320">
        <f t="shared" si="40"/>
        <v>0.1</v>
      </c>
      <c r="AD320">
        <f t="shared" si="41"/>
        <v>11203.542000000001</v>
      </c>
      <c r="AE320">
        <f t="shared" si="42"/>
        <v>2750.612000000001</v>
      </c>
      <c r="AF320">
        <f t="shared" si="43"/>
        <v>0.24551271374713468</v>
      </c>
      <c r="AG320" t="str">
        <f t="shared" si="44"/>
        <v>April</v>
      </c>
      <c r="AH320">
        <f t="shared" si="45"/>
        <v>2024</v>
      </c>
      <c r="AI320" t="str">
        <f t="shared" si="46"/>
        <v>Clean</v>
      </c>
    </row>
    <row r="321" spans="1:35" ht="15.75" customHeight="1">
      <c r="A321" s="3" t="s">
        <v>1624</v>
      </c>
      <c r="B321" s="3" t="s">
        <v>1625</v>
      </c>
      <c r="C321" s="3" t="s">
        <v>1626</v>
      </c>
      <c r="D321" s="3" t="str">
        <f t="shared" si="34"/>
        <v>25-Aug-2024</v>
      </c>
      <c r="E321" s="3" t="str">
        <f t="shared" si="35"/>
        <v>21-Aug-2024</v>
      </c>
      <c r="F321" s="3">
        <f t="shared" si="36"/>
        <v>4</v>
      </c>
      <c r="G321" s="3" t="s">
        <v>1627</v>
      </c>
      <c r="H321" s="3" t="s">
        <v>218</v>
      </c>
      <c r="I321" s="3" t="s">
        <v>34</v>
      </c>
      <c r="J321" s="3" t="s">
        <v>81</v>
      </c>
      <c r="K321" s="3" t="s">
        <v>243</v>
      </c>
      <c r="L321" s="3" t="s">
        <v>244</v>
      </c>
      <c r="M321" s="3" t="s">
        <v>38</v>
      </c>
      <c r="N321" s="3" t="s">
        <v>206</v>
      </c>
      <c r="O321" s="3" t="s">
        <v>1628</v>
      </c>
      <c r="P321" s="3" t="s">
        <v>64</v>
      </c>
      <c r="Q321" s="3">
        <v>1</v>
      </c>
      <c r="R321" s="3">
        <v>270.27999999999997</v>
      </c>
      <c r="S321" s="3">
        <v>0</v>
      </c>
      <c r="T321" s="3">
        <v>270.27999999999997</v>
      </c>
      <c r="U321" s="3">
        <v>156.34</v>
      </c>
      <c r="V321" s="3">
        <v>113.94</v>
      </c>
      <c r="W321" s="3" t="s">
        <v>42</v>
      </c>
      <c r="X321" s="3" t="s">
        <v>43</v>
      </c>
      <c r="Y321" s="2" t="str">
        <f t="shared" si="37"/>
        <v>Unique</v>
      </c>
      <c r="AA321" s="2" t="str">
        <f t="shared" si="38"/>
        <v>Clean</v>
      </c>
      <c r="AB321" s="2" t="str">
        <f t="shared" si="39"/>
        <v>valid</v>
      </c>
      <c r="AC321">
        <f t="shared" si="40"/>
        <v>0</v>
      </c>
      <c r="AD321">
        <f t="shared" si="41"/>
        <v>270.27999999999997</v>
      </c>
      <c r="AE321">
        <f t="shared" si="42"/>
        <v>113.93999999999997</v>
      </c>
      <c r="AF321">
        <f t="shared" si="43"/>
        <v>0.42156282373834536</v>
      </c>
      <c r="AG321" t="str">
        <f t="shared" si="44"/>
        <v>August</v>
      </c>
      <c r="AH321">
        <f t="shared" si="45"/>
        <v>2024</v>
      </c>
      <c r="AI321" t="str">
        <f t="shared" si="46"/>
        <v>Clean</v>
      </c>
    </row>
    <row r="322" spans="1:35" ht="15.75" customHeight="1">
      <c r="A322" s="3" t="s">
        <v>1629</v>
      </c>
      <c r="B322" s="3" t="s">
        <v>1630</v>
      </c>
      <c r="C322" s="3" t="s">
        <v>1631</v>
      </c>
      <c r="D322" s="3" t="str">
        <f t="shared" si="34"/>
        <v>12-Jun-2024</v>
      </c>
      <c r="E322" s="3" t="str">
        <f t="shared" si="35"/>
        <v>12-Apr-2024</v>
      </c>
      <c r="F322" s="3">
        <f t="shared" si="36"/>
        <v>61</v>
      </c>
      <c r="G322" s="3" t="s">
        <v>1632</v>
      </c>
      <c r="H322" s="3" t="s">
        <v>170</v>
      </c>
      <c r="I322" s="3" t="s">
        <v>123</v>
      </c>
      <c r="J322" s="3" t="s">
        <v>50</v>
      </c>
      <c r="K322" s="3" t="s">
        <v>129</v>
      </c>
      <c r="L322" s="3" t="s">
        <v>130</v>
      </c>
      <c r="M322" s="3" t="s">
        <v>38</v>
      </c>
      <c r="N322" s="3" t="s">
        <v>62</v>
      </c>
      <c r="O322" s="3" t="s">
        <v>1633</v>
      </c>
      <c r="P322" s="3" t="s">
        <v>41</v>
      </c>
      <c r="Q322" s="3">
        <v>3</v>
      </c>
      <c r="R322" s="3">
        <v>876.14</v>
      </c>
      <c r="S322" s="3" t="s">
        <v>691</v>
      </c>
      <c r="T322" s="3">
        <v>2628.42</v>
      </c>
      <c r="U322" s="3">
        <v>1541.54</v>
      </c>
      <c r="V322" s="3">
        <v>1086.8800000000001</v>
      </c>
      <c r="W322" s="3" t="s">
        <v>145</v>
      </c>
      <c r="X322" s="3" t="s">
        <v>133</v>
      </c>
      <c r="Y322" s="2" t="str">
        <f t="shared" si="37"/>
        <v>Unique</v>
      </c>
      <c r="AA322" s="2" t="str">
        <f t="shared" si="38"/>
        <v>Invalid</v>
      </c>
      <c r="AB322" s="2" t="str">
        <f t="shared" si="39"/>
        <v>valid</v>
      </c>
      <c r="AC322">
        <f t="shared" si="40"/>
        <v>6.9999999999999993E-3</v>
      </c>
      <c r="AD322">
        <f t="shared" si="41"/>
        <v>2610.02106</v>
      </c>
      <c r="AE322">
        <f t="shared" si="42"/>
        <v>1068.4810600000001</v>
      </c>
      <c r="AF322">
        <f t="shared" si="43"/>
        <v>0.40937641323093388</v>
      </c>
      <c r="AG322" t="str">
        <f t="shared" si="44"/>
        <v>April</v>
      </c>
      <c r="AH322">
        <f t="shared" si="45"/>
        <v>2024</v>
      </c>
      <c r="AI322" t="str">
        <f t="shared" si="46"/>
        <v>Clean</v>
      </c>
    </row>
    <row r="323" spans="1:35" ht="15.75" customHeight="1">
      <c r="A323" s="3" t="s">
        <v>1634</v>
      </c>
      <c r="B323" s="3" t="s">
        <v>1635</v>
      </c>
      <c r="C323" s="3" t="s">
        <v>1636</v>
      </c>
      <c r="D323" s="3" t="str">
        <f t="shared" si="34"/>
        <v>30-Jun-2024</v>
      </c>
      <c r="E323" s="3" t="str">
        <f t="shared" si="35"/>
        <v>23-Jun-2024</v>
      </c>
      <c r="F323" s="3">
        <f t="shared" si="36"/>
        <v>7</v>
      </c>
      <c r="G323" s="3" t="s">
        <v>1637</v>
      </c>
      <c r="H323" s="3" t="s">
        <v>101</v>
      </c>
      <c r="I323" s="3" t="s">
        <v>49</v>
      </c>
      <c r="J323" s="3" t="s">
        <v>81</v>
      </c>
      <c r="K323" s="3" t="s">
        <v>257</v>
      </c>
      <c r="L323" s="3" t="s">
        <v>258</v>
      </c>
      <c r="M323" s="3" t="s">
        <v>94</v>
      </c>
      <c r="N323" s="3" t="s">
        <v>95</v>
      </c>
      <c r="O323" s="3" t="s">
        <v>1638</v>
      </c>
      <c r="P323" s="3" t="s">
        <v>56</v>
      </c>
      <c r="Q323" s="3">
        <v>4</v>
      </c>
      <c r="R323" s="3">
        <v>674.82</v>
      </c>
      <c r="S323" s="3">
        <v>0</v>
      </c>
      <c r="T323" s="3">
        <v>2699.28</v>
      </c>
      <c r="U323" s="3">
        <v>1759.76</v>
      </c>
      <c r="V323" s="3">
        <v>939.52</v>
      </c>
      <c r="W323" s="3" t="s">
        <v>208</v>
      </c>
      <c r="X323" s="3" t="s">
        <v>86</v>
      </c>
      <c r="Y323" s="2" t="str">
        <f t="shared" si="37"/>
        <v>Unique</v>
      </c>
      <c r="AA323" s="2" t="str">
        <f t="shared" si="38"/>
        <v>Clean</v>
      </c>
      <c r="AB323" s="2" t="str">
        <f t="shared" si="39"/>
        <v>valid</v>
      </c>
      <c r="AC323">
        <f t="shared" ref="AC323:AC386" si="47">IF(S323="",0,IF(S323&gt;1,S323/100,S323))</f>
        <v>0</v>
      </c>
      <c r="AD323">
        <f t="shared" ref="AD323:AD386" si="48">Q323*R323*(1-AC323)</f>
        <v>2699.28</v>
      </c>
      <c r="AE323">
        <f t="shared" ref="AE323:AE386" si="49">AD323-U323</f>
        <v>939.52000000000021</v>
      </c>
      <c r="AF323">
        <f t="shared" ref="AF323:AF386" si="50">AE323/AD323</f>
        <v>0.34806318722029583</v>
      </c>
      <c r="AG323" t="str">
        <f t="shared" ref="AG323:AG386" si="51">TEXT(E323,"mmmm")</f>
        <v>June</v>
      </c>
      <c r="AH323">
        <f t="shared" ref="AH323:AH386" si="52">YEAR(E323)</f>
        <v>2024</v>
      </c>
      <c r="AI323" t="str">
        <f t="shared" ref="AI323:AI386" si="53">IF(OR(AC323&lt;0,AC323&gt;0.5,F323="Invalid Shipping Record"),"Invalid",
IF(OR(X323="Cancelled",W323="Failed"),"Warning","Clean"))</f>
        <v>Warning</v>
      </c>
    </row>
    <row r="324" spans="1:35" ht="15.75" customHeight="1">
      <c r="A324" s="3" t="s">
        <v>1639</v>
      </c>
      <c r="B324" s="3" t="s">
        <v>1536</v>
      </c>
      <c r="C324" s="3" t="s">
        <v>1640</v>
      </c>
      <c r="D324" s="3" t="str">
        <f t="shared" si="34"/>
        <v>12-Nov-2024</v>
      </c>
      <c r="E324" s="3" t="str">
        <f t="shared" si="35"/>
        <v>12-Nov-2024</v>
      </c>
      <c r="F324" s="3">
        <f t="shared" si="36"/>
        <v>0</v>
      </c>
      <c r="G324" s="3" t="s">
        <v>1641</v>
      </c>
      <c r="H324" s="3" t="s">
        <v>61</v>
      </c>
      <c r="I324" s="3" t="s">
        <v>34</v>
      </c>
      <c r="J324" s="3" t="s">
        <v>35</v>
      </c>
      <c r="K324" s="3" t="s">
        <v>182</v>
      </c>
      <c r="L324" s="3" t="s">
        <v>183</v>
      </c>
      <c r="M324" s="3" t="s">
        <v>94</v>
      </c>
      <c r="N324" s="3" t="s">
        <v>231</v>
      </c>
      <c r="O324" s="3" t="s">
        <v>1642</v>
      </c>
      <c r="P324" s="3" t="s">
        <v>41</v>
      </c>
      <c r="Q324" s="3">
        <v>6</v>
      </c>
      <c r="R324" s="3">
        <v>1369.48</v>
      </c>
      <c r="S324" s="3">
        <v>0.15</v>
      </c>
      <c r="T324" s="3">
        <v>6984.35</v>
      </c>
      <c r="U324" s="3">
        <v>4023.63</v>
      </c>
      <c r="V324" s="3">
        <v>2960.72</v>
      </c>
      <c r="W324" s="3" t="s">
        <v>42</v>
      </c>
      <c r="X324" s="3" t="s">
        <v>43</v>
      </c>
      <c r="Y324" s="2" t="str">
        <f t="shared" si="37"/>
        <v>Unique</v>
      </c>
      <c r="AA324" s="2" t="str">
        <f t="shared" si="38"/>
        <v>Clean</v>
      </c>
      <c r="AB324" s="2" t="str">
        <f t="shared" si="39"/>
        <v>valid</v>
      </c>
      <c r="AC324">
        <f t="shared" si="47"/>
        <v>0.15</v>
      </c>
      <c r="AD324">
        <f t="shared" si="48"/>
        <v>6984.3480000000009</v>
      </c>
      <c r="AE324">
        <f t="shared" si="49"/>
        <v>2960.7180000000008</v>
      </c>
      <c r="AF324">
        <f t="shared" si="50"/>
        <v>0.42390757161584736</v>
      </c>
      <c r="AG324" t="str">
        <f t="shared" si="51"/>
        <v>November</v>
      </c>
      <c r="AH324">
        <f t="shared" si="52"/>
        <v>2024</v>
      </c>
      <c r="AI324" t="str">
        <f t="shared" si="53"/>
        <v>Clean</v>
      </c>
    </row>
    <row r="325" spans="1:35" ht="15.75" customHeight="1">
      <c r="A325" s="3" t="s">
        <v>1643</v>
      </c>
      <c r="B325" s="3" t="s">
        <v>1644</v>
      </c>
      <c r="C325" s="3" t="s">
        <v>1645</v>
      </c>
      <c r="D325" s="3" t="str">
        <f t="shared" si="34"/>
        <v>29-Feb-2024</v>
      </c>
      <c r="E325" s="3" t="str">
        <f t="shared" si="35"/>
        <v>25-Feb-2024</v>
      </c>
      <c r="F325" s="3">
        <f t="shared" si="36"/>
        <v>4</v>
      </c>
      <c r="G325" s="3" t="s">
        <v>1646</v>
      </c>
      <c r="H325" s="3" t="s">
        <v>61</v>
      </c>
      <c r="I325" s="3" t="s">
        <v>49</v>
      </c>
      <c r="J325" s="3" t="s">
        <v>81</v>
      </c>
      <c r="K325" s="3" t="s">
        <v>257</v>
      </c>
      <c r="L325" s="3" t="s">
        <v>258</v>
      </c>
      <c r="M325" s="3" t="s">
        <v>53</v>
      </c>
      <c r="N325" s="3" t="s">
        <v>73</v>
      </c>
      <c r="O325" s="3" t="s">
        <v>201</v>
      </c>
      <c r="P325" s="3" t="s">
        <v>75</v>
      </c>
      <c r="Q325" s="3">
        <v>9</v>
      </c>
      <c r="R325" s="3">
        <v>1331.46</v>
      </c>
      <c r="S325" s="3">
        <v>0.15</v>
      </c>
      <c r="T325" s="3">
        <v>10185.67</v>
      </c>
      <c r="U325" s="3">
        <v>6479.31</v>
      </c>
      <c r="V325" s="3">
        <v>3706.36</v>
      </c>
      <c r="W325" s="3" t="s">
        <v>42</v>
      </c>
      <c r="X325" s="3" t="s">
        <v>43</v>
      </c>
      <c r="Y325" s="2" t="str">
        <f t="shared" si="37"/>
        <v>Unique</v>
      </c>
      <c r="AA325" s="2" t="str">
        <f t="shared" si="38"/>
        <v>Clean</v>
      </c>
      <c r="AB325" s="2" t="str">
        <f t="shared" si="39"/>
        <v>valid</v>
      </c>
      <c r="AC325">
        <f t="shared" si="47"/>
        <v>0.15</v>
      </c>
      <c r="AD325">
        <f t="shared" si="48"/>
        <v>10185.669</v>
      </c>
      <c r="AE325">
        <f t="shared" si="49"/>
        <v>3706.3589999999995</v>
      </c>
      <c r="AF325">
        <f t="shared" si="50"/>
        <v>0.36387978050337189</v>
      </c>
      <c r="AG325" t="str">
        <f t="shared" si="51"/>
        <v>February</v>
      </c>
      <c r="AH325">
        <f t="shared" si="52"/>
        <v>2024</v>
      </c>
      <c r="AI325" t="str">
        <f t="shared" si="53"/>
        <v>Clean</v>
      </c>
    </row>
    <row r="326" spans="1:35" ht="15.75" customHeight="1">
      <c r="A326" s="3" t="s">
        <v>1647</v>
      </c>
      <c r="B326" s="3" t="s">
        <v>1648</v>
      </c>
      <c r="C326" s="3" t="s">
        <v>948</v>
      </c>
      <c r="D326" s="3" t="str">
        <f t="shared" si="34"/>
        <v>02-Aug-2025</v>
      </c>
      <c r="E326" s="3" t="str">
        <f t="shared" si="35"/>
        <v>31-Jul-2025</v>
      </c>
      <c r="F326" s="3">
        <f t="shared" si="36"/>
        <v>2</v>
      </c>
      <c r="G326" s="3" t="s">
        <v>1649</v>
      </c>
      <c r="H326" s="3" t="s">
        <v>188</v>
      </c>
      <c r="I326" s="3" t="s">
        <v>123</v>
      </c>
      <c r="J326" s="3" t="s">
        <v>70</v>
      </c>
      <c r="K326" s="3" t="s">
        <v>108</v>
      </c>
      <c r="L326" s="3" t="s">
        <v>109</v>
      </c>
      <c r="M326" s="3" t="s">
        <v>38</v>
      </c>
      <c r="N326" s="3" t="s">
        <v>117</v>
      </c>
      <c r="O326" s="3" t="s">
        <v>1650</v>
      </c>
      <c r="P326" s="3" t="s">
        <v>56</v>
      </c>
      <c r="Q326" s="3">
        <v>1</v>
      </c>
      <c r="R326" s="3">
        <v>1947.88</v>
      </c>
      <c r="S326" s="3">
        <v>0.15</v>
      </c>
      <c r="T326" s="3">
        <v>1655.7</v>
      </c>
      <c r="U326" s="3">
        <v>1354.8</v>
      </c>
      <c r="V326" s="3">
        <v>300.89999999999998</v>
      </c>
      <c r="W326" s="3" t="s">
        <v>42</v>
      </c>
      <c r="X326" s="3" t="s">
        <v>133</v>
      </c>
      <c r="Y326" s="2" t="str">
        <f t="shared" si="37"/>
        <v>Unique</v>
      </c>
      <c r="AA326" s="2" t="str">
        <f t="shared" si="38"/>
        <v>Clean</v>
      </c>
      <c r="AB326" s="2" t="str">
        <f t="shared" si="39"/>
        <v>valid</v>
      </c>
      <c r="AC326">
        <f t="shared" si="47"/>
        <v>0.15</v>
      </c>
      <c r="AD326">
        <f t="shared" si="48"/>
        <v>1655.6980000000001</v>
      </c>
      <c r="AE326">
        <f t="shared" si="49"/>
        <v>300.89800000000014</v>
      </c>
      <c r="AF326">
        <f t="shared" si="50"/>
        <v>0.1817348332848141</v>
      </c>
      <c r="AG326" t="str">
        <f t="shared" si="51"/>
        <v>July</v>
      </c>
      <c r="AH326">
        <f t="shared" si="52"/>
        <v>2025</v>
      </c>
      <c r="AI326" t="str">
        <f t="shared" si="53"/>
        <v>Clean</v>
      </c>
    </row>
    <row r="327" spans="1:35" ht="15.75" customHeight="1">
      <c r="A327" s="3" t="s">
        <v>1651</v>
      </c>
      <c r="B327" s="3" t="s">
        <v>1652</v>
      </c>
      <c r="C327" s="3" t="s">
        <v>1653</v>
      </c>
      <c r="D327" s="3" t="str">
        <f t="shared" si="34"/>
        <v>22-Sep-2025</v>
      </c>
      <c r="E327" s="3" t="str">
        <f t="shared" si="35"/>
        <v>16-Sep-2025</v>
      </c>
      <c r="F327" s="3">
        <f t="shared" si="36"/>
        <v>6</v>
      </c>
      <c r="G327" s="3" t="s">
        <v>1654</v>
      </c>
      <c r="H327" s="3" t="s">
        <v>176</v>
      </c>
      <c r="I327" s="3" t="s">
        <v>123</v>
      </c>
      <c r="J327" s="3" t="s">
        <v>50</v>
      </c>
      <c r="K327" s="3" t="s">
        <v>129</v>
      </c>
      <c r="L327" s="3" t="s">
        <v>130</v>
      </c>
      <c r="M327" s="3" t="s">
        <v>94</v>
      </c>
      <c r="N327" s="3" t="s">
        <v>102</v>
      </c>
      <c r="O327" s="3" t="s">
        <v>1655</v>
      </c>
      <c r="P327" s="3" t="s">
        <v>41</v>
      </c>
      <c r="Q327" s="3">
        <v>5</v>
      </c>
      <c r="R327" s="3">
        <v>3671.2</v>
      </c>
      <c r="S327" s="3">
        <v>0.15</v>
      </c>
      <c r="T327" s="3">
        <v>15602.6</v>
      </c>
      <c r="U327" s="3">
        <v>11908.52</v>
      </c>
      <c r="V327" s="3">
        <v>3694.08</v>
      </c>
      <c r="W327" s="3" t="s">
        <v>42</v>
      </c>
      <c r="X327" s="3" t="s">
        <v>43</v>
      </c>
      <c r="Y327" s="2" t="str">
        <f t="shared" si="37"/>
        <v>Unique</v>
      </c>
      <c r="AA327" s="2" t="str">
        <f t="shared" si="38"/>
        <v>Clean</v>
      </c>
      <c r="AB327" s="2" t="str">
        <f t="shared" si="39"/>
        <v>valid</v>
      </c>
      <c r="AC327">
        <f t="shared" si="47"/>
        <v>0.15</v>
      </c>
      <c r="AD327">
        <f t="shared" si="48"/>
        <v>15602.6</v>
      </c>
      <c r="AE327">
        <f t="shared" si="49"/>
        <v>3694.08</v>
      </c>
      <c r="AF327">
        <f t="shared" si="50"/>
        <v>0.236760539910015</v>
      </c>
      <c r="AG327" t="str">
        <f t="shared" si="51"/>
        <v>September</v>
      </c>
      <c r="AH327">
        <f t="shared" si="52"/>
        <v>2025</v>
      </c>
      <c r="AI327" t="str">
        <f t="shared" si="53"/>
        <v>Clean</v>
      </c>
    </row>
    <row r="328" spans="1:35" ht="15.75" customHeight="1">
      <c r="A328" s="3" t="s">
        <v>1656</v>
      </c>
      <c r="B328" s="3" t="s">
        <v>1657</v>
      </c>
      <c r="C328" s="3" t="s">
        <v>1512</v>
      </c>
      <c r="D328" s="3" t="str">
        <f t="shared" si="34"/>
        <v>22-Jul-2025</v>
      </c>
      <c r="E328" s="3" t="str">
        <f t="shared" si="35"/>
        <v>22-Jul-2025</v>
      </c>
      <c r="F328" s="3">
        <f t="shared" si="36"/>
        <v>0</v>
      </c>
      <c r="G328" s="3" t="s">
        <v>1658</v>
      </c>
      <c r="H328" s="3" t="s">
        <v>176</v>
      </c>
      <c r="I328" s="3" t="s">
        <v>116</v>
      </c>
      <c r="J328" s="3" t="s">
        <v>50</v>
      </c>
      <c r="K328" s="3" t="s">
        <v>319</v>
      </c>
      <c r="L328" s="3" t="s">
        <v>320</v>
      </c>
      <c r="M328" s="3" t="s">
        <v>53</v>
      </c>
      <c r="N328" s="3" t="s">
        <v>73</v>
      </c>
      <c r="O328" s="3" t="s">
        <v>1659</v>
      </c>
      <c r="P328" s="3" t="s">
        <v>56</v>
      </c>
      <c r="Q328" s="3">
        <v>5</v>
      </c>
      <c r="R328" s="3">
        <v>3187.05</v>
      </c>
      <c r="S328" s="3">
        <v>0.05</v>
      </c>
      <c r="T328" s="3">
        <v>15138.49</v>
      </c>
      <c r="U328" s="3">
        <v>11235.72</v>
      </c>
      <c r="V328" s="3">
        <v>3902.77</v>
      </c>
      <c r="W328" s="3" t="s">
        <v>42</v>
      </c>
      <c r="X328" s="3" t="s">
        <v>43</v>
      </c>
      <c r="Y328" s="2" t="str">
        <f t="shared" si="37"/>
        <v>Unique</v>
      </c>
      <c r="AA328" s="2" t="str">
        <f t="shared" si="38"/>
        <v>Clean</v>
      </c>
      <c r="AB328" s="2" t="str">
        <f t="shared" si="39"/>
        <v>valid</v>
      </c>
      <c r="AC328">
        <f t="shared" si="47"/>
        <v>0.05</v>
      </c>
      <c r="AD328">
        <f t="shared" si="48"/>
        <v>15138.487499999999</v>
      </c>
      <c r="AE328">
        <f t="shared" si="49"/>
        <v>3902.7674999999999</v>
      </c>
      <c r="AF328">
        <f t="shared" si="50"/>
        <v>0.25780432160082045</v>
      </c>
      <c r="AG328" t="str">
        <f t="shared" si="51"/>
        <v>July</v>
      </c>
      <c r="AH328">
        <f t="shared" si="52"/>
        <v>2025</v>
      </c>
      <c r="AI328" t="str">
        <f t="shared" si="53"/>
        <v>Clean</v>
      </c>
    </row>
    <row r="329" spans="1:35" ht="15.75" customHeight="1">
      <c r="A329" s="3" t="s">
        <v>1660</v>
      </c>
      <c r="B329" s="3" t="s">
        <v>1661</v>
      </c>
      <c r="C329" s="3" t="s">
        <v>272</v>
      </c>
      <c r="D329" s="3" t="str">
        <f t="shared" si="34"/>
        <v>27-Jul-2024</v>
      </c>
      <c r="E329" s="3" t="str">
        <f t="shared" si="35"/>
        <v>24-Jul-2024</v>
      </c>
      <c r="F329" s="3">
        <f t="shared" si="36"/>
        <v>3</v>
      </c>
      <c r="G329" s="3" t="s">
        <v>1662</v>
      </c>
      <c r="H329" s="3" t="s">
        <v>61</v>
      </c>
      <c r="I329" s="3" t="s">
        <v>34</v>
      </c>
      <c r="J329" s="3" t="s">
        <v>81</v>
      </c>
      <c r="K329" s="3" t="s">
        <v>36</v>
      </c>
      <c r="L329" s="3" t="s">
        <v>143</v>
      </c>
      <c r="M329" s="3" t="s">
        <v>94</v>
      </c>
      <c r="N329" s="3" t="s">
        <v>95</v>
      </c>
      <c r="O329" s="3" t="s">
        <v>1663</v>
      </c>
      <c r="P329" s="3" t="s">
        <v>41</v>
      </c>
      <c r="Q329" s="3">
        <v>3</v>
      </c>
      <c r="R329" s="3">
        <v>1834.55</v>
      </c>
      <c r="S329" s="3">
        <v>0.2</v>
      </c>
      <c r="T329" s="3">
        <v>4402.92</v>
      </c>
      <c r="U329" s="3">
        <v>2993.94</v>
      </c>
      <c r="V329" s="3">
        <v>1408.98</v>
      </c>
      <c r="W329" s="3" t="s">
        <v>145</v>
      </c>
      <c r="X329" s="3" t="s">
        <v>86</v>
      </c>
      <c r="Y329" s="2" t="str">
        <f t="shared" si="37"/>
        <v>Unique</v>
      </c>
      <c r="AA329" s="2" t="str">
        <f t="shared" si="38"/>
        <v>Clean</v>
      </c>
      <c r="AB329" s="2" t="str">
        <f t="shared" si="39"/>
        <v>valid</v>
      </c>
      <c r="AC329">
        <f t="shared" si="47"/>
        <v>0.2</v>
      </c>
      <c r="AD329">
        <f t="shared" si="48"/>
        <v>4402.92</v>
      </c>
      <c r="AE329">
        <f t="shared" si="49"/>
        <v>1408.98</v>
      </c>
      <c r="AF329">
        <f t="shared" si="50"/>
        <v>0.32001035676323897</v>
      </c>
      <c r="AG329" t="str">
        <f t="shared" si="51"/>
        <v>July</v>
      </c>
      <c r="AH329">
        <f t="shared" si="52"/>
        <v>2024</v>
      </c>
      <c r="AI329" t="str">
        <f t="shared" si="53"/>
        <v>Warning</v>
      </c>
    </row>
    <row r="330" spans="1:35" ht="15.75" customHeight="1">
      <c r="A330" s="3" t="s">
        <v>1664</v>
      </c>
      <c r="B330" s="3" t="s">
        <v>1665</v>
      </c>
      <c r="C330" s="3" t="s">
        <v>1431</v>
      </c>
      <c r="D330" s="3" t="str">
        <f t="shared" si="34"/>
        <v>04-Jun-2025</v>
      </c>
      <c r="E330" s="3" t="str">
        <f t="shared" si="35"/>
        <v>29-May-2025</v>
      </c>
      <c r="F330" s="3">
        <f t="shared" si="36"/>
        <v>6</v>
      </c>
      <c r="G330" s="3" t="s">
        <v>1666</v>
      </c>
      <c r="H330" s="3" t="s">
        <v>218</v>
      </c>
      <c r="I330" s="3" t="s">
        <v>34</v>
      </c>
      <c r="J330" s="3" t="s">
        <v>81</v>
      </c>
      <c r="K330" s="3" t="s">
        <v>82</v>
      </c>
      <c r="L330" s="3" t="s">
        <v>83</v>
      </c>
      <c r="M330" s="3" t="s">
        <v>38</v>
      </c>
      <c r="N330" s="3" t="s">
        <v>164</v>
      </c>
      <c r="O330" s="3" t="s">
        <v>1667</v>
      </c>
      <c r="P330" s="3" t="s">
        <v>64</v>
      </c>
      <c r="Q330" s="3">
        <v>6</v>
      </c>
      <c r="R330" s="3">
        <v>3100.68</v>
      </c>
      <c r="S330" s="3">
        <v>0</v>
      </c>
      <c r="T330" s="3">
        <v>18604.080000000002</v>
      </c>
      <c r="U330" s="3">
        <v>15834.3</v>
      </c>
      <c r="V330" s="3">
        <v>2769.78</v>
      </c>
      <c r="W330" s="3" t="s">
        <v>42</v>
      </c>
      <c r="X330" s="3" t="s">
        <v>43</v>
      </c>
      <c r="Y330" s="2" t="str">
        <f t="shared" si="37"/>
        <v>Unique</v>
      </c>
      <c r="AA330" s="2" t="str">
        <f t="shared" si="38"/>
        <v>Clean</v>
      </c>
      <c r="AB330" s="2" t="str">
        <f t="shared" si="39"/>
        <v>valid</v>
      </c>
      <c r="AC330">
        <f t="shared" si="47"/>
        <v>0</v>
      </c>
      <c r="AD330">
        <f t="shared" si="48"/>
        <v>18604.079999999998</v>
      </c>
      <c r="AE330">
        <f t="shared" si="49"/>
        <v>2769.7799999999988</v>
      </c>
      <c r="AF330">
        <f t="shared" si="50"/>
        <v>0.1488802456235406</v>
      </c>
      <c r="AG330" t="str">
        <f t="shared" si="51"/>
        <v>May</v>
      </c>
      <c r="AH330">
        <f t="shared" si="52"/>
        <v>2025</v>
      </c>
      <c r="AI330" t="str">
        <f t="shared" si="53"/>
        <v>Clean</v>
      </c>
    </row>
    <row r="331" spans="1:35" ht="15.75" customHeight="1">
      <c r="A331" s="3" t="s">
        <v>1668</v>
      </c>
      <c r="B331" s="3" t="s">
        <v>1669</v>
      </c>
      <c r="C331" s="3" t="s">
        <v>1670</v>
      </c>
      <c r="D331" s="3" t="str">
        <f t="shared" si="34"/>
        <v>18-May-2025</v>
      </c>
      <c r="E331" s="3" t="str">
        <f t="shared" si="35"/>
        <v>12-May-2025</v>
      </c>
      <c r="F331" s="3">
        <f t="shared" si="36"/>
        <v>6</v>
      </c>
      <c r="G331" s="3" t="s">
        <v>1671</v>
      </c>
      <c r="H331" s="3" t="s">
        <v>101</v>
      </c>
      <c r="I331" s="3" t="s">
        <v>49</v>
      </c>
      <c r="J331" s="3" t="s">
        <v>81</v>
      </c>
      <c r="K331" s="3" t="s">
        <v>82</v>
      </c>
      <c r="L331" s="3" t="s">
        <v>83</v>
      </c>
      <c r="M331" s="3" t="s">
        <v>38</v>
      </c>
      <c r="N331" s="3" t="s">
        <v>164</v>
      </c>
      <c r="O331" s="3" t="s">
        <v>1672</v>
      </c>
      <c r="P331" s="3" t="s">
        <v>75</v>
      </c>
      <c r="Q331" s="3">
        <v>4</v>
      </c>
      <c r="R331" s="3">
        <v>4053.03</v>
      </c>
      <c r="S331" s="3">
        <v>0.05</v>
      </c>
      <c r="T331" s="3">
        <v>15401.51</v>
      </c>
      <c r="U331" s="3">
        <v>8650.42</v>
      </c>
      <c r="V331" s="3">
        <v>6751.09</v>
      </c>
      <c r="W331" s="3" t="s">
        <v>42</v>
      </c>
      <c r="X331" s="3" t="s">
        <v>43</v>
      </c>
      <c r="Y331" s="2" t="str">
        <f t="shared" si="37"/>
        <v>Unique</v>
      </c>
      <c r="AA331" s="2" t="str">
        <f t="shared" si="38"/>
        <v>Clean</v>
      </c>
      <c r="AB331" s="2" t="str">
        <f t="shared" si="39"/>
        <v>valid</v>
      </c>
      <c r="AC331">
        <f t="shared" si="47"/>
        <v>0.05</v>
      </c>
      <c r="AD331">
        <f t="shared" si="48"/>
        <v>15401.513999999999</v>
      </c>
      <c r="AE331">
        <f t="shared" si="49"/>
        <v>6751.0939999999991</v>
      </c>
      <c r="AF331">
        <f t="shared" si="50"/>
        <v>0.43833963336331738</v>
      </c>
      <c r="AG331" t="str">
        <f t="shared" si="51"/>
        <v>May</v>
      </c>
      <c r="AH331">
        <f t="shared" si="52"/>
        <v>2025</v>
      </c>
      <c r="AI331" t="str">
        <f t="shared" si="53"/>
        <v>Clean</v>
      </c>
    </row>
    <row r="332" spans="1:35" ht="15.75" customHeight="1">
      <c r="A332" s="3" t="s">
        <v>1673</v>
      </c>
      <c r="B332" s="3" t="s">
        <v>1131</v>
      </c>
      <c r="C332" s="3" t="s">
        <v>718</v>
      </c>
      <c r="D332" s="3" t="str">
        <f t="shared" si="34"/>
        <v>24-May-2024</v>
      </c>
      <c r="E332" s="3" t="str">
        <f t="shared" si="35"/>
        <v>16-May-2024</v>
      </c>
      <c r="F332" s="3">
        <f t="shared" si="36"/>
        <v>8</v>
      </c>
      <c r="G332" s="3" t="s">
        <v>1674</v>
      </c>
      <c r="H332" s="3" t="s">
        <v>69</v>
      </c>
      <c r="I332" s="3" t="s">
        <v>123</v>
      </c>
      <c r="J332" s="3" t="s">
        <v>35</v>
      </c>
      <c r="K332" s="3" t="s">
        <v>162</v>
      </c>
      <c r="L332" s="3" t="s">
        <v>163</v>
      </c>
      <c r="M332" s="3" t="s">
        <v>94</v>
      </c>
      <c r="N332" s="3" t="s">
        <v>95</v>
      </c>
      <c r="O332" s="3" t="s">
        <v>1675</v>
      </c>
      <c r="P332" s="3" t="s">
        <v>56</v>
      </c>
      <c r="Q332" s="3">
        <v>1</v>
      </c>
      <c r="R332" s="3">
        <v>783.09</v>
      </c>
      <c r="S332" s="3">
        <v>0</v>
      </c>
      <c r="T332" s="3">
        <v>783.09</v>
      </c>
      <c r="U332" s="3">
        <v>503.89</v>
      </c>
      <c r="V332" s="3">
        <v>279.2</v>
      </c>
      <c r="W332" s="3" t="s">
        <v>208</v>
      </c>
      <c r="X332" s="3" t="s">
        <v>86</v>
      </c>
      <c r="Y332" s="2" t="str">
        <f t="shared" si="37"/>
        <v>Unique</v>
      </c>
      <c r="AA332" s="2" t="str">
        <f t="shared" si="38"/>
        <v>Clean</v>
      </c>
      <c r="AB332" s="2" t="str">
        <f t="shared" si="39"/>
        <v>valid</v>
      </c>
      <c r="AC332">
        <f t="shared" si="47"/>
        <v>0</v>
      </c>
      <c r="AD332">
        <f t="shared" si="48"/>
        <v>783.09</v>
      </c>
      <c r="AE332">
        <f t="shared" si="49"/>
        <v>279.20000000000005</v>
      </c>
      <c r="AF332">
        <f t="shared" si="50"/>
        <v>0.3565362857398256</v>
      </c>
      <c r="AG332" t="str">
        <f t="shared" si="51"/>
        <v>May</v>
      </c>
      <c r="AH332">
        <f t="shared" si="52"/>
        <v>2024</v>
      </c>
      <c r="AI332" t="str">
        <f t="shared" si="53"/>
        <v>Warning</v>
      </c>
    </row>
    <row r="333" spans="1:35" ht="15.75" customHeight="1">
      <c r="A333" s="3" t="s">
        <v>1676</v>
      </c>
      <c r="B333" s="3" t="s">
        <v>714</v>
      </c>
      <c r="C333" s="3" t="s">
        <v>1677</v>
      </c>
      <c r="D333" s="3" t="str">
        <f t="shared" si="34"/>
        <v>06-Dec-2024</v>
      </c>
      <c r="E333" s="3" t="str">
        <f t="shared" si="35"/>
        <v>04-Dec-2024</v>
      </c>
      <c r="F333" s="3">
        <f t="shared" si="36"/>
        <v>2</v>
      </c>
      <c r="G333" s="3" t="s">
        <v>1678</v>
      </c>
      <c r="H333" s="3" t="s">
        <v>176</v>
      </c>
      <c r="I333" s="3" t="s">
        <v>123</v>
      </c>
      <c r="J333" s="3" t="s">
        <v>50</v>
      </c>
      <c r="K333" s="3" t="s">
        <v>51</v>
      </c>
      <c r="L333" s="3" t="s">
        <v>52</v>
      </c>
      <c r="M333" s="3" t="s">
        <v>38</v>
      </c>
      <c r="N333" s="3" t="s">
        <v>206</v>
      </c>
      <c r="O333" s="3" t="s">
        <v>1679</v>
      </c>
      <c r="P333" s="3" t="s">
        <v>41</v>
      </c>
      <c r="Q333" s="3">
        <v>4</v>
      </c>
      <c r="R333" s="3">
        <v>2685.66</v>
      </c>
      <c r="S333" s="3">
        <v>0</v>
      </c>
      <c r="T333" s="3">
        <v>10742.64</v>
      </c>
      <c r="U333" s="3">
        <v>6477.37</v>
      </c>
      <c r="V333" s="3">
        <v>4265.2700000000004</v>
      </c>
      <c r="W333" s="3" t="s">
        <v>42</v>
      </c>
      <c r="X333" s="3" t="s">
        <v>133</v>
      </c>
      <c r="Y333" s="2" t="str">
        <f t="shared" si="37"/>
        <v>Duplicate Order ID</v>
      </c>
      <c r="Z333" s="5" t="s">
        <v>722</v>
      </c>
      <c r="AA333" s="2" t="str">
        <f t="shared" si="38"/>
        <v>Clean</v>
      </c>
      <c r="AB333" s="2" t="str">
        <f t="shared" si="39"/>
        <v>valid</v>
      </c>
      <c r="AC333">
        <f t="shared" si="47"/>
        <v>0</v>
      </c>
      <c r="AD333">
        <f t="shared" si="48"/>
        <v>10742.64</v>
      </c>
      <c r="AE333">
        <f t="shared" si="49"/>
        <v>4265.2699999999995</v>
      </c>
      <c r="AF333">
        <f t="shared" si="50"/>
        <v>0.39704113700170535</v>
      </c>
      <c r="AG333" t="str">
        <f t="shared" si="51"/>
        <v>December</v>
      </c>
      <c r="AH333">
        <f t="shared" si="52"/>
        <v>2024</v>
      </c>
      <c r="AI333" t="str">
        <f t="shared" si="53"/>
        <v>Clean</v>
      </c>
    </row>
    <row r="334" spans="1:35" ht="15.75" customHeight="1">
      <c r="A334" s="3" t="s">
        <v>1680</v>
      </c>
      <c r="B334" s="3" t="s">
        <v>1681</v>
      </c>
      <c r="C334" s="3" t="s">
        <v>1682</v>
      </c>
      <c r="D334" s="3" t="str">
        <f t="shared" si="34"/>
        <v>28-May-2025</v>
      </c>
      <c r="E334" s="3" t="str">
        <f t="shared" si="35"/>
        <v>27-May-2025</v>
      </c>
      <c r="F334" s="3">
        <f t="shared" si="36"/>
        <v>1</v>
      </c>
      <c r="G334" s="3" t="s">
        <v>1683</v>
      </c>
      <c r="H334" s="3" t="s">
        <v>170</v>
      </c>
      <c r="I334" s="3" t="s">
        <v>34</v>
      </c>
      <c r="J334" s="3" t="s">
        <v>70</v>
      </c>
      <c r="K334" s="3" t="s">
        <v>108</v>
      </c>
      <c r="L334" s="3" t="s">
        <v>109</v>
      </c>
      <c r="M334" s="3" t="s">
        <v>94</v>
      </c>
      <c r="N334" s="3" t="s">
        <v>391</v>
      </c>
      <c r="O334" s="3" t="s">
        <v>1684</v>
      </c>
      <c r="P334" s="3" t="s">
        <v>41</v>
      </c>
      <c r="Q334" s="3">
        <v>2</v>
      </c>
      <c r="R334" s="3">
        <v>3911.96</v>
      </c>
      <c r="S334" s="3">
        <v>0</v>
      </c>
      <c r="T334" s="3">
        <v>7823.92</v>
      </c>
      <c r="U334" s="3">
        <v>6034.63</v>
      </c>
      <c r="V334" s="3">
        <v>1789.29</v>
      </c>
      <c r="W334" s="3" t="s">
        <v>42</v>
      </c>
      <c r="X334" s="3" t="s">
        <v>43</v>
      </c>
      <c r="Y334" s="2" t="str">
        <f t="shared" si="37"/>
        <v>Unique</v>
      </c>
      <c r="AA334" s="2" t="str">
        <f t="shared" si="38"/>
        <v>Clean</v>
      </c>
      <c r="AB334" s="2" t="str">
        <f t="shared" si="39"/>
        <v>valid</v>
      </c>
      <c r="AC334">
        <f t="shared" si="47"/>
        <v>0</v>
      </c>
      <c r="AD334">
        <f t="shared" si="48"/>
        <v>7823.92</v>
      </c>
      <c r="AE334">
        <f t="shared" si="49"/>
        <v>1789.29</v>
      </c>
      <c r="AF334">
        <f t="shared" si="50"/>
        <v>0.22869482305545047</v>
      </c>
      <c r="AG334" t="str">
        <f t="shared" si="51"/>
        <v>May</v>
      </c>
      <c r="AH334">
        <f t="shared" si="52"/>
        <v>2025</v>
      </c>
      <c r="AI334" t="str">
        <f t="shared" si="53"/>
        <v>Clean</v>
      </c>
    </row>
    <row r="335" spans="1:35" ht="15.75" customHeight="1">
      <c r="A335" s="3" t="s">
        <v>1685</v>
      </c>
      <c r="B335" s="3" t="s">
        <v>1686</v>
      </c>
      <c r="C335" s="3" t="s">
        <v>1687</v>
      </c>
      <c r="D335" s="3" t="str">
        <f t="shared" si="34"/>
        <v>27-Jun-2025</v>
      </c>
      <c r="E335" s="3" t="str">
        <f t="shared" si="35"/>
        <v>22-Jun-2025</v>
      </c>
      <c r="F335" s="3">
        <f t="shared" si="36"/>
        <v>5</v>
      </c>
      <c r="G335" s="3" t="s">
        <v>1688</v>
      </c>
      <c r="H335" s="3" t="s">
        <v>188</v>
      </c>
      <c r="I335" s="3" t="s">
        <v>123</v>
      </c>
      <c r="J335" s="3" t="s">
        <v>280</v>
      </c>
      <c r="K335" s="3" t="s">
        <v>515</v>
      </c>
      <c r="L335" s="3" t="s">
        <v>516</v>
      </c>
      <c r="M335" s="3" t="s">
        <v>94</v>
      </c>
      <c r="N335" s="3" t="s">
        <v>231</v>
      </c>
      <c r="O335" s="3" t="s">
        <v>1689</v>
      </c>
      <c r="P335" s="3" t="s">
        <v>64</v>
      </c>
      <c r="Q335" s="3">
        <v>2</v>
      </c>
      <c r="R335" s="3">
        <v>1468.05</v>
      </c>
      <c r="S335" s="3">
        <v>0</v>
      </c>
      <c r="T335" s="3">
        <v>2936.1</v>
      </c>
      <c r="U335" s="3">
        <v>1923.1</v>
      </c>
      <c r="V335" s="3">
        <v>1013</v>
      </c>
      <c r="W335" s="3" t="s">
        <v>42</v>
      </c>
      <c r="X335" s="3" t="s">
        <v>43</v>
      </c>
      <c r="Y335" s="2" t="str">
        <f t="shared" si="37"/>
        <v>Unique</v>
      </c>
      <c r="AA335" s="2" t="str">
        <f t="shared" si="38"/>
        <v>Clean</v>
      </c>
      <c r="AB335" s="2" t="str">
        <f t="shared" si="39"/>
        <v>valid</v>
      </c>
      <c r="AC335">
        <f t="shared" si="47"/>
        <v>0</v>
      </c>
      <c r="AD335">
        <f t="shared" si="48"/>
        <v>2936.1</v>
      </c>
      <c r="AE335">
        <f t="shared" si="49"/>
        <v>1013</v>
      </c>
      <c r="AF335">
        <f t="shared" si="50"/>
        <v>0.34501549674738602</v>
      </c>
      <c r="AG335" t="str">
        <f t="shared" si="51"/>
        <v>June</v>
      </c>
      <c r="AH335">
        <f t="shared" si="52"/>
        <v>2025</v>
      </c>
      <c r="AI335" t="str">
        <f t="shared" si="53"/>
        <v>Clean</v>
      </c>
    </row>
    <row r="336" spans="1:35" ht="15.75" customHeight="1">
      <c r="A336" s="3" t="s">
        <v>1690</v>
      </c>
      <c r="B336" s="3" t="s">
        <v>1691</v>
      </c>
      <c r="C336" s="3" t="s">
        <v>1692</v>
      </c>
      <c r="D336" s="3" t="str">
        <f t="shared" si="34"/>
        <v>17-Sep-2024</v>
      </c>
      <c r="E336" s="3" t="str">
        <f t="shared" si="35"/>
        <v>12-Sep-2024</v>
      </c>
      <c r="F336" s="3">
        <f t="shared" si="36"/>
        <v>5</v>
      </c>
      <c r="G336" s="3" t="s">
        <v>1693</v>
      </c>
      <c r="H336" s="3" t="s">
        <v>80</v>
      </c>
      <c r="I336" s="3" t="s">
        <v>34</v>
      </c>
      <c r="J336" s="3" t="s">
        <v>50</v>
      </c>
      <c r="K336" s="3" t="s">
        <v>319</v>
      </c>
      <c r="L336" s="3" t="s">
        <v>320</v>
      </c>
      <c r="M336" s="3" t="s">
        <v>38</v>
      </c>
      <c r="N336" s="3" t="s">
        <v>164</v>
      </c>
      <c r="O336" s="3" t="s">
        <v>1694</v>
      </c>
      <c r="P336" s="3" t="s">
        <v>64</v>
      </c>
      <c r="Q336" s="3">
        <v>9</v>
      </c>
      <c r="R336" s="3">
        <v>1921.47</v>
      </c>
      <c r="S336" s="3">
        <v>0.25</v>
      </c>
      <c r="T336" s="3">
        <v>12969.92</v>
      </c>
      <c r="U336" s="3">
        <v>9398.4599999999991</v>
      </c>
      <c r="V336" s="3">
        <v>3571.46</v>
      </c>
      <c r="W336" s="3" t="s">
        <v>42</v>
      </c>
      <c r="X336" s="3" t="s">
        <v>43</v>
      </c>
      <c r="Y336" s="2" t="str">
        <f t="shared" si="37"/>
        <v>Unique</v>
      </c>
      <c r="AA336" s="2" t="str">
        <f t="shared" si="38"/>
        <v>Clean</v>
      </c>
      <c r="AB336" s="2" t="str">
        <f t="shared" si="39"/>
        <v>valid</v>
      </c>
      <c r="AC336">
        <f t="shared" si="47"/>
        <v>0.25</v>
      </c>
      <c r="AD336">
        <f t="shared" si="48"/>
        <v>12969.922500000001</v>
      </c>
      <c r="AE336">
        <f t="shared" si="49"/>
        <v>3571.4625000000015</v>
      </c>
      <c r="AF336">
        <f t="shared" si="50"/>
        <v>0.27536498386941027</v>
      </c>
      <c r="AG336" t="str">
        <f t="shared" si="51"/>
        <v>September</v>
      </c>
      <c r="AH336">
        <f t="shared" si="52"/>
        <v>2024</v>
      </c>
      <c r="AI336" t="str">
        <f t="shared" si="53"/>
        <v>Clean</v>
      </c>
    </row>
    <row r="337" spans="1:35" ht="15.75" customHeight="1">
      <c r="A337" s="3" t="s">
        <v>1695</v>
      </c>
      <c r="B337" s="3" t="s">
        <v>1696</v>
      </c>
      <c r="C337" s="3" t="s">
        <v>1697</v>
      </c>
      <c r="D337" s="3" t="str">
        <f t="shared" si="34"/>
        <v>18-Jun-2025</v>
      </c>
      <c r="E337" s="3" t="str">
        <f t="shared" si="35"/>
        <v>16-Jun-2025</v>
      </c>
      <c r="F337" s="3">
        <f t="shared" si="36"/>
        <v>2</v>
      </c>
      <c r="G337" s="3" t="s">
        <v>1698</v>
      </c>
      <c r="H337" s="3" t="s">
        <v>156</v>
      </c>
      <c r="I337" s="3" t="s">
        <v>123</v>
      </c>
      <c r="J337" s="3" t="s">
        <v>81</v>
      </c>
      <c r="K337" s="3" t="s">
        <v>92</v>
      </c>
      <c r="L337" s="3" t="s">
        <v>93</v>
      </c>
      <c r="M337" s="3" t="s">
        <v>38</v>
      </c>
      <c r="N337" s="3" t="s">
        <v>39</v>
      </c>
      <c r="O337" s="3" t="s">
        <v>1699</v>
      </c>
      <c r="P337" s="3" t="s">
        <v>64</v>
      </c>
      <c r="Q337" s="3">
        <v>3</v>
      </c>
      <c r="R337" s="3">
        <v>4289.37</v>
      </c>
      <c r="S337" s="3">
        <v>0.1</v>
      </c>
      <c r="T337" s="3">
        <v>11581.3</v>
      </c>
      <c r="U337" s="3">
        <v>6829.43</v>
      </c>
      <c r="V337" s="3">
        <v>4751.87</v>
      </c>
      <c r="W337" s="3" t="s">
        <v>42</v>
      </c>
      <c r="X337" s="3" t="s">
        <v>43</v>
      </c>
      <c r="Y337" s="2" t="str">
        <f t="shared" si="37"/>
        <v>Duplicate Order ID</v>
      </c>
      <c r="Z337" s="5" t="s">
        <v>722</v>
      </c>
      <c r="AA337" s="2" t="str">
        <f t="shared" si="38"/>
        <v>Clean</v>
      </c>
      <c r="AB337" s="2" t="str">
        <f t="shared" si="39"/>
        <v>valid</v>
      </c>
      <c r="AC337">
        <f t="shared" si="47"/>
        <v>0.1</v>
      </c>
      <c r="AD337">
        <f t="shared" si="48"/>
        <v>11581.299000000001</v>
      </c>
      <c r="AE337">
        <f t="shared" si="49"/>
        <v>4751.8690000000006</v>
      </c>
      <c r="AF337">
        <f t="shared" si="50"/>
        <v>0.41030535521101735</v>
      </c>
      <c r="AG337" t="str">
        <f t="shared" si="51"/>
        <v>June</v>
      </c>
      <c r="AH337">
        <f t="shared" si="52"/>
        <v>2025</v>
      </c>
      <c r="AI337" t="str">
        <f t="shared" si="53"/>
        <v>Clean</v>
      </c>
    </row>
    <row r="338" spans="1:35" ht="15.75" customHeight="1">
      <c r="A338" s="3" t="s">
        <v>1700</v>
      </c>
      <c r="B338" s="3" t="s">
        <v>312</v>
      </c>
      <c r="C338" s="3" t="s">
        <v>1701</v>
      </c>
      <c r="D338" s="3" t="str">
        <f t="shared" si="34"/>
        <v>21-Mar-2024</v>
      </c>
      <c r="E338" s="3" t="str">
        <f t="shared" si="35"/>
        <v>17-Mar-2024</v>
      </c>
      <c r="F338" s="3">
        <f t="shared" si="36"/>
        <v>4</v>
      </c>
      <c r="G338" s="3" t="s">
        <v>1320</v>
      </c>
      <c r="H338" s="3" t="s">
        <v>170</v>
      </c>
      <c r="I338" s="3" t="s">
        <v>34</v>
      </c>
      <c r="J338" s="3" t="s">
        <v>35</v>
      </c>
      <c r="K338" s="3" t="s">
        <v>36</v>
      </c>
      <c r="L338" s="3" t="s">
        <v>37</v>
      </c>
      <c r="M338" s="3" t="s">
        <v>94</v>
      </c>
      <c r="N338" s="3" t="s">
        <v>102</v>
      </c>
      <c r="O338" s="3" t="s">
        <v>1702</v>
      </c>
      <c r="P338" s="3" t="s">
        <v>64</v>
      </c>
      <c r="Q338" s="3">
        <v>8</v>
      </c>
      <c r="R338" s="3">
        <v>1992.57</v>
      </c>
      <c r="S338" s="3">
        <v>0</v>
      </c>
      <c r="T338" s="3">
        <v>15940.56</v>
      </c>
      <c r="U338" s="3">
        <v>12347.15</v>
      </c>
      <c r="V338" s="3">
        <v>3593.41</v>
      </c>
      <c r="W338" s="3" t="s">
        <v>42</v>
      </c>
      <c r="X338" s="3" t="s">
        <v>43</v>
      </c>
      <c r="Y338" s="2" t="str">
        <f t="shared" si="37"/>
        <v>Unique</v>
      </c>
      <c r="AA338" s="2" t="str">
        <f t="shared" si="38"/>
        <v>Clean</v>
      </c>
      <c r="AB338" s="2" t="str">
        <f t="shared" si="39"/>
        <v>valid</v>
      </c>
      <c r="AC338">
        <f t="shared" si="47"/>
        <v>0</v>
      </c>
      <c r="AD338">
        <f t="shared" si="48"/>
        <v>15940.56</v>
      </c>
      <c r="AE338">
        <f t="shared" si="49"/>
        <v>3593.41</v>
      </c>
      <c r="AF338">
        <f t="shared" si="50"/>
        <v>0.2254255810335396</v>
      </c>
      <c r="AG338" t="str">
        <f t="shared" si="51"/>
        <v>March</v>
      </c>
      <c r="AH338">
        <f t="shared" si="52"/>
        <v>2024</v>
      </c>
      <c r="AI338" t="str">
        <f t="shared" si="53"/>
        <v>Clean</v>
      </c>
    </row>
    <row r="339" spans="1:35" ht="15.75" customHeight="1">
      <c r="A339" s="3" t="s">
        <v>1703</v>
      </c>
      <c r="B339" s="3" t="s">
        <v>1704</v>
      </c>
      <c r="C339" s="3" t="s">
        <v>1705</v>
      </c>
      <c r="D339" s="3" t="str">
        <f t="shared" si="34"/>
        <v>18-Aug-2024</v>
      </c>
      <c r="E339" s="3" t="str">
        <f t="shared" si="35"/>
        <v>12-Aug-2024</v>
      </c>
      <c r="F339" s="3">
        <f t="shared" si="36"/>
        <v>6</v>
      </c>
      <c r="G339" s="3" t="s">
        <v>1706</v>
      </c>
      <c r="H339" s="3" t="s">
        <v>80</v>
      </c>
      <c r="I339" s="3" t="s">
        <v>34</v>
      </c>
      <c r="J339" s="3" t="s">
        <v>50</v>
      </c>
      <c r="K339" s="3" t="s">
        <v>224</v>
      </c>
      <c r="L339" s="3" t="s">
        <v>225</v>
      </c>
      <c r="M339" s="3" t="s">
        <v>38</v>
      </c>
      <c r="N339" s="3" t="s">
        <v>117</v>
      </c>
      <c r="O339" s="3" t="s">
        <v>1707</v>
      </c>
      <c r="P339" s="3" t="s">
        <v>56</v>
      </c>
      <c r="Q339" s="3">
        <v>6</v>
      </c>
      <c r="R339" s="3">
        <v>1181.74</v>
      </c>
      <c r="S339" s="3">
        <v>0</v>
      </c>
      <c r="T339" s="3">
        <v>7090.44</v>
      </c>
      <c r="U339" s="3">
        <v>5672.27</v>
      </c>
      <c r="V339" s="3">
        <v>1262.8699999999999</v>
      </c>
      <c r="W339" s="3" t="s">
        <v>42</v>
      </c>
      <c r="X339" s="3" t="s">
        <v>43</v>
      </c>
      <c r="Y339" s="2" t="str">
        <f t="shared" si="37"/>
        <v>Unique</v>
      </c>
      <c r="AA339" s="2" t="str">
        <f t="shared" si="38"/>
        <v>Clean</v>
      </c>
      <c r="AB339" s="2" t="str">
        <f t="shared" si="39"/>
        <v>valid</v>
      </c>
      <c r="AC339">
        <f t="shared" si="47"/>
        <v>0</v>
      </c>
      <c r="AD339">
        <f t="shared" si="48"/>
        <v>7090.4400000000005</v>
      </c>
      <c r="AE339">
        <f t="shared" si="49"/>
        <v>1418.17</v>
      </c>
      <c r="AF339">
        <f t="shared" si="50"/>
        <v>0.20001156486762456</v>
      </c>
      <c r="AG339" t="str">
        <f t="shared" si="51"/>
        <v>August</v>
      </c>
      <c r="AH339">
        <f t="shared" si="52"/>
        <v>2024</v>
      </c>
      <c r="AI339" t="str">
        <f t="shared" si="53"/>
        <v>Clean</v>
      </c>
    </row>
    <row r="340" spans="1:35" ht="15.75" customHeight="1">
      <c r="A340" s="3" t="s">
        <v>1708</v>
      </c>
      <c r="B340" s="3" t="s">
        <v>1709</v>
      </c>
      <c r="C340" s="3" t="s">
        <v>1464</v>
      </c>
      <c r="D340" s="3" t="str">
        <f t="shared" si="34"/>
        <v>12-Aug-2024</v>
      </c>
      <c r="E340" s="3" t="str">
        <f t="shared" si="35"/>
        <v>08-Dec-2024</v>
      </c>
      <c r="F340" s="3">
        <f t="shared" si="36"/>
        <v>-118</v>
      </c>
      <c r="G340" s="3" t="s">
        <v>1710</v>
      </c>
      <c r="H340" s="3" t="s">
        <v>69</v>
      </c>
      <c r="I340" s="3" t="s">
        <v>49</v>
      </c>
      <c r="J340" s="3" t="s">
        <v>70</v>
      </c>
      <c r="K340" s="3" t="s">
        <v>108</v>
      </c>
      <c r="L340" s="3" t="s">
        <v>109</v>
      </c>
      <c r="M340" s="3" t="s">
        <v>94</v>
      </c>
      <c r="N340" s="3" t="s">
        <v>95</v>
      </c>
      <c r="O340" s="3" t="s">
        <v>1711</v>
      </c>
      <c r="P340" s="3" t="s">
        <v>64</v>
      </c>
      <c r="Q340" s="3">
        <v>8</v>
      </c>
      <c r="R340" s="3">
        <v>4402.3599999999997</v>
      </c>
      <c r="S340" s="3">
        <v>0.25</v>
      </c>
      <c r="T340" s="3">
        <v>26414.16</v>
      </c>
      <c r="U340" s="3">
        <v>21822.53</v>
      </c>
      <c r="V340" s="3">
        <v>4591.63</v>
      </c>
      <c r="W340" s="3" t="s">
        <v>42</v>
      </c>
      <c r="X340" s="3" t="s">
        <v>43</v>
      </c>
      <c r="Y340" s="2" t="str">
        <f t="shared" si="37"/>
        <v>Unique</v>
      </c>
      <c r="AA340" s="2" t="str">
        <f t="shared" si="38"/>
        <v>Clean</v>
      </c>
      <c r="AB340" s="2" t="str">
        <f t="shared" si="39"/>
        <v>Invalid</v>
      </c>
      <c r="AC340">
        <f t="shared" si="47"/>
        <v>0.25</v>
      </c>
      <c r="AD340">
        <f t="shared" si="48"/>
        <v>26414.159999999996</v>
      </c>
      <c r="AE340">
        <f t="shared" si="49"/>
        <v>4591.6299999999974</v>
      </c>
      <c r="AF340">
        <f t="shared" si="50"/>
        <v>0.17383214154832097</v>
      </c>
      <c r="AG340" t="str">
        <f t="shared" si="51"/>
        <v>December</v>
      </c>
      <c r="AH340">
        <f t="shared" si="52"/>
        <v>2024</v>
      </c>
      <c r="AI340" t="str">
        <f t="shared" si="53"/>
        <v>Clean</v>
      </c>
    </row>
    <row r="341" spans="1:35" ht="15.75" customHeight="1">
      <c r="A341" s="3" t="s">
        <v>1712</v>
      </c>
      <c r="B341" s="3" t="s">
        <v>922</v>
      </c>
      <c r="C341" s="3" t="s">
        <v>1713</v>
      </c>
      <c r="D341" s="3" t="str">
        <f t="shared" si="34"/>
        <v>22-Feb-2025</v>
      </c>
      <c r="E341" s="3" t="str">
        <f t="shared" si="35"/>
        <v>20-Feb-2025</v>
      </c>
      <c r="F341" s="3">
        <f t="shared" si="36"/>
        <v>2</v>
      </c>
      <c r="G341" s="3" t="s">
        <v>1714</v>
      </c>
      <c r="H341" s="3" t="s">
        <v>101</v>
      </c>
      <c r="I341" s="3" t="s">
        <v>116</v>
      </c>
      <c r="J341" s="3" t="s">
        <v>50</v>
      </c>
      <c r="K341" s="3" t="s">
        <v>319</v>
      </c>
      <c r="L341" s="3" t="s">
        <v>320</v>
      </c>
      <c r="M341" s="3" t="s">
        <v>53</v>
      </c>
      <c r="N341" s="3" t="s">
        <v>212</v>
      </c>
      <c r="O341" s="3" t="s">
        <v>1715</v>
      </c>
      <c r="P341" s="3" t="s">
        <v>75</v>
      </c>
      <c r="Q341" s="3">
        <v>8</v>
      </c>
      <c r="R341" s="3">
        <v>3265.76</v>
      </c>
      <c r="S341" s="3">
        <v>0.2</v>
      </c>
      <c r="T341" s="3">
        <v>20900.86</v>
      </c>
      <c r="U341" s="3">
        <v>12513.14</v>
      </c>
      <c r="V341" s="3">
        <v>8387.7199999999993</v>
      </c>
      <c r="W341" s="3" t="s">
        <v>42</v>
      </c>
      <c r="X341" s="3" t="s">
        <v>43</v>
      </c>
      <c r="Y341" s="2" t="str">
        <f t="shared" si="37"/>
        <v>Unique</v>
      </c>
      <c r="AA341" s="2" t="str">
        <f t="shared" si="38"/>
        <v>Clean</v>
      </c>
      <c r="AB341" s="2" t="str">
        <f t="shared" si="39"/>
        <v>valid</v>
      </c>
      <c r="AC341">
        <f t="shared" si="47"/>
        <v>0.2</v>
      </c>
      <c r="AD341">
        <f t="shared" si="48"/>
        <v>20900.864000000001</v>
      </c>
      <c r="AE341">
        <f t="shared" si="49"/>
        <v>8387.724000000002</v>
      </c>
      <c r="AF341">
        <f t="shared" si="50"/>
        <v>0.40130991714026759</v>
      </c>
      <c r="AG341" t="str">
        <f t="shared" si="51"/>
        <v>February</v>
      </c>
      <c r="AH341">
        <f t="shared" si="52"/>
        <v>2025</v>
      </c>
      <c r="AI341" t="str">
        <f t="shared" si="53"/>
        <v>Clean</v>
      </c>
    </row>
    <row r="342" spans="1:35" ht="15.75" customHeight="1">
      <c r="A342" s="3" t="s">
        <v>1716</v>
      </c>
      <c r="B342" s="3" t="s">
        <v>1717</v>
      </c>
      <c r="C342" s="3" t="s">
        <v>1718</v>
      </c>
      <c r="D342" s="3" t="str">
        <f t="shared" si="34"/>
        <v>29-Jan-2024</v>
      </c>
      <c r="E342" s="3" t="str">
        <f t="shared" si="35"/>
        <v>21-Jan-2024</v>
      </c>
      <c r="F342" s="3">
        <f t="shared" si="36"/>
        <v>8</v>
      </c>
      <c r="G342" s="3" t="s">
        <v>1719</v>
      </c>
      <c r="H342" s="3" t="s">
        <v>101</v>
      </c>
      <c r="I342" s="3" t="s">
        <v>34</v>
      </c>
      <c r="J342" s="3" t="s">
        <v>70</v>
      </c>
      <c r="K342" s="3" t="s">
        <v>237</v>
      </c>
      <c r="L342" s="3" t="s">
        <v>238</v>
      </c>
      <c r="M342" s="3" t="s">
        <v>38</v>
      </c>
      <c r="N342" s="3" t="s">
        <v>206</v>
      </c>
      <c r="O342" s="3" t="s">
        <v>1720</v>
      </c>
      <c r="P342" s="3" t="s">
        <v>75</v>
      </c>
      <c r="Q342" s="3">
        <v>5</v>
      </c>
      <c r="R342" s="3">
        <v>4058.08</v>
      </c>
      <c r="S342" s="3">
        <v>0.1</v>
      </c>
      <c r="T342" s="3">
        <v>18261.36</v>
      </c>
      <c r="U342" s="3">
        <v>11399.94</v>
      </c>
      <c r="V342" s="3">
        <v>6861.42</v>
      </c>
      <c r="W342" s="3" t="s">
        <v>42</v>
      </c>
      <c r="X342" s="3" t="s">
        <v>43</v>
      </c>
      <c r="Y342" s="2" t="str">
        <f t="shared" si="37"/>
        <v>Unique</v>
      </c>
      <c r="AA342" s="2" t="str">
        <f t="shared" si="38"/>
        <v>Clean</v>
      </c>
      <c r="AB342" s="2" t="str">
        <f t="shared" si="39"/>
        <v>valid</v>
      </c>
      <c r="AC342">
        <f t="shared" si="47"/>
        <v>0.1</v>
      </c>
      <c r="AD342">
        <f t="shared" si="48"/>
        <v>18261.36</v>
      </c>
      <c r="AE342">
        <f t="shared" si="49"/>
        <v>6861.42</v>
      </c>
      <c r="AF342">
        <f t="shared" si="50"/>
        <v>0.3757343374206521</v>
      </c>
      <c r="AG342" t="str">
        <f t="shared" si="51"/>
        <v>January</v>
      </c>
      <c r="AH342">
        <f t="shared" si="52"/>
        <v>2024</v>
      </c>
      <c r="AI342" t="str">
        <f t="shared" si="53"/>
        <v>Clean</v>
      </c>
    </row>
    <row r="343" spans="1:35" ht="15.75" customHeight="1">
      <c r="A343" s="3" t="s">
        <v>1721</v>
      </c>
      <c r="B343" s="3" t="s">
        <v>1722</v>
      </c>
      <c r="C343" s="3" t="s">
        <v>1723</v>
      </c>
      <c r="D343" s="3" t="str">
        <f t="shared" si="34"/>
        <v>09-Sep-2025</v>
      </c>
      <c r="E343" s="3" t="str">
        <f t="shared" si="35"/>
        <v>08-Sep-2025</v>
      </c>
      <c r="F343" s="3">
        <f t="shared" si="36"/>
        <v>1</v>
      </c>
      <c r="G343" s="3" t="s">
        <v>1724</v>
      </c>
      <c r="H343" s="3" t="s">
        <v>188</v>
      </c>
      <c r="I343" s="3" t="s">
        <v>123</v>
      </c>
      <c r="J343" s="3" t="s">
        <v>81</v>
      </c>
      <c r="K343" s="3" t="s">
        <v>243</v>
      </c>
      <c r="L343" s="3" t="s">
        <v>244</v>
      </c>
      <c r="M343" s="3" t="s">
        <v>53</v>
      </c>
      <c r="N343" s="3" t="s">
        <v>84</v>
      </c>
      <c r="O343" s="3" t="s">
        <v>1725</v>
      </c>
      <c r="P343" s="3" t="s">
        <v>41</v>
      </c>
      <c r="Q343" s="3">
        <v>2</v>
      </c>
      <c r="R343" s="3">
        <v>3960.33</v>
      </c>
      <c r="S343" s="3">
        <v>0.05</v>
      </c>
      <c r="T343" s="3">
        <v>7524.63</v>
      </c>
      <c r="U343" s="3">
        <v>6229.6</v>
      </c>
      <c r="V343" s="3">
        <v>1295.03</v>
      </c>
      <c r="W343" s="3" t="s">
        <v>42</v>
      </c>
      <c r="X343" s="3" t="s">
        <v>43</v>
      </c>
      <c r="Y343" s="2" t="str">
        <f t="shared" si="37"/>
        <v>Unique</v>
      </c>
      <c r="AA343" s="2" t="str">
        <f t="shared" si="38"/>
        <v>Clean</v>
      </c>
      <c r="AB343" s="2" t="str">
        <f t="shared" si="39"/>
        <v>valid</v>
      </c>
      <c r="AC343">
        <f t="shared" si="47"/>
        <v>0.05</v>
      </c>
      <c r="AD343">
        <f t="shared" si="48"/>
        <v>7524.6269999999995</v>
      </c>
      <c r="AE343">
        <f t="shared" si="49"/>
        <v>1295.0269999999991</v>
      </c>
      <c r="AF343">
        <f t="shared" si="50"/>
        <v>0.17210514222166751</v>
      </c>
      <c r="AG343" t="str">
        <f t="shared" si="51"/>
        <v>September</v>
      </c>
      <c r="AH343">
        <f t="shared" si="52"/>
        <v>2025</v>
      </c>
      <c r="AI343" t="str">
        <f t="shared" si="53"/>
        <v>Clean</v>
      </c>
    </row>
    <row r="344" spans="1:35" ht="15.75" customHeight="1">
      <c r="A344" s="3" t="s">
        <v>1726</v>
      </c>
      <c r="B344" s="3" t="s">
        <v>1727</v>
      </c>
      <c r="C344" s="3" t="s">
        <v>1728</v>
      </c>
      <c r="D344" s="3" t="str">
        <f t="shared" si="34"/>
        <v>01-Aug-2025</v>
      </c>
      <c r="E344" s="3" t="str">
        <f t="shared" si="35"/>
        <v>24-Jul-2025</v>
      </c>
      <c r="F344" s="3">
        <f t="shared" si="36"/>
        <v>8</v>
      </c>
      <c r="G344" s="3" t="s">
        <v>1729</v>
      </c>
      <c r="H344" s="3" t="s">
        <v>375</v>
      </c>
      <c r="I344" s="3" t="s">
        <v>49</v>
      </c>
      <c r="J344" s="3" t="s">
        <v>50</v>
      </c>
      <c r="K344" s="3" t="s">
        <v>319</v>
      </c>
      <c r="L344" s="3" t="s">
        <v>320</v>
      </c>
      <c r="M344" s="3" t="s">
        <v>38</v>
      </c>
      <c r="N344" s="3" t="s">
        <v>206</v>
      </c>
      <c r="O344" s="3" t="s">
        <v>1730</v>
      </c>
      <c r="P344" s="3" t="s">
        <v>64</v>
      </c>
      <c r="Q344" s="3">
        <v>8</v>
      </c>
      <c r="R344" s="3">
        <v>1528.92</v>
      </c>
      <c r="S344" s="3">
        <v>0</v>
      </c>
      <c r="T344" s="3">
        <v>12231.36</v>
      </c>
      <c r="U344" s="3">
        <v>8766.9</v>
      </c>
      <c r="V344" s="3">
        <v>3464.46</v>
      </c>
      <c r="W344" s="3" t="s">
        <v>42</v>
      </c>
      <c r="X344" s="3" t="s">
        <v>43</v>
      </c>
      <c r="Y344" s="2" t="str">
        <f t="shared" si="37"/>
        <v>Unique</v>
      </c>
      <c r="AA344" s="2" t="str">
        <f t="shared" si="38"/>
        <v>Clean</v>
      </c>
      <c r="AB344" s="2" t="str">
        <f t="shared" si="39"/>
        <v>valid</v>
      </c>
      <c r="AC344">
        <f t="shared" si="47"/>
        <v>0</v>
      </c>
      <c r="AD344">
        <f t="shared" si="48"/>
        <v>12231.36</v>
      </c>
      <c r="AE344">
        <f t="shared" si="49"/>
        <v>3464.4600000000009</v>
      </c>
      <c r="AF344">
        <f t="shared" si="50"/>
        <v>0.28324405462679547</v>
      </c>
      <c r="AG344" t="str">
        <f t="shared" si="51"/>
        <v>July</v>
      </c>
      <c r="AH344">
        <f t="shared" si="52"/>
        <v>2025</v>
      </c>
      <c r="AI344" t="str">
        <f t="shared" si="53"/>
        <v>Clean</v>
      </c>
    </row>
    <row r="345" spans="1:35" ht="15.75" customHeight="1">
      <c r="A345" s="3" t="s">
        <v>1731</v>
      </c>
      <c r="B345" s="3" t="s">
        <v>1732</v>
      </c>
      <c r="C345" s="3" t="s">
        <v>1193</v>
      </c>
      <c r="D345" s="3" t="str">
        <f t="shared" si="34"/>
        <v>08-Oct-2025</v>
      </c>
      <c r="E345" s="3" t="str">
        <f t="shared" si="35"/>
        <v>10-Mar-2025</v>
      </c>
      <c r="F345" s="3">
        <f t="shared" si="36"/>
        <v>212</v>
      </c>
      <c r="G345" s="3" t="s">
        <v>1733</v>
      </c>
      <c r="H345" s="3" t="s">
        <v>170</v>
      </c>
      <c r="I345" s="3" t="s">
        <v>116</v>
      </c>
      <c r="J345" s="3" t="s">
        <v>81</v>
      </c>
      <c r="K345" s="3" t="s">
        <v>92</v>
      </c>
      <c r="L345" s="3" t="s">
        <v>93</v>
      </c>
      <c r="M345" s="3" t="s">
        <v>94</v>
      </c>
      <c r="N345" s="3" t="s">
        <v>391</v>
      </c>
      <c r="O345" s="3" t="s">
        <v>1734</v>
      </c>
      <c r="P345" s="3" t="s">
        <v>56</v>
      </c>
      <c r="Q345" s="3">
        <v>9</v>
      </c>
      <c r="R345" s="3">
        <v>3837</v>
      </c>
      <c r="S345" s="3">
        <v>0.1</v>
      </c>
      <c r="T345" s="3">
        <v>31079.7</v>
      </c>
      <c r="U345" s="3">
        <v>17758.25</v>
      </c>
      <c r="V345" s="3">
        <v>13321.45</v>
      </c>
      <c r="W345" s="3" t="s">
        <v>42</v>
      </c>
      <c r="X345" s="3" t="s">
        <v>43</v>
      </c>
      <c r="Y345" s="2" t="str">
        <f t="shared" si="37"/>
        <v>Unique</v>
      </c>
      <c r="AA345" s="2" t="str">
        <f t="shared" si="38"/>
        <v>Clean</v>
      </c>
      <c r="AB345" s="2" t="str">
        <f t="shared" si="39"/>
        <v>valid</v>
      </c>
      <c r="AC345">
        <f t="shared" si="47"/>
        <v>0.1</v>
      </c>
      <c r="AD345">
        <f t="shared" si="48"/>
        <v>31079.7</v>
      </c>
      <c r="AE345">
        <f t="shared" si="49"/>
        <v>13321.45</v>
      </c>
      <c r="AF345">
        <f t="shared" si="50"/>
        <v>0.4286222196481948</v>
      </c>
      <c r="AG345" t="str">
        <f t="shared" si="51"/>
        <v>March</v>
      </c>
      <c r="AH345">
        <f t="shared" si="52"/>
        <v>2025</v>
      </c>
      <c r="AI345" t="str">
        <f t="shared" si="53"/>
        <v>Clean</v>
      </c>
    </row>
    <row r="346" spans="1:35" ht="15.75" customHeight="1">
      <c r="A346" s="3" t="s">
        <v>1735</v>
      </c>
      <c r="B346" s="3" t="s">
        <v>1507</v>
      </c>
      <c r="C346" s="3" t="s">
        <v>1507</v>
      </c>
      <c r="D346" s="3" t="str">
        <f t="shared" si="34"/>
        <v>11-Mar-2024</v>
      </c>
      <c r="E346" s="3" t="str">
        <f t="shared" si="35"/>
        <v>11-Mar-2024</v>
      </c>
      <c r="F346" s="3">
        <f t="shared" si="36"/>
        <v>0</v>
      </c>
      <c r="G346" s="3" t="s">
        <v>1736</v>
      </c>
      <c r="H346" s="3" t="s">
        <v>150</v>
      </c>
      <c r="I346" s="3" t="s">
        <v>34</v>
      </c>
      <c r="J346" s="3" t="s">
        <v>35</v>
      </c>
      <c r="K346" s="3" t="s">
        <v>162</v>
      </c>
      <c r="L346" s="3" t="s">
        <v>163</v>
      </c>
      <c r="M346" s="3" t="s">
        <v>53</v>
      </c>
      <c r="N346" s="3" t="s">
        <v>212</v>
      </c>
      <c r="O346" s="3" t="s">
        <v>1737</v>
      </c>
      <c r="P346" s="3" t="s">
        <v>56</v>
      </c>
      <c r="Q346" s="3">
        <v>9</v>
      </c>
      <c r="R346" s="3">
        <v>3456.38</v>
      </c>
      <c r="S346" s="3">
        <v>0</v>
      </c>
      <c r="T346" s="3">
        <v>31107.42</v>
      </c>
      <c r="U346" s="3">
        <v>20146.66</v>
      </c>
      <c r="V346" s="3">
        <v>10960.76</v>
      </c>
      <c r="W346" s="3" t="s">
        <v>145</v>
      </c>
      <c r="X346" s="3" t="s">
        <v>133</v>
      </c>
      <c r="Y346" s="2" t="str">
        <f t="shared" si="37"/>
        <v>Unique</v>
      </c>
      <c r="AA346" s="2" t="str">
        <f t="shared" si="38"/>
        <v>Clean</v>
      </c>
      <c r="AB346" s="2" t="str">
        <f t="shared" si="39"/>
        <v>valid</v>
      </c>
      <c r="AC346">
        <f t="shared" si="47"/>
        <v>0</v>
      </c>
      <c r="AD346">
        <f t="shared" si="48"/>
        <v>31107.420000000002</v>
      </c>
      <c r="AE346">
        <f t="shared" si="49"/>
        <v>10960.760000000002</v>
      </c>
      <c r="AF346">
        <f t="shared" si="50"/>
        <v>0.3523519468988428</v>
      </c>
      <c r="AG346" t="str">
        <f t="shared" si="51"/>
        <v>March</v>
      </c>
      <c r="AH346">
        <f t="shared" si="52"/>
        <v>2024</v>
      </c>
      <c r="AI346" t="str">
        <f t="shared" si="53"/>
        <v>Clean</v>
      </c>
    </row>
    <row r="347" spans="1:35" ht="15.75" customHeight="1">
      <c r="A347" s="3" t="s">
        <v>1738</v>
      </c>
      <c r="B347" s="3" t="s">
        <v>1739</v>
      </c>
      <c r="C347" s="3" t="s">
        <v>1740</v>
      </c>
      <c r="D347" s="3" t="str">
        <f t="shared" si="34"/>
        <v>22-Sep-2024</v>
      </c>
      <c r="E347" s="3" t="str">
        <f t="shared" si="35"/>
        <v>14-Sep-2024</v>
      </c>
      <c r="F347" s="3">
        <f t="shared" si="36"/>
        <v>8</v>
      </c>
      <c r="G347" s="3" t="s">
        <v>1741</v>
      </c>
      <c r="H347" s="3" t="s">
        <v>33</v>
      </c>
      <c r="I347" s="3" t="s">
        <v>34</v>
      </c>
      <c r="J347" s="3" t="s">
        <v>81</v>
      </c>
      <c r="K347" s="3" t="s">
        <v>92</v>
      </c>
      <c r="L347" s="3" t="s">
        <v>93</v>
      </c>
      <c r="M347" s="3" t="s">
        <v>53</v>
      </c>
      <c r="N347" s="3" t="s">
        <v>73</v>
      </c>
      <c r="O347" s="3" t="s">
        <v>1742</v>
      </c>
      <c r="P347" s="3" t="s">
        <v>41</v>
      </c>
      <c r="Q347" s="3">
        <v>2</v>
      </c>
      <c r="R347" s="3">
        <v>2765.3</v>
      </c>
      <c r="S347" s="3">
        <v>0</v>
      </c>
      <c r="T347" s="3">
        <v>5530.6</v>
      </c>
      <c r="U347" s="3">
        <v>4453.1099999999997</v>
      </c>
      <c r="V347" s="3">
        <v>1077.49</v>
      </c>
      <c r="W347" s="3" t="s">
        <v>42</v>
      </c>
      <c r="X347" s="3" t="s">
        <v>43</v>
      </c>
      <c r="Y347" s="2" t="str">
        <f t="shared" si="37"/>
        <v>Unique</v>
      </c>
      <c r="AA347" s="2" t="str">
        <f t="shared" si="38"/>
        <v>Clean</v>
      </c>
      <c r="AB347" s="2" t="str">
        <f t="shared" si="39"/>
        <v>valid</v>
      </c>
      <c r="AC347">
        <f t="shared" si="47"/>
        <v>0</v>
      </c>
      <c r="AD347">
        <f t="shared" si="48"/>
        <v>5530.6</v>
      </c>
      <c r="AE347">
        <f t="shared" si="49"/>
        <v>1077.4900000000007</v>
      </c>
      <c r="AF347">
        <f t="shared" si="50"/>
        <v>0.19482334647235391</v>
      </c>
      <c r="AG347" t="str">
        <f t="shared" si="51"/>
        <v>September</v>
      </c>
      <c r="AH347">
        <f t="shared" si="52"/>
        <v>2024</v>
      </c>
      <c r="AI347" t="str">
        <f t="shared" si="53"/>
        <v>Clean</v>
      </c>
    </row>
    <row r="348" spans="1:35" ht="15.75" customHeight="1">
      <c r="A348" s="3" t="s">
        <v>1743</v>
      </c>
      <c r="B348" s="3" t="s">
        <v>1657</v>
      </c>
      <c r="C348" s="3" t="s">
        <v>1744</v>
      </c>
      <c r="D348" s="3" t="str">
        <f t="shared" si="34"/>
        <v>28-Jul-2025</v>
      </c>
      <c r="E348" s="3" t="str">
        <f t="shared" si="35"/>
        <v>22-Jul-2025</v>
      </c>
      <c r="F348" s="3">
        <f t="shared" si="36"/>
        <v>6</v>
      </c>
      <c r="G348" s="3" t="s">
        <v>1745</v>
      </c>
      <c r="H348" s="3" t="s">
        <v>156</v>
      </c>
      <c r="I348" s="3" t="s">
        <v>116</v>
      </c>
      <c r="J348" s="3" t="s">
        <v>70</v>
      </c>
      <c r="K348" s="3" t="s">
        <v>250</v>
      </c>
      <c r="L348" s="3" t="s">
        <v>251</v>
      </c>
      <c r="M348" s="3" t="s">
        <v>53</v>
      </c>
      <c r="N348" s="3" t="s">
        <v>84</v>
      </c>
      <c r="O348" s="3" t="s">
        <v>1746</v>
      </c>
      <c r="P348" s="3" t="s">
        <v>41</v>
      </c>
      <c r="Q348" s="3">
        <v>6</v>
      </c>
      <c r="R348" s="3">
        <v>1607.46</v>
      </c>
      <c r="S348" s="3">
        <v>0.2</v>
      </c>
      <c r="T348" s="3">
        <v>7715.81</v>
      </c>
      <c r="U348" s="3">
        <v>4258.42</v>
      </c>
      <c r="V348" s="3">
        <v>3457.39</v>
      </c>
      <c r="W348" s="3" t="s">
        <v>42</v>
      </c>
      <c r="X348" s="3" t="s">
        <v>43</v>
      </c>
      <c r="Y348" s="2" t="str">
        <f t="shared" si="37"/>
        <v>Unique</v>
      </c>
      <c r="AA348" s="2" t="str">
        <f t="shared" si="38"/>
        <v>Clean</v>
      </c>
      <c r="AB348" s="2" t="str">
        <f t="shared" si="39"/>
        <v>valid</v>
      </c>
      <c r="AC348">
        <f t="shared" si="47"/>
        <v>0.2</v>
      </c>
      <c r="AD348">
        <f t="shared" si="48"/>
        <v>7715.8080000000009</v>
      </c>
      <c r="AE348">
        <f t="shared" si="49"/>
        <v>3457.3880000000008</v>
      </c>
      <c r="AF348">
        <f t="shared" si="50"/>
        <v>0.4480915025360922</v>
      </c>
      <c r="AG348" t="str">
        <f t="shared" si="51"/>
        <v>July</v>
      </c>
      <c r="AH348">
        <f t="shared" si="52"/>
        <v>2025</v>
      </c>
      <c r="AI348" t="str">
        <f t="shared" si="53"/>
        <v>Clean</v>
      </c>
    </row>
    <row r="349" spans="1:35" ht="15.75" customHeight="1">
      <c r="A349" s="3" t="s">
        <v>1747</v>
      </c>
      <c r="B349" s="3" t="s">
        <v>1748</v>
      </c>
      <c r="C349" s="3" t="s">
        <v>1464</v>
      </c>
      <c r="D349" s="3" t="str">
        <f t="shared" si="34"/>
        <v>12-Aug-2024</v>
      </c>
      <c r="E349" s="3" t="str">
        <f t="shared" si="35"/>
        <v>01-Dec-2024</v>
      </c>
      <c r="F349" s="3">
        <f t="shared" si="36"/>
        <v>-111</v>
      </c>
      <c r="G349" s="3" t="s">
        <v>1749</v>
      </c>
      <c r="H349" s="3" t="s">
        <v>170</v>
      </c>
      <c r="I349" s="3" t="s">
        <v>49</v>
      </c>
      <c r="J349" s="3" t="s">
        <v>81</v>
      </c>
      <c r="K349" s="3" t="s">
        <v>257</v>
      </c>
      <c r="L349" s="3" t="s">
        <v>258</v>
      </c>
      <c r="M349" s="3" t="s">
        <v>53</v>
      </c>
      <c r="N349" s="3" t="s">
        <v>84</v>
      </c>
      <c r="O349" s="3" t="s">
        <v>1750</v>
      </c>
      <c r="P349" s="3" t="s">
        <v>41</v>
      </c>
      <c r="Q349" s="3">
        <v>5</v>
      </c>
      <c r="R349" s="3">
        <v>2981.49</v>
      </c>
      <c r="S349" s="3">
        <v>0.2</v>
      </c>
      <c r="T349" s="3">
        <v>11925.96</v>
      </c>
      <c r="U349" s="3">
        <v>10103.51</v>
      </c>
      <c r="V349" s="3">
        <v>1822.45</v>
      </c>
      <c r="W349" s="3" t="s">
        <v>132</v>
      </c>
      <c r="X349" s="3" t="s">
        <v>133</v>
      </c>
      <c r="Y349" s="2" t="str">
        <f t="shared" si="37"/>
        <v>Unique</v>
      </c>
      <c r="AA349" s="2" t="str">
        <f t="shared" si="38"/>
        <v>Clean</v>
      </c>
      <c r="AB349" s="2" t="str">
        <f t="shared" si="39"/>
        <v>Invalid</v>
      </c>
      <c r="AC349">
        <f t="shared" si="47"/>
        <v>0.2</v>
      </c>
      <c r="AD349">
        <f t="shared" si="48"/>
        <v>11925.96</v>
      </c>
      <c r="AE349">
        <f t="shared" si="49"/>
        <v>1822.4499999999989</v>
      </c>
      <c r="AF349">
        <f t="shared" si="50"/>
        <v>0.15281369382422874</v>
      </c>
      <c r="AG349" t="str">
        <f t="shared" si="51"/>
        <v>December</v>
      </c>
      <c r="AH349">
        <f t="shared" si="52"/>
        <v>2024</v>
      </c>
      <c r="AI349" t="str">
        <f t="shared" si="53"/>
        <v>Clean</v>
      </c>
    </row>
    <row r="350" spans="1:35" ht="15.75" customHeight="1">
      <c r="A350" s="3" t="s">
        <v>1751</v>
      </c>
      <c r="B350" s="3" t="s">
        <v>1302</v>
      </c>
      <c r="C350" s="3" t="s">
        <v>1752</v>
      </c>
      <c r="D350" s="3" t="str">
        <f t="shared" si="34"/>
        <v>06-Jul-2024</v>
      </c>
      <c r="E350" s="3" t="str">
        <f t="shared" si="35"/>
        <v>06-Feb-2024</v>
      </c>
      <c r="F350" s="3">
        <f t="shared" si="36"/>
        <v>151</v>
      </c>
      <c r="G350" s="3" t="s">
        <v>1753</v>
      </c>
      <c r="H350" s="3" t="s">
        <v>170</v>
      </c>
      <c r="I350" s="3" t="s">
        <v>116</v>
      </c>
      <c r="J350" s="3" t="s">
        <v>70</v>
      </c>
      <c r="K350" s="3" t="s">
        <v>237</v>
      </c>
      <c r="L350" s="3" t="s">
        <v>238</v>
      </c>
      <c r="M350" s="3" t="s">
        <v>94</v>
      </c>
      <c r="N350" s="3" t="s">
        <v>231</v>
      </c>
      <c r="O350" s="3" t="s">
        <v>1754</v>
      </c>
      <c r="P350" s="3" t="s">
        <v>56</v>
      </c>
      <c r="Q350" s="3">
        <v>9</v>
      </c>
      <c r="R350" s="3">
        <v>2860.26</v>
      </c>
      <c r="S350" s="3">
        <v>0.25</v>
      </c>
      <c r="T350" s="3">
        <v>19306.759999999998</v>
      </c>
      <c r="U350" s="3">
        <v>14442.38</v>
      </c>
      <c r="V350" s="3">
        <v>4864.38</v>
      </c>
      <c r="W350" s="3" t="s">
        <v>42</v>
      </c>
      <c r="X350" s="3" t="s">
        <v>43</v>
      </c>
      <c r="Y350" s="2" t="str">
        <f t="shared" si="37"/>
        <v>Unique</v>
      </c>
      <c r="AA350" s="2" t="str">
        <f t="shared" si="38"/>
        <v>Clean</v>
      </c>
      <c r="AB350" s="2" t="str">
        <f t="shared" si="39"/>
        <v>valid</v>
      </c>
      <c r="AC350">
        <f t="shared" si="47"/>
        <v>0.25</v>
      </c>
      <c r="AD350">
        <f t="shared" si="48"/>
        <v>19306.755000000005</v>
      </c>
      <c r="AE350">
        <f t="shared" si="49"/>
        <v>4864.3750000000055</v>
      </c>
      <c r="AF350">
        <f t="shared" si="50"/>
        <v>0.25195197225012717</v>
      </c>
      <c r="AG350" t="str">
        <f t="shared" si="51"/>
        <v>February</v>
      </c>
      <c r="AH350">
        <f t="shared" si="52"/>
        <v>2024</v>
      </c>
      <c r="AI350" t="str">
        <f t="shared" si="53"/>
        <v>Clean</v>
      </c>
    </row>
    <row r="351" spans="1:35" ht="15.75" customHeight="1">
      <c r="A351" s="3" t="s">
        <v>1755</v>
      </c>
      <c r="B351" s="3" t="s">
        <v>1756</v>
      </c>
      <c r="C351" s="3" t="s">
        <v>756</v>
      </c>
      <c r="D351" s="3" t="str">
        <f t="shared" si="34"/>
        <v>29-Sep-2025</v>
      </c>
      <c r="E351" s="3" t="str">
        <f t="shared" si="35"/>
        <v>27-Sep-2025</v>
      </c>
      <c r="F351" s="3">
        <f t="shared" si="36"/>
        <v>2</v>
      </c>
      <c r="G351" s="3" t="s">
        <v>1757</v>
      </c>
      <c r="H351" s="3" t="s">
        <v>375</v>
      </c>
      <c r="I351" s="3" t="s">
        <v>123</v>
      </c>
      <c r="J351" s="3" t="s">
        <v>50</v>
      </c>
      <c r="K351" s="3" t="s">
        <v>319</v>
      </c>
      <c r="L351" s="3" t="s">
        <v>320</v>
      </c>
      <c r="M351" s="3" t="s">
        <v>53</v>
      </c>
      <c r="N351" s="3" t="s">
        <v>73</v>
      </c>
      <c r="O351" s="3" t="s">
        <v>1758</v>
      </c>
      <c r="P351" s="3" t="s">
        <v>41</v>
      </c>
      <c r="Q351" s="3">
        <v>9</v>
      </c>
      <c r="R351" s="3">
        <v>2867.55</v>
      </c>
      <c r="S351" s="3">
        <v>0.25</v>
      </c>
      <c r="T351" s="3">
        <v>19355.96</v>
      </c>
      <c r="U351" s="3">
        <v>15012.45</v>
      </c>
      <c r="V351" s="3">
        <v>4017.4</v>
      </c>
      <c r="W351" s="3" t="s">
        <v>42</v>
      </c>
      <c r="X351" s="3" t="s">
        <v>43</v>
      </c>
      <c r="Y351" s="2" t="str">
        <f t="shared" si="37"/>
        <v>Unique</v>
      </c>
      <c r="AA351" s="2" t="str">
        <f t="shared" si="38"/>
        <v>Clean</v>
      </c>
      <c r="AB351" s="2" t="str">
        <f t="shared" si="39"/>
        <v>valid</v>
      </c>
      <c r="AC351">
        <f t="shared" si="47"/>
        <v>0.25</v>
      </c>
      <c r="AD351">
        <f t="shared" si="48"/>
        <v>19355.962500000001</v>
      </c>
      <c r="AE351">
        <f t="shared" si="49"/>
        <v>4343.5125000000007</v>
      </c>
      <c r="AF351">
        <f t="shared" si="50"/>
        <v>0.22440178317146461</v>
      </c>
      <c r="AG351" t="str">
        <f t="shared" si="51"/>
        <v>September</v>
      </c>
      <c r="AH351">
        <f t="shared" si="52"/>
        <v>2025</v>
      </c>
      <c r="AI351" t="str">
        <f t="shared" si="53"/>
        <v>Clean</v>
      </c>
    </row>
    <row r="352" spans="1:35" ht="15.75" customHeight="1">
      <c r="A352" s="3" t="s">
        <v>1759</v>
      </c>
      <c r="B352" s="3" t="s">
        <v>1760</v>
      </c>
      <c r="C352" s="3" t="s">
        <v>1761</v>
      </c>
      <c r="D352" s="3" t="str">
        <f t="shared" si="34"/>
        <v>14-Jan-2024</v>
      </c>
      <c r="E352" s="3" t="str">
        <f t="shared" si="35"/>
        <v>07-Jan-2024</v>
      </c>
      <c r="F352" s="3">
        <f t="shared" si="36"/>
        <v>7</v>
      </c>
      <c r="G352" s="3" t="s">
        <v>1762</v>
      </c>
      <c r="H352" s="3" t="s">
        <v>176</v>
      </c>
      <c r="I352" s="3" t="s">
        <v>49</v>
      </c>
      <c r="J352" s="3" t="s">
        <v>50</v>
      </c>
      <c r="K352" s="3" t="s">
        <v>319</v>
      </c>
      <c r="L352" s="3" t="s">
        <v>320</v>
      </c>
      <c r="M352" s="3" t="s">
        <v>53</v>
      </c>
      <c r="N352" s="3" t="s">
        <v>73</v>
      </c>
      <c r="O352" s="3" t="s">
        <v>1763</v>
      </c>
      <c r="P352" s="3" t="s">
        <v>41</v>
      </c>
      <c r="Q352" s="3">
        <v>4</v>
      </c>
      <c r="R352" s="3">
        <v>3309.54</v>
      </c>
      <c r="S352" s="3">
        <v>0.1</v>
      </c>
      <c r="T352" s="3">
        <v>11914.34</v>
      </c>
      <c r="U352" s="3">
        <v>9771.24</v>
      </c>
      <c r="V352" s="3">
        <v>2143.1</v>
      </c>
      <c r="W352" s="3" t="s">
        <v>132</v>
      </c>
      <c r="X352" s="3" t="s">
        <v>133</v>
      </c>
      <c r="Y352" s="2" t="str">
        <f t="shared" si="37"/>
        <v>Unique</v>
      </c>
      <c r="AA352" s="2" t="str">
        <f t="shared" si="38"/>
        <v>Clean</v>
      </c>
      <c r="AB352" s="2" t="str">
        <f t="shared" si="39"/>
        <v>valid</v>
      </c>
      <c r="AC352">
        <f t="shared" si="47"/>
        <v>0.1</v>
      </c>
      <c r="AD352">
        <f t="shared" si="48"/>
        <v>11914.344000000001</v>
      </c>
      <c r="AE352">
        <f t="shared" si="49"/>
        <v>2143.1040000000012</v>
      </c>
      <c r="AF352">
        <f t="shared" si="50"/>
        <v>0.17987595456367561</v>
      </c>
      <c r="AG352" t="str">
        <f t="shared" si="51"/>
        <v>January</v>
      </c>
      <c r="AH352">
        <f t="shared" si="52"/>
        <v>2024</v>
      </c>
      <c r="AI352" t="str">
        <f t="shared" si="53"/>
        <v>Clean</v>
      </c>
    </row>
    <row r="353" spans="1:35" ht="15.75" customHeight="1">
      <c r="A353" s="3" t="s">
        <v>1764</v>
      </c>
      <c r="B353" s="3" t="s">
        <v>1765</v>
      </c>
      <c r="C353" s="3" t="s">
        <v>1681</v>
      </c>
      <c r="D353" s="3" t="str">
        <f t="shared" si="34"/>
        <v>27-May-2025</v>
      </c>
      <c r="E353" s="3" t="str">
        <f t="shared" si="35"/>
        <v>23-May-2025</v>
      </c>
      <c r="F353" s="3">
        <f t="shared" si="36"/>
        <v>4</v>
      </c>
      <c r="G353" s="3" t="s">
        <v>1766</v>
      </c>
      <c r="H353" s="3" t="s">
        <v>91</v>
      </c>
      <c r="I353" s="3" t="s">
        <v>49</v>
      </c>
      <c r="J353" s="3" t="s">
        <v>70</v>
      </c>
      <c r="K353" s="3" t="s">
        <v>71</v>
      </c>
      <c r="L353" s="3" t="s">
        <v>72</v>
      </c>
      <c r="M353" s="3" t="s">
        <v>38</v>
      </c>
      <c r="N353" s="3" t="s">
        <v>164</v>
      </c>
      <c r="O353" s="3" t="s">
        <v>1767</v>
      </c>
      <c r="P353" s="3" t="s">
        <v>64</v>
      </c>
      <c r="Q353" s="3">
        <v>6</v>
      </c>
      <c r="R353" s="3">
        <v>719.44</v>
      </c>
      <c r="S353" s="3">
        <v>0.25</v>
      </c>
      <c r="T353" s="3">
        <v>3237.48</v>
      </c>
      <c r="U353" s="3">
        <v>2118.34</v>
      </c>
      <c r="V353" s="3">
        <v>1119.1400000000001</v>
      </c>
      <c r="W353" s="3" t="s">
        <v>145</v>
      </c>
      <c r="X353" s="3" t="s">
        <v>86</v>
      </c>
      <c r="Y353" s="2" t="str">
        <f t="shared" si="37"/>
        <v>Unique</v>
      </c>
      <c r="AA353" s="2" t="str">
        <f t="shared" si="38"/>
        <v>Clean</v>
      </c>
      <c r="AB353" s="2" t="str">
        <f t="shared" si="39"/>
        <v>valid</v>
      </c>
      <c r="AC353">
        <f t="shared" si="47"/>
        <v>0.25</v>
      </c>
      <c r="AD353">
        <f t="shared" si="48"/>
        <v>3237.4800000000005</v>
      </c>
      <c r="AE353">
        <f t="shared" si="49"/>
        <v>1119.1400000000003</v>
      </c>
      <c r="AF353">
        <f t="shared" si="50"/>
        <v>0.34568244437031276</v>
      </c>
      <c r="AG353" t="str">
        <f t="shared" si="51"/>
        <v>May</v>
      </c>
      <c r="AH353">
        <f t="shared" si="52"/>
        <v>2025</v>
      </c>
      <c r="AI353" t="str">
        <f t="shared" si="53"/>
        <v>Warning</v>
      </c>
    </row>
    <row r="354" spans="1:35" ht="15.75" customHeight="1">
      <c r="A354" s="3" t="s">
        <v>1768</v>
      </c>
      <c r="B354" s="3" t="s">
        <v>1769</v>
      </c>
      <c r="C354" s="3" t="s">
        <v>1392</v>
      </c>
      <c r="D354" s="3" t="str">
        <f t="shared" si="34"/>
        <v>17-Aug-2025</v>
      </c>
      <c r="E354" s="3" t="str">
        <f t="shared" si="35"/>
        <v>15-Aug-2025</v>
      </c>
      <c r="F354" s="3">
        <f t="shared" si="36"/>
        <v>2</v>
      </c>
      <c r="G354" s="3" t="s">
        <v>1770</v>
      </c>
      <c r="H354" s="3" t="s">
        <v>218</v>
      </c>
      <c r="I354" s="3" t="s">
        <v>49</v>
      </c>
      <c r="J354" s="3" t="s">
        <v>50</v>
      </c>
      <c r="K354" s="3" t="s">
        <v>224</v>
      </c>
      <c r="L354" s="3" t="s">
        <v>225</v>
      </c>
      <c r="M354" s="3" t="s">
        <v>94</v>
      </c>
      <c r="N354" s="3" t="s">
        <v>102</v>
      </c>
      <c r="O354" s="3" t="s">
        <v>1771</v>
      </c>
      <c r="P354" s="3" t="s">
        <v>64</v>
      </c>
      <c r="Q354" s="3">
        <v>5</v>
      </c>
      <c r="R354" s="3">
        <v>2862.6</v>
      </c>
      <c r="S354" s="3">
        <v>0.25</v>
      </c>
      <c r="T354" s="3">
        <v>10734.75</v>
      </c>
      <c r="U354" s="3">
        <v>6475.73</v>
      </c>
      <c r="V354" s="3">
        <v>4259.0200000000004</v>
      </c>
      <c r="W354" s="3" t="s">
        <v>42</v>
      </c>
      <c r="X354" s="3" t="s">
        <v>43</v>
      </c>
      <c r="Y354" s="2" t="str">
        <f t="shared" si="37"/>
        <v>Unique</v>
      </c>
      <c r="AA354" s="2" t="str">
        <f t="shared" si="38"/>
        <v>Clean</v>
      </c>
      <c r="AB354" s="2" t="str">
        <f t="shared" si="39"/>
        <v>valid</v>
      </c>
      <c r="AC354">
        <f t="shared" si="47"/>
        <v>0.25</v>
      </c>
      <c r="AD354">
        <f t="shared" si="48"/>
        <v>10734.75</v>
      </c>
      <c r="AE354">
        <f t="shared" si="49"/>
        <v>4259.0200000000004</v>
      </c>
      <c r="AF354">
        <f t="shared" si="50"/>
        <v>0.39675073942103917</v>
      </c>
      <c r="AG354" t="str">
        <f t="shared" si="51"/>
        <v>August</v>
      </c>
      <c r="AH354">
        <f t="shared" si="52"/>
        <v>2025</v>
      </c>
      <c r="AI354" t="str">
        <f t="shared" si="53"/>
        <v>Clean</v>
      </c>
    </row>
    <row r="355" spans="1:35" ht="15.75" customHeight="1">
      <c r="A355" s="3" t="s">
        <v>1772</v>
      </c>
      <c r="B355" s="3" t="s">
        <v>1773</v>
      </c>
      <c r="C355" s="3" t="s">
        <v>1165</v>
      </c>
      <c r="D355" s="3" t="str">
        <f t="shared" si="34"/>
        <v>27-Feb-2025</v>
      </c>
      <c r="E355" s="3" t="str">
        <f t="shared" si="35"/>
        <v>21-Feb-2025</v>
      </c>
      <c r="F355" s="3">
        <f t="shared" si="36"/>
        <v>6</v>
      </c>
      <c r="G355" s="3" t="s">
        <v>1774</v>
      </c>
      <c r="H355" s="3" t="s">
        <v>80</v>
      </c>
      <c r="I355" s="3" t="s">
        <v>34</v>
      </c>
      <c r="J355" s="3" t="s">
        <v>35</v>
      </c>
      <c r="K355" s="3" t="s">
        <v>36</v>
      </c>
      <c r="L355" s="3" t="s">
        <v>37</v>
      </c>
      <c r="M355" s="3" t="s">
        <v>38</v>
      </c>
      <c r="N355" s="3" t="s">
        <v>62</v>
      </c>
      <c r="O355" s="3" t="s">
        <v>1775</v>
      </c>
      <c r="P355" s="3" t="s">
        <v>56</v>
      </c>
      <c r="Q355" s="3">
        <v>9</v>
      </c>
      <c r="R355" s="3">
        <v>1431.67</v>
      </c>
      <c r="S355" s="3">
        <v>0.2</v>
      </c>
      <c r="T355" s="3">
        <v>10308.02</v>
      </c>
      <c r="U355" s="3">
        <v>5822.31</v>
      </c>
      <c r="V355" s="3">
        <v>4485.71</v>
      </c>
      <c r="W355" s="3" t="s">
        <v>42</v>
      </c>
      <c r="X355" s="3" t="s">
        <v>43</v>
      </c>
      <c r="Y355" s="2" t="str">
        <f t="shared" si="37"/>
        <v>Unique</v>
      </c>
      <c r="AA355" s="2" t="str">
        <f t="shared" si="38"/>
        <v>Clean</v>
      </c>
      <c r="AB355" s="2" t="str">
        <f t="shared" si="39"/>
        <v>valid</v>
      </c>
      <c r="AC355">
        <f t="shared" si="47"/>
        <v>0.2</v>
      </c>
      <c r="AD355">
        <f t="shared" si="48"/>
        <v>10308.024000000001</v>
      </c>
      <c r="AE355">
        <f t="shared" si="49"/>
        <v>4485.7140000000009</v>
      </c>
      <c r="AF355">
        <f t="shared" si="50"/>
        <v>0.4351672056642476</v>
      </c>
      <c r="AG355" t="str">
        <f t="shared" si="51"/>
        <v>February</v>
      </c>
      <c r="AH355">
        <f t="shared" si="52"/>
        <v>2025</v>
      </c>
      <c r="AI355" t="str">
        <f t="shared" si="53"/>
        <v>Clean</v>
      </c>
    </row>
    <row r="356" spans="1:35" ht="15.75" customHeight="1">
      <c r="A356" s="3" t="s">
        <v>1776</v>
      </c>
      <c r="B356" s="3" t="s">
        <v>153</v>
      </c>
      <c r="C356" s="3" t="s">
        <v>1777</v>
      </c>
      <c r="D356" s="3" t="str">
        <f t="shared" si="34"/>
        <v>31-Dec-2024</v>
      </c>
      <c r="E356" s="3" t="str">
        <f t="shared" si="35"/>
        <v>27-Dec-2024</v>
      </c>
      <c r="F356" s="3">
        <f t="shared" si="36"/>
        <v>4</v>
      </c>
      <c r="G356" s="3" t="s">
        <v>1778</v>
      </c>
      <c r="H356" s="3" t="s">
        <v>375</v>
      </c>
      <c r="I356" s="3" t="s">
        <v>116</v>
      </c>
      <c r="J356" s="3" t="s">
        <v>35</v>
      </c>
      <c r="K356" s="3" t="s">
        <v>162</v>
      </c>
      <c r="L356" s="3" t="s">
        <v>163</v>
      </c>
      <c r="M356" s="3" t="s">
        <v>53</v>
      </c>
      <c r="N356" s="3" t="s">
        <v>73</v>
      </c>
      <c r="O356" s="3" t="s">
        <v>1779</v>
      </c>
      <c r="P356" s="3" t="s">
        <v>75</v>
      </c>
      <c r="Q356" s="3">
        <v>6</v>
      </c>
      <c r="R356" s="3">
        <v>3346.78</v>
      </c>
      <c r="S356" s="3">
        <v>-0.06</v>
      </c>
      <c r="T356" s="3">
        <v>20080.68</v>
      </c>
      <c r="U356" s="3">
        <v>12908.84</v>
      </c>
      <c r="V356" s="3">
        <v>7171.84</v>
      </c>
      <c r="W356" s="3" t="s">
        <v>145</v>
      </c>
      <c r="X356" s="3" t="s">
        <v>86</v>
      </c>
      <c r="Y356" s="2" t="str">
        <f t="shared" si="37"/>
        <v>Unique</v>
      </c>
      <c r="AA356" s="2" t="str">
        <f t="shared" si="38"/>
        <v>Invalid</v>
      </c>
      <c r="AB356" s="2" t="str">
        <f t="shared" si="39"/>
        <v>valid</v>
      </c>
      <c r="AC356">
        <f t="shared" si="47"/>
        <v>-0.06</v>
      </c>
      <c r="AD356">
        <f t="shared" si="48"/>
        <v>21285.520800000002</v>
      </c>
      <c r="AE356">
        <f t="shared" si="49"/>
        <v>8376.6808000000019</v>
      </c>
      <c r="AF356">
        <f t="shared" si="50"/>
        <v>0.39353891683965753</v>
      </c>
      <c r="AG356" t="str">
        <f t="shared" si="51"/>
        <v>December</v>
      </c>
      <c r="AH356">
        <f t="shared" si="52"/>
        <v>2024</v>
      </c>
      <c r="AI356" t="str">
        <f t="shared" si="53"/>
        <v>Invalid</v>
      </c>
    </row>
    <row r="357" spans="1:35" ht="15.75" customHeight="1">
      <c r="A357" s="3" t="s">
        <v>1780</v>
      </c>
      <c r="B357" s="3" t="s">
        <v>1781</v>
      </c>
      <c r="C357" s="3" t="s">
        <v>1782</v>
      </c>
      <c r="D357" s="3" t="str">
        <f t="shared" si="34"/>
        <v>09-May-2024</v>
      </c>
      <c r="E357" s="3" t="str">
        <f t="shared" si="35"/>
        <v>12-May-2024</v>
      </c>
      <c r="F357" s="3">
        <f t="shared" si="36"/>
        <v>-3</v>
      </c>
      <c r="G357" s="3" t="s">
        <v>1783</v>
      </c>
      <c r="H357" s="3" t="s">
        <v>150</v>
      </c>
      <c r="I357" s="3" t="s">
        <v>116</v>
      </c>
      <c r="J357" s="3" t="s">
        <v>81</v>
      </c>
      <c r="K357" s="3" t="s">
        <v>36</v>
      </c>
      <c r="L357" s="3" t="s">
        <v>143</v>
      </c>
      <c r="M357" s="3" t="s">
        <v>53</v>
      </c>
      <c r="N357" s="3" t="s">
        <v>54</v>
      </c>
      <c r="O357" s="3" t="s">
        <v>1784</v>
      </c>
      <c r="P357" s="3" t="s">
        <v>75</v>
      </c>
      <c r="Q357" s="3">
        <v>5</v>
      </c>
      <c r="R357" s="3">
        <v>3203.48</v>
      </c>
      <c r="S357" s="3">
        <v>0</v>
      </c>
      <c r="T357" s="3">
        <v>16017.4</v>
      </c>
      <c r="U357" s="3">
        <v>9557.7999999999993</v>
      </c>
      <c r="V357" s="3">
        <v>6459.6</v>
      </c>
      <c r="W357" s="3" t="s">
        <v>145</v>
      </c>
      <c r="X357" s="3" t="s">
        <v>86</v>
      </c>
      <c r="Y357" s="2" t="str">
        <f t="shared" si="37"/>
        <v>Unique</v>
      </c>
      <c r="AA357" s="2" t="str">
        <f t="shared" si="38"/>
        <v>Clean</v>
      </c>
      <c r="AB357" s="2" t="str">
        <f t="shared" si="39"/>
        <v>Invalid</v>
      </c>
      <c r="AC357">
        <f t="shared" si="47"/>
        <v>0</v>
      </c>
      <c r="AD357">
        <f t="shared" si="48"/>
        <v>16017.4</v>
      </c>
      <c r="AE357">
        <f t="shared" si="49"/>
        <v>6459.6</v>
      </c>
      <c r="AF357">
        <f t="shared" si="50"/>
        <v>0.40328642601171227</v>
      </c>
      <c r="AG357" t="str">
        <f t="shared" si="51"/>
        <v>May</v>
      </c>
      <c r="AH357">
        <f t="shared" si="52"/>
        <v>2024</v>
      </c>
      <c r="AI357" t="str">
        <f t="shared" si="53"/>
        <v>Warning</v>
      </c>
    </row>
    <row r="358" spans="1:35" ht="15.75" customHeight="1">
      <c r="A358" s="3" t="s">
        <v>1785</v>
      </c>
      <c r="B358" s="3" t="s">
        <v>1786</v>
      </c>
      <c r="C358" s="3" t="s">
        <v>1787</v>
      </c>
      <c r="D358" s="3" t="str">
        <f t="shared" si="34"/>
        <v>29-Jun-2025</v>
      </c>
      <c r="E358" s="3" t="str">
        <f t="shared" si="35"/>
        <v>27-Jun-2025</v>
      </c>
      <c r="F358" s="3">
        <f t="shared" si="36"/>
        <v>2</v>
      </c>
      <c r="G358" s="3" t="s">
        <v>1788</v>
      </c>
      <c r="H358" s="3" t="s">
        <v>188</v>
      </c>
      <c r="I358" s="3" t="s">
        <v>123</v>
      </c>
      <c r="J358" s="3" t="s">
        <v>70</v>
      </c>
      <c r="K358" s="3" t="s">
        <v>71</v>
      </c>
      <c r="L358" s="3" t="s">
        <v>72</v>
      </c>
      <c r="M358" s="3" t="s">
        <v>53</v>
      </c>
      <c r="N358" s="3" t="s">
        <v>84</v>
      </c>
      <c r="O358" s="3" t="s">
        <v>1789</v>
      </c>
      <c r="P358" s="3" t="s">
        <v>64</v>
      </c>
      <c r="Q358" s="3">
        <v>5</v>
      </c>
      <c r="R358" s="3">
        <v>621.70000000000005</v>
      </c>
      <c r="S358" s="3">
        <v>0.2</v>
      </c>
      <c r="T358" s="3">
        <v>2486.8000000000002</v>
      </c>
      <c r="U358" s="3">
        <v>2131.73</v>
      </c>
      <c r="V358" s="3">
        <v>355.07</v>
      </c>
      <c r="W358" s="3" t="s">
        <v>145</v>
      </c>
      <c r="X358" s="3" t="s">
        <v>133</v>
      </c>
      <c r="Y358" s="2" t="str">
        <f t="shared" si="37"/>
        <v>Unique</v>
      </c>
      <c r="AA358" s="2" t="str">
        <f t="shared" si="38"/>
        <v>Clean</v>
      </c>
      <c r="AB358" s="2" t="str">
        <f t="shared" si="39"/>
        <v>valid</v>
      </c>
      <c r="AC358">
        <f t="shared" si="47"/>
        <v>0.2</v>
      </c>
      <c r="AD358">
        <f t="shared" si="48"/>
        <v>2486.8000000000002</v>
      </c>
      <c r="AE358">
        <f t="shared" si="49"/>
        <v>355.07000000000016</v>
      </c>
      <c r="AF358">
        <f t="shared" si="50"/>
        <v>0.1427818883705968</v>
      </c>
      <c r="AG358" t="str">
        <f t="shared" si="51"/>
        <v>June</v>
      </c>
      <c r="AH358">
        <f t="shared" si="52"/>
        <v>2025</v>
      </c>
      <c r="AI358" t="str">
        <f t="shared" si="53"/>
        <v>Clean</v>
      </c>
    </row>
    <row r="359" spans="1:35" ht="15.75" customHeight="1">
      <c r="A359" s="3" t="s">
        <v>1790</v>
      </c>
      <c r="B359" s="3" t="s">
        <v>204</v>
      </c>
      <c r="C359" s="3" t="s">
        <v>1791</v>
      </c>
      <c r="D359" s="3" t="str">
        <f t="shared" si="34"/>
        <v>29-Jan-2025</v>
      </c>
      <c r="E359" s="3" t="str">
        <f t="shared" si="35"/>
        <v>21-Jan-2025</v>
      </c>
      <c r="F359" s="3">
        <f t="shared" si="36"/>
        <v>8</v>
      </c>
      <c r="G359" s="3" t="s">
        <v>1792</v>
      </c>
      <c r="H359" s="3" t="s">
        <v>48</v>
      </c>
      <c r="I359" s="3" t="s">
        <v>123</v>
      </c>
      <c r="J359" s="3" t="s">
        <v>70</v>
      </c>
      <c r="K359" s="3" t="s">
        <v>108</v>
      </c>
      <c r="L359" s="3" t="s">
        <v>109</v>
      </c>
      <c r="M359" s="3" t="s">
        <v>94</v>
      </c>
      <c r="N359" s="3" t="s">
        <v>391</v>
      </c>
      <c r="O359" s="3" t="s">
        <v>1793</v>
      </c>
      <c r="P359" s="3" t="s">
        <v>41</v>
      </c>
      <c r="Q359" s="3">
        <v>8</v>
      </c>
      <c r="R359" s="3">
        <v>546.13</v>
      </c>
      <c r="S359" s="3">
        <v>0</v>
      </c>
      <c r="T359" s="3">
        <v>4369.04</v>
      </c>
      <c r="U359" s="3">
        <v>3716.88</v>
      </c>
      <c r="V359" s="3">
        <v>652.16</v>
      </c>
      <c r="W359" s="3" t="s">
        <v>42</v>
      </c>
      <c r="X359" s="3" t="s">
        <v>86</v>
      </c>
      <c r="Y359" s="2" t="str">
        <f t="shared" si="37"/>
        <v>Unique</v>
      </c>
      <c r="AA359" s="2" t="str">
        <f t="shared" si="38"/>
        <v>Clean</v>
      </c>
      <c r="AB359" s="2" t="str">
        <f t="shared" si="39"/>
        <v>valid</v>
      </c>
      <c r="AC359">
        <f t="shared" si="47"/>
        <v>0</v>
      </c>
      <c r="AD359">
        <f t="shared" si="48"/>
        <v>4369.04</v>
      </c>
      <c r="AE359">
        <f t="shared" si="49"/>
        <v>652.15999999999985</v>
      </c>
      <c r="AF359">
        <f t="shared" si="50"/>
        <v>0.14926848918755603</v>
      </c>
      <c r="AG359" t="str">
        <f t="shared" si="51"/>
        <v>January</v>
      </c>
      <c r="AH359">
        <f t="shared" si="52"/>
        <v>2025</v>
      </c>
      <c r="AI359" t="str">
        <f t="shared" si="53"/>
        <v>Warning</v>
      </c>
    </row>
    <row r="360" spans="1:35" ht="15.75" customHeight="1">
      <c r="A360" s="3" t="s">
        <v>1794</v>
      </c>
      <c r="B360" s="3" t="s">
        <v>1795</v>
      </c>
      <c r="C360" s="3" t="s">
        <v>1796</v>
      </c>
      <c r="D360" s="3" t="str">
        <f t="shared" si="34"/>
        <v>07-Aug-2025</v>
      </c>
      <c r="E360" s="3" t="str">
        <f t="shared" si="35"/>
        <v>08-Sep-2025</v>
      </c>
      <c r="F360" s="3">
        <f t="shared" si="36"/>
        <v>-32</v>
      </c>
      <c r="G360" s="3" t="s">
        <v>1797</v>
      </c>
      <c r="H360" s="3" t="s">
        <v>91</v>
      </c>
      <c r="I360" s="3" t="s">
        <v>123</v>
      </c>
      <c r="J360" s="3" t="s">
        <v>81</v>
      </c>
      <c r="K360" s="3" t="s">
        <v>243</v>
      </c>
      <c r="L360" s="3" t="s">
        <v>244</v>
      </c>
      <c r="M360" s="3" t="s">
        <v>53</v>
      </c>
      <c r="N360" s="3" t="s">
        <v>212</v>
      </c>
      <c r="O360" s="3" t="s">
        <v>1798</v>
      </c>
      <c r="P360" s="3" t="s">
        <v>41</v>
      </c>
      <c r="Q360" s="3">
        <v>5</v>
      </c>
      <c r="R360" s="3">
        <v>1253.92</v>
      </c>
      <c r="S360" s="3">
        <v>0.05</v>
      </c>
      <c r="T360" s="3">
        <v>5956.12</v>
      </c>
      <c r="U360" s="3">
        <v>4379.18</v>
      </c>
      <c r="V360" s="3">
        <v>1576.94</v>
      </c>
      <c r="W360" s="3" t="s">
        <v>145</v>
      </c>
      <c r="X360" s="3" t="s">
        <v>133</v>
      </c>
      <c r="Y360" s="2" t="str">
        <f t="shared" si="37"/>
        <v>Unique</v>
      </c>
      <c r="AA360" s="2" t="str">
        <f t="shared" si="38"/>
        <v>Clean</v>
      </c>
      <c r="AB360" s="2" t="str">
        <f t="shared" si="39"/>
        <v>Invalid</v>
      </c>
      <c r="AC360">
        <f t="shared" si="47"/>
        <v>0.05</v>
      </c>
      <c r="AD360">
        <f t="shared" si="48"/>
        <v>5956.12</v>
      </c>
      <c r="AE360">
        <f t="shared" si="49"/>
        <v>1576.9399999999996</v>
      </c>
      <c r="AF360">
        <f t="shared" si="50"/>
        <v>0.26475960860425907</v>
      </c>
      <c r="AG360" t="str">
        <f t="shared" si="51"/>
        <v>September</v>
      </c>
      <c r="AH360">
        <f t="shared" si="52"/>
        <v>2025</v>
      </c>
      <c r="AI360" t="str">
        <f t="shared" si="53"/>
        <v>Clean</v>
      </c>
    </row>
    <row r="361" spans="1:35" ht="15.75" customHeight="1">
      <c r="A361" s="3" t="s">
        <v>1799</v>
      </c>
      <c r="B361" s="3" t="s">
        <v>1625</v>
      </c>
      <c r="C361" s="3" t="s">
        <v>1800</v>
      </c>
      <c r="D361" s="3" t="str">
        <f t="shared" si="34"/>
        <v>22-Aug-2024</v>
      </c>
      <c r="E361" s="3" t="str">
        <f t="shared" si="35"/>
        <v>21-Aug-2024</v>
      </c>
      <c r="F361" s="3">
        <f t="shared" si="36"/>
        <v>1</v>
      </c>
      <c r="G361" s="3" t="s">
        <v>1801</v>
      </c>
      <c r="H361" s="3" t="s">
        <v>61</v>
      </c>
      <c r="I361" s="3" t="s">
        <v>34</v>
      </c>
      <c r="J361" s="3" t="s">
        <v>70</v>
      </c>
      <c r="K361" s="3" t="s">
        <v>347</v>
      </c>
      <c r="L361" s="3" t="s">
        <v>348</v>
      </c>
      <c r="M361" s="3" t="s">
        <v>94</v>
      </c>
      <c r="N361" s="3" t="s">
        <v>231</v>
      </c>
      <c r="O361" s="3" t="s">
        <v>1802</v>
      </c>
      <c r="P361" s="3" t="s">
        <v>56</v>
      </c>
      <c r="Q361" s="3">
        <v>9</v>
      </c>
      <c r="R361" s="3">
        <v>616.96</v>
      </c>
      <c r="S361" s="3">
        <v>0.1</v>
      </c>
      <c r="T361" s="3">
        <v>4997.38</v>
      </c>
      <c r="U361" s="3">
        <v>2971.39</v>
      </c>
      <c r="V361" s="3">
        <v>2025.99</v>
      </c>
      <c r="W361" s="3" t="s">
        <v>42</v>
      </c>
      <c r="X361" s="3" t="s">
        <v>43</v>
      </c>
      <c r="Y361" s="2" t="str">
        <f t="shared" si="37"/>
        <v>Unique</v>
      </c>
      <c r="AA361" s="2" t="str">
        <f t="shared" si="38"/>
        <v>Clean</v>
      </c>
      <c r="AB361" s="2" t="str">
        <f t="shared" si="39"/>
        <v>valid</v>
      </c>
      <c r="AC361">
        <f t="shared" si="47"/>
        <v>0.1</v>
      </c>
      <c r="AD361">
        <f t="shared" si="48"/>
        <v>4997.3760000000002</v>
      </c>
      <c r="AE361">
        <f t="shared" si="49"/>
        <v>2025.9860000000003</v>
      </c>
      <c r="AF361">
        <f t="shared" si="50"/>
        <v>0.40540995914656014</v>
      </c>
      <c r="AG361" t="str">
        <f t="shared" si="51"/>
        <v>August</v>
      </c>
      <c r="AH361">
        <f t="shared" si="52"/>
        <v>2024</v>
      </c>
      <c r="AI361" t="str">
        <f t="shared" si="53"/>
        <v>Clean</v>
      </c>
    </row>
    <row r="362" spans="1:35" ht="15.75" customHeight="1">
      <c r="A362" s="3" t="s">
        <v>1803</v>
      </c>
      <c r="B362" s="3" t="s">
        <v>1804</v>
      </c>
      <c r="C362" s="3" t="s">
        <v>1805</v>
      </c>
      <c r="D362" s="3" t="str">
        <f t="shared" si="34"/>
        <v>20-Jun-2024</v>
      </c>
      <c r="E362" s="3" t="str">
        <f t="shared" si="35"/>
        <v>17-Jun-2024</v>
      </c>
      <c r="F362" s="3">
        <f t="shared" si="36"/>
        <v>3</v>
      </c>
      <c r="G362" s="3" t="s">
        <v>1806</v>
      </c>
      <c r="H362" s="3" t="s">
        <v>176</v>
      </c>
      <c r="I362" s="3" t="s">
        <v>49</v>
      </c>
      <c r="J362" s="3" t="s">
        <v>81</v>
      </c>
      <c r="K362" s="3" t="s">
        <v>243</v>
      </c>
      <c r="L362" s="3" t="s">
        <v>244</v>
      </c>
      <c r="M362" s="3" t="s">
        <v>53</v>
      </c>
      <c r="N362" s="3" t="s">
        <v>73</v>
      </c>
      <c r="O362" s="3" t="s">
        <v>1807</v>
      </c>
      <c r="P362" s="3" t="s">
        <v>75</v>
      </c>
      <c r="Q362" s="3">
        <v>7</v>
      </c>
      <c r="R362" s="3">
        <v>3155.25</v>
      </c>
      <c r="S362" s="3">
        <v>0.2</v>
      </c>
      <c r="T362" s="3">
        <v>17669.400000000001</v>
      </c>
      <c r="U362" s="3">
        <v>13718.77</v>
      </c>
      <c r="V362" s="3">
        <v>3950.63</v>
      </c>
      <c r="W362" s="3" t="s">
        <v>132</v>
      </c>
      <c r="X362" s="3" t="s">
        <v>86</v>
      </c>
      <c r="Y362" s="2" t="str">
        <f t="shared" si="37"/>
        <v>Unique</v>
      </c>
      <c r="AA362" s="2" t="str">
        <f t="shared" si="38"/>
        <v>Clean</v>
      </c>
      <c r="AB362" s="2" t="str">
        <f t="shared" si="39"/>
        <v>valid</v>
      </c>
      <c r="AC362">
        <f t="shared" si="47"/>
        <v>0.2</v>
      </c>
      <c r="AD362">
        <f t="shared" si="48"/>
        <v>17669.400000000001</v>
      </c>
      <c r="AE362">
        <f t="shared" si="49"/>
        <v>3950.630000000001</v>
      </c>
      <c r="AF362">
        <f t="shared" si="50"/>
        <v>0.2235859734908939</v>
      </c>
      <c r="AG362" t="str">
        <f t="shared" si="51"/>
        <v>June</v>
      </c>
      <c r="AH362">
        <f t="shared" si="52"/>
        <v>2024</v>
      </c>
      <c r="AI362" t="str">
        <f t="shared" si="53"/>
        <v>Warning</v>
      </c>
    </row>
    <row r="363" spans="1:35" ht="15.75" customHeight="1">
      <c r="A363" s="3" t="s">
        <v>1808</v>
      </c>
      <c r="B363" s="3" t="s">
        <v>1159</v>
      </c>
      <c r="C363" s="3" t="s">
        <v>1809</v>
      </c>
      <c r="D363" s="3" t="str">
        <f t="shared" si="34"/>
        <v>02-Apr-2025</v>
      </c>
      <c r="E363" s="3" t="str">
        <f t="shared" si="35"/>
        <v>01-Apr-2025</v>
      </c>
      <c r="F363" s="3">
        <f t="shared" si="36"/>
        <v>1</v>
      </c>
      <c r="G363" s="3" t="s">
        <v>1810</v>
      </c>
      <c r="H363" s="3" t="s">
        <v>188</v>
      </c>
      <c r="I363" s="3" t="s">
        <v>116</v>
      </c>
      <c r="J363" s="3" t="s">
        <v>50</v>
      </c>
      <c r="K363" s="3" t="s">
        <v>51</v>
      </c>
      <c r="L363" s="3" t="s">
        <v>52</v>
      </c>
      <c r="M363" s="3" t="s">
        <v>53</v>
      </c>
      <c r="N363" s="3" t="s">
        <v>84</v>
      </c>
      <c r="O363" s="3" t="s">
        <v>1811</v>
      </c>
      <c r="P363" s="3" t="s">
        <v>41</v>
      </c>
      <c r="Q363" s="3">
        <v>9</v>
      </c>
      <c r="R363" s="3">
        <v>4165.58</v>
      </c>
      <c r="S363" s="3">
        <v>0.05</v>
      </c>
      <c r="T363" s="3">
        <v>35615.71</v>
      </c>
      <c r="U363" s="3">
        <v>20389.71</v>
      </c>
      <c r="V363" s="3">
        <v>15226</v>
      </c>
      <c r="W363" s="3" t="s">
        <v>145</v>
      </c>
      <c r="X363" s="3" t="s">
        <v>133</v>
      </c>
      <c r="Y363" s="2" t="str">
        <f t="shared" si="37"/>
        <v>Unique</v>
      </c>
      <c r="AA363" s="2" t="str">
        <f t="shared" si="38"/>
        <v>Clean</v>
      </c>
      <c r="AB363" s="2" t="str">
        <f t="shared" si="39"/>
        <v>valid</v>
      </c>
      <c r="AC363">
        <f t="shared" si="47"/>
        <v>0.05</v>
      </c>
      <c r="AD363">
        <f t="shared" si="48"/>
        <v>35615.709000000003</v>
      </c>
      <c r="AE363">
        <f t="shared" si="49"/>
        <v>15225.999000000003</v>
      </c>
      <c r="AF363">
        <f t="shared" si="50"/>
        <v>0.42750795723314122</v>
      </c>
      <c r="AG363" t="str">
        <f t="shared" si="51"/>
        <v>April</v>
      </c>
      <c r="AH363">
        <f t="shared" si="52"/>
        <v>2025</v>
      </c>
      <c r="AI363" t="str">
        <f t="shared" si="53"/>
        <v>Clean</v>
      </c>
    </row>
    <row r="364" spans="1:35" ht="15.75" customHeight="1">
      <c r="A364" s="3" t="s">
        <v>1812</v>
      </c>
      <c r="B364" s="3" t="s">
        <v>1813</v>
      </c>
      <c r="C364" s="3" t="s">
        <v>1814</v>
      </c>
      <c r="D364" s="3" t="str">
        <f t="shared" si="34"/>
        <v>25-Aug-2024</v>
      </c>
      <c r="E364" s="3" t="str">
        <f t="shared" si="35"/>
        <v>23-Aug-2024</v>
      </c>
      <c r="F364" s="3">
        <f t="shared" si="36"/>
        <v>2</v>
      </c>
      <c r="G364" s="3" t="s">
        <v>1815</v>
      </c>
      <c r="H364" s="3" t="s">
        <v>91</v>
      </c>
      <c r="I364" s="3" t="s">
        <v>34</v>
      </c>
      <c r="J364" s="3" t="s">
        <v>81</v>
      </c>
      <c r="K364" s="3" t="s">
        <v>257</v>
      </c>
      <c r="L364" s="3" t="s">
        <v>258</v>
      </c>
      <c r="M364" s="3" t="s">
        <v>94</v>
      </c>
      <c r="N364" s="3" t="s">
        <v>391</v>
      </c>
      <c r="O364" s="3" t="s">
        <v>1816</v>
      </c>
      <c r="P364" s="3" t="s">
        <v>56</v>
      </c>
      <c r="Q364" s="3">
        <v>4</v>
      </c>
      <c r="R364" s="3">
        <v>491.16</v>
      </c>
      <c r="S364" s="3">
        <v>0.05</v>
      </c>
      <c r="T364" s="3">
        <v>1866.41</v>
      </c>
      <c r="U364" s="3">
        <v>1576.49</v>
      </c>
      <c r="V364" s="3">
        <v>289.92</v>
      </c>
      <c r="W364" s="3" t="s">
        <v>42</v>
      </c>
      <c r="X364" s="3" t="s">
        <v>43</v>
      </c>
      <c r="Y364" s="2" t="str">
        <f t="shared" si="37"/>
        <v>Unique</v>
      </c>
      <c r="AA364" s="2" t="str">
        <f t="shared" si="38"/>
        <v>Clean</v>
      </c>
      <c r="AB364" s="2" t="str">
        <f t="shared" si="39"/>
        <v>valid</v>
      </c>
      <c r="AC364">
        <f t="shared" si="47"/>
        <v>0.05</v>
      </c>
      <c r="AD364">
        <f t="shared" si="48"/>
        <v>1866.4079999999999</v>
      </c>
      <c r="AE364">
        <f t="shared" si="49"/>
        <v>289.91799999999989</v>
      </c>
      <c r="AF364">
        <f t="shared" si="50"/>
        <v>0.15533473924243782</v>
      </c>
      <c r="AG364" t="str">
        <f t="shared" si="51"/>
        <v>August</v>
      </c>
      <c r="AH364">
        <f t="shared" si="52"/>
        <v>2024</v>
      </c>
      <c r="AI364" t="str">
        <f t="shared" si="53"/>
        <v>Clean</v>
      </c>
    </row>
    <row r="365" spans="1:35" ht="15.75" customHeight="1">
      <c r="A365" s="3" t="s">
        <v>1817</v>
      </c>
      <c r="B365" s="3" t="s">
        <v>1818</v>
      </c>
      <c r="C365" s="3" t="s">
        <v>1819</v>
      </c>
      <c r="D365" s="3" t="str">
        <f t="shared" si="34"/>
        <v>07-Dec-2025</v>
      </c>
      <c r="E365" s="3" t="str">
        <f t="shared" si="35"/>
        <v>07-Jul-2025</v>
      </c>
      <c r="F365" s="3">
        <f t="shared" si="36"/>
        <v>153</v>
      </c>
      <c r="G365" s="3" t="s">
        <v>1820</v>
      </c>
      <c r="H365" s="3" t="s">
        <v>218</v>
      </c>
      <c r="I365" s="3" t="s">
        <v>116</v>
      </c>
      <c r="J365" s="3" t="s">
        <v>50</v>
      </c>
      <c r="K365" s="3" t="s">
        <v>129</v>
      </c>
      <c r="L365" s="3" t="s">
        <v>130</v>
      </c>
      <c r="M365" s="3" t="s">
        <v>53</v>
      </c>
      <c r="N365" s="3" t="s">
        <v>54</v>
      </c>
      <c r="O365" s="3" t="s">
        <v>1821</v>
      </c>
      <c r="P365" s="3" t="s">
        <v>41</v>
      </c>
      <c r="Q365" s="3">
        <v>5</v>
      </c>
      <c r="R365" s="3">
        <v>1831.37</v>
      </c>
      <c r="S365" s="3">
        <v>0.25</v>
      </c>
      <c r="T365" s="3">
        <v>6867.64</v>
      </c>
      <c r="U365" s="3">
        <v>5205.3599999999997</v>
      </c>
      <c r="V365" s="3">
        <v>1662.28</v>
      </c>
      <c r="W365" s="3" t="s">
        <v>42</v>
      </c>
      <c r="X365" s="3" t="s">
        <v>43</v>
      </c>
      <c r="Y365" s="2" t="str">
        <f t="shared" si="37"/>
        <v>Unique</v>
      </c>
      <c r="AA365" s="2" t="str">
        <f t="shared" si="38"/>
        <v>Clean</v>
      </c>
      <c r="AB365" s="2" t="str">
        <f t="shared" si="39"/>
        <v>valid</v>
      </c>
      <c r="AC365">
        <f t="shared" si="47"/>
        <v>0.25</v>
      </c>
      <c r="AD365">
        <f t="shared" si="48"/>
        <v>6867.6374999999989</v>
      </c>
      <c r="AE365">
        <f t="shared" si="49"/>
        <v>1662.2774999999992</v>
      </c>
      <c r="AF365">
        <f t="shared" si="50"/>
        <v>0.24204502640100028</v>
      </c>
      <c r="AG365" t="str">
        <f t="shared" si="51"/>
        <v>July</v>
      </c>
      <c r="AH365">
        <f t="shared" si="52"/>
        <v>2025</v>
      </c>
      <c r="AI365" t="str">
        <f t="shared" si="53"/>
        <v>Clean</v>
      </c>
    </row>
    <row r="366" spans="1:35" ht="15.75" customHeight="1">
      <c r="A366" s="3" t="s">
        <v>1822</v>
      </c>
      <c r="B366" s="3" t="s">
        <v>1823</v>
      </c>
      <c r="C366" s="3" t="s">
        <v>1824</v>
      </c>
      <c r="D366" s="3" t="str">
        <f t="shared" si="34"/>
        <v>24-Mar-2025</v>
      </c>
      <c r="E366" s="3" t="str">
        <f t="shared" si="35"/>
        <v>21-Mar-2025</v>
      </c>
      <c r="F366" s="3">
        <f t="shared" si="36"/>
        <v>3</v>
      </c>
      <c r="G366" s="3" t="s">
        <v>1825</v>
      </c>
      <c r="H366" s="3" t="s">
        <v>170</v>
      </c>
      <c r="I366" s="3" t="s">
        <v>49</v>
      </c>
      <c r="J366" s="3" t="s">
        <v>70</v>
      </c>
      <c r="K366" s="3" t="s">
        <v>108</v>
      </c>
      <c r="L366" s="3" t="s">
        <v>109</v>
      </c>
      <c r="M366" s="3" t="s">
        <v>53</v>
      </c>
      <c r="N366" s="3" t="s">
        <v>84</v>
      </c>
      <c r="O366" s="3" t="s">
        <v>1826</v>
      </c>
      <c r="P366" s="3" t="s">
        <v>41</v>
      </c>
      <c r="Q366" s="3">
        <v>5</v>
      </c>
      <c r="R366" s="3">
        <v>1239.1500000000001</v>
      </c>
      <c r="S366" s="3">
        <v>0</v>
      </c>
      <c r="T366" s="3">
        <v>6195.75</v>
      </c>
      <c r="U366" s="3">
        <v>3967.02</v>
      </c>
      <c r="V366" s="3">
        <v>2228.73</v>
      </c>
      <c r="W366" s="3" t="s">
        <v>42</v>
      </c>
      <c r="X366" s="3" t="s">
        <v>43</v>
      </c>
      <c r="Y366" s="2" t="str">
        <f t="shared" si="37"/>
        <v>Unique</v>
      </c>
      <c r="AA366" s="2" t="str">
        <f t="shared" si="38"/>
        <v>Clean</v>
      </c>
      <c r="AB366" s="2" t="str">
        <f t="shared" si="39"/>
        <v>valid</v>
      </c>
      <c r="AC366">
        <f t="shared" si="47"/>
        <v>0</v>
      </c>
      <c r="AD366">
        <f t="shared" si="48"/>
        <v>6195.75</v>
      </c>
      <c r="AE366">
        <f t="shared" si="49"/>
        <v>2228.73</v>
      </c>
      <c r="AF366">
        <f t="shared" si="50"/>
        <v>0.35971916232901585</v>
      </c>
      <c r="AG366" t="str">
        <f t="shared" si="51"/>
        <v>March</v>
      </c>
      <c r="AH366">
        <f t="shared" si="52"/>
        <v>2025</v>
      </c>
      <c r="AI366" t="str">
        <f t="shared" si="53"/>
        <v>Clean</v>
      </c>
    </row>
    <row r="367" spans="1:35" ht="15.75" customHeight="1">
      <c r="A367" s="3" t="s">
        <v>1827</v>
      </c>
      <c r="B367" s="3" t="s">
        <v>1828</v>
      </c>
      <c r="C367" s="3" t="s">
        <v>1829</v>
      </c>
      <c r="D367" s="3" t="str">
        <f t="shared" si="34"/>
        <v>21-Jun-2024</v>
      </c>
      <c r="E367" s="3" t="str">
        <f t="shared" si="35"/>
        <v>15-Jun-2024</v>
      </c>
      <c r="F367" s="3">
        <f t="shared" si="36"/>
        <v>6</v>
      </c>
      <c r="G367" s="3" t="s">
        <v>1830</v>
      </c>
      <c r="H367" s="3" t="s">
        <v>115</v>
      </c>
      <c r="I367" s="3" t="s">
        <v>116</v>
      </c>
      <c r="J367" s="3" t="s">
        <v>81</v>
      </c>
      <c r="K367" s="3" t="s">
        <v>257</v>
      </c>
      <c r="L367" s="3" t="s">
        <v>258</v>
      </c>
      <c r="M367" s="3" t="s">
        <v>94</v>
      </c>
      <c r="N367" s="3" t="s">
        <v>95</v>
      </c>
      <c r="O367" s="3" t="s">
        <v>1831</v>
      </c>
      <c r="P367" s="3" t="s">
        <v>64</v>
      </c>
      <c r="Q367" s="3">
        <v>8</v>
      </c>
      <c r="R367" s="3">
        <v>1706.4</v>
      </c>
      <c r="S367" s="3">
        <v>0</v>
      </c>
      <c r="T367" s="3">
        <v>12968.64</v>
      </c>
      <c r="U367" s="3">
        <v>10119.61</v>
      </c>
      <c r="V367" s="3">
        <v>2849.03</v>
      </c>
      <c r="W367" s="3" t="s">
        <v>42</v>
      </c>
      <c r="X367" s="3" t="s">
        <v>43</v>
      </c>
      <c r="Y367" s="4" t="str">
        <f t="shared" si="37"/>
        <v>Unique</v>
      </c>
      <c r="AA367" s="2" t="str">
        <f t="shared" si="38"/>
        <v>Clean</v>
      </c>
      <c r="AB367" s="2" t="str">
        <f t="shared" si="39"/>
        <v>valid</v>
      </c>
      <c r="AC367">
        <f t="shared" si="47"/>
        <v>0</v>
      </c>
      <c r="AD367">
        <f t="shared" si="48"/>
        <v>13651.2</v>
      </c>
      <c r="AE367">
        <f t="shared" si="49"/>
        <v>3531.59</v>
      </c>
      <c r="AF367">
        <f t="shared" si="50"/>
        <v>0.2587017991092358</v>
      </c>
      <c r="AG367" t="str">
        <f t="shared" si="51"/>
        <v>June</v>
      </c>
      <c r="AH367">
        <f t="shared" si="52"/>
        <v>2024</v>
      </c>
      <c r="AI367" t="str">
        <f t="shared" si="53"/>
        <v>Clean</v>
      </c>
    </row>
    <row r="368" spans="1:35" ht="15.75" customHeight="1">
      <c r="A368" s="3" t="s">
        <v>1832</v>
      </c>
      <c r="B368" s="3" t="s">
        <v>1833</v>
      </c>
      <c r="C368" s="3" t="s">
        <v>1834</v>
      </c>
      <c r="D368" s="3" t="str">
        <f t="shared" si="34"/>
        <v>22-Jan-2025</v>
      </c>
      <c r="E368" s="3" t="str">
        <f t="shared" si="35"/>
        <v>16-Jan-2025</v>
      </c>
      <c r="F368" s="3">
        <f t="shared" si="36"/>
        <v>6</v>
      </c>
      <c r="G368" s="3" t="s">
        <v>1835</v>
      </c>
      <c r="H368" s="3" t="s">
        <v>176</v>
      </c>
      <c r="I368" s="3" t="s">
        <v>116</v>
      </c>
      <c r="J368" s="3" t="s">
        <v>35</v>
      </c>
      <c r="K368" s="3" t="s">
        <v>36</v>
      </c>
      <c r="L368" s="3" t="s">
        <v>37</v>
      </c>
      <c r="M368" s="3" t="s">
        <v>53</v>
      </c>
      <c r="N368" s="3" t="s">
        <v>54</v>
      </c>
      <c r="O368" s="3" t="s">
        <v>1836</v>
      </c>
      <c r="P368" s="3" t="s">
        <v>56</v>
      </c>
      <c r="Q368" s="3">
        <v>2</v>
      </c>
      <c r="R368" s="3">
        <v>4418.28</v>
      </c>
      <c r="S368" s="3">
        <v>0</v>
      </c>
      <c r="T368" s="3">
        <v>8836.56</v>
      </c>
      <c r="U368" s="3">
        <v>5867.75</v>
      </c>
      <c r="V368" s="3">
        <v>2968.81</v>
      </c>
      <c r="W368" s="3" t="s">
        <v>42</v>
      </c>
      <c r="X368" s="3" t="s">
        <v>43</v>
      </c>
      <c r="Y368" s="2" t="str">
        <f t="shared" si="37"/>
        <v>Unique</v>
      </c>
      <c r="AA368" s="2" t="str">
        <f t="shared" si="38"/>
        <v>Clean</v>
      </c>
      <c r="AB368" s="2" t="str">
        <f t="shared" si="39"/>
        <v>valid</v>
      </c>
      <c r="AC368">
        <f t="shared" si="47"/>
        <v>0</v>
      </c>
      <c r="AD368">
        <f t="shared" si="48"/>
        <v>8836.56</v>
      </c>
      <c r="AE368">
        <f t="shared" si="49"/>
        <v>2968.8099999999995</v>
      </c>
      <c r="AF368">
        <f t="shared" si="50"/>
        <v>0.33596897435201023</v>
      </c>
      <c r="AG368" t="str">
        <f t="shared" si="51"/>
        <v>January</v>
      </c>
      <c r="AH368">
        <f t="shared" si="52"/>
        <v>2025</v>
      </c>
      <c r="AI368" t="str">
        <f t="shared" si="53"/>
        <v>Clean</v>
      </c>
    </row>
    <row r="369" spans="1:35" ht="15.75" customHeight="1">
      <c r="A369" s="3" t="s">
        <v>1837</v>
      </c>
      <c r="B369" s="3" t="s">
        <v>983</v>
      </c>
      <c r="C369" s="3" t="s">
        <v>1838</v>
      </c>
      <c r="D369" s="3" t="str">
        <f t="shared" si="34"/>
        <v>16-Mar-2024</v>
      </c>
      <c r="E369" s="3" t="str">
        <f t="shared" si="35"/>
        <v>15-Mar-2024</v>
      </c>
      <c r="F369" s="3">
        <f t="shared" si="36"/>
        <v>1</v>
      </c>
      <c r="G369" s="3" t="s">
        <v>1839</v>
      </c>
      <c r="H369" s="3" t="s">
        <v>188</v>
      </c>
      <c r="I369" s="3" t="s">
        <v>34</v>
      </c>
      <c r="J369" s="3" t="s">
        <v>35</v>
      </c>
      <c r="K369" s="3" t="s">
        <v>515</v>
      </c>
      <c r="L369" s="3" t="s">
        <v>516</v>
      </c>
      <c r="M369" s="3" t="s">
        <v>38</v>
      </c>
      <c r="N369" s="3" t="s">
        <v>62</v>
      </c>
      <c r="O369" s="3" t="s">
        <v>1840</v>
      </c>
      <c r="P369" s="3" t="s">
        <v>75</v>
      </c>
      <c r="Q369" s="3">
        <v>6</v>
      </c>
      <c r="R369" s="3">
        <v>3815.09</v>
      </c>
      <c r="S369" s="3">
        <v>0.15</v>
      </c>
      <c r="T369" s="3">
        <v>19456.96</v>
      </c>
      <c r="U369" s="3">
        <v>14520.06</v>
      </c>
      <c r="V369" s="3">
        <v>4936.8999999999996</v>
      </c>
      <c r="W369" s="3" t="s">
        <v>208</v>
      </c>
      <c r="X369" s="3" t="s">
        <v>86</v>
      </c>
      <c r="Y369" s="2" t="str">
        <f t="shared" si="37"/>
        <v>Unique</v>
      </c>
      <c r="AA369" s="2" t="str">
        <f t="shared" si="38"/>
        <v>Clean</v>
      </c>
      <c r="AB369" s="2" t="str">
        <f t="shared" si="39"/>
        <v>valid</v>
      </c>
      <c r="AC369">
        <f t="shared" si="47"/>
        <v>0.15</v>
      </c>
      <c r="AD369">
        <f t="shared" si="48"/>
        <v>19456.958999999999</v>
      </c>
      <c r="AE369">
        <f t="shared" si="49"/>
        <v>4936.8989999999994</v>
      </c>
      <c r="AF369">
        <f t="shared" si="50"/>
        <v>0.25373435797443988</v>
      </c>
      <c r="AG369" t="str">
        <f t="shared" si="51"/>
        <v>March</v>
      </c>
      <c r="AH369">
        <f t="shared" si="52"/>
        <v>2024</v>
      </c>
      <c r="AI369" t="str">
        <f t="shared" si="53"/>
        <v>Warning</v>
      </c>
    </row>
    <row r="370" spans="1:35" ht="15.75" customHeight="1">
      <c r="A370" s="3" t="s">
        <v>1841</v>
      </c>
      <c r="B370" s="3" t="s">
        <v>1272</v>
      </c>
      <c r="C370" s="3" t="s">
        <v>1272</v>
      </c>
      <c r="D370" s="3" t="str">
        <f t="shared" si="34"/>
        <v>06-Jul-2025</v>
      </c>
      <c r="E370" s="3" t="str">
        <f t="shared" si="35"/>
        <v>06-Jul-2025</v>
      </c>
      <c r="F370" s="3">
        <f t="shared" si="36"/>
        <v>0</v>
      </c>
      <c r="G370" s="3" t="s">
        <v>1842</v>
      </c>
      <c r="H370" s="3" t="s">
        <v>170</v>
      </c>
      <c r="I370" s="3" t="s">
        <v>123</v>
      </c>
      <c r="J370" s="3" t="s">
        <v>35</v>
      </c>
      <c r="K370" s="3" t="s">
        <v>36</v>
      </c>
      <c r="L370" s="3" t="s">
        <v>37</v>
      </c>
      <c r="M370" s="3" t="s">
        <v>94</v>
      </c>
      <c r="N370" s="3" t="s">
        <v>95</v>
      </c>
      <c r="O370" s="3" t="s">
        <v>1843</v>
      </c>
      <c r="P370" s="3" t="s">
        <v>56</v>
      </c>
      <c r="Q370" s="3">
        <v>9</v>
      </c>
      <c r="R370" s="3">
        <v>243.19</v>
      </c>
      <c r="S370" s="3">
        <v>0.05</v>
      </c>
      <c r="T370" s="3">
        <v>2079.27</v>
      </c>
      <c r="U370" s="3">
        <v>1512.17</v>
      </c>
      <c r="V370" s="3">
        <v>567.1</v>
      </c>
      <c r="W370" s="3" t="s">
        <v>132</v>
      </c>
      <c r="X370" s="3" t="s">
        <v>133</v>
      </c>
      <c r="Y370" s="2" t="str">
        <f t="shared" si="37"/>
        <v>Unique</v>
      </c>
      <c r="AA370" s="2" t="str">
        <f t="shared" si="38"/>
        <v>Clean</v>
      </c>
      <c r="AB370" s="2" t="str">
        <f t="shared" si="39"/>
        <v>valid</v>
      </c>
      <c r="AC370">
        <f t="shared" si="47"/>
        <v>0.05</v>
      </c>
      <c r="AD370">
        <f t="shared" si="48"/>
        <v>2079.2745</v>
      </c>
      <c r="AE370">
        <f t="shared" si="49"/>
        <v>567.10449999999992</v>
      </c>
      <c r="AF370">
        <f t="shared" si="50"/>
        <v>0.27274152595051782</v>
      </c>
      <c r="AG370" t="str">
        <f t="shared" si="51"/>
        <v>July</v>
      </c>
      <c r="AH370">
        <f t="shared" si="52"/>
        <v>2025</v>
      </c>
      <c r="AI370" t="str">
        <f t="shared" si="53"/>
        <v>Clean</v>
      </c>
    </row>
    <row r="371" spans="1:35" ht="15.75" customHeight="1">
      <c r="A371" s="3" t="s">
        <v>1844</v>
      </c>
      <c r="B371" s="3" t="s">
        <v>1531</v>
      </c>
      <c r="C371" s="3" t="s">
        <v>199</v>
      </c>
      <c r="D371" s="3" t="str">
        <f t="shared" si="34"/>
        <v>30-Jan-2025</v>
      </c>
      <c r="E371" s="3" t="str">
        <f t="shared" si="35"/>
        <v>23-Jan-2025</v>
      </c>
      <c r="F371" s="3">
        <f t="shared" si="36"/>
        <v>7</v>
      </c>
      <c r="G371" s="3" t="s">
        <v>1845</v>
      </c>
      <c r="H371" s="3" t="s">
        <v>150</v>
      </c>
      <c r="I371" s="3" t="s">
        <v>34</v>
      </c>
      <c r="J371" s="3" t="s">
        <v>35</v>
      </c>
      <c r="K371" s="3" t="s">
        <v>515</v>
      </c>
      <c r="L371" s="3" t="s">
        <v>516</v>
      </c>
      <c r="M371" s="3" t="s">
        <v>38</v>
      </c>
      <c r="N371" s="3" t="s">
        <v>117</v>
      </c>
      <c r="O371" s="3" t="s">
        <v>1846</v>
      </c>
      <c r="P371" s="3" t="s">
        <v>75</v>
      </c>
      <c r="Q371" s="3">
        <v>9</v>
      </c>
      <c r="R371" s="3">
        <v>1169.3699999999999</v>
      </c>
      <c r="S371" s="3">
        <v>0.15</v>
      </c>
      <c r="T371" s="3">
        <v>8945.68</v>
      </c>
      <c r="U371" s="3">
        <v>6740.35</v>
      </c>
      <c r="V371" s="3">
        <v>2205.33</v>
      </c>
      <c r="W371" s="3" t="s">
        <v>42</v>
      </c>
      <c r="X371" s="3" t="s">
        <v>43</v>
      </c>
      <c r="Y371" s="2" t="str">
        <f t="shared" si="37"/>
        <v>Unique</v>
      </c>
      <c r="AA371" s="2" t="str">
        <f t="shared" si="38"/>
        <v>Clean</v>
      </c>
      <c r="AB371" s="2" t="str">
        <f t="shared" si="39"/>
        <v>valid</v>
      </c>
      <c r="AC371">
        <f t="shared" si="47"/>
        <v>0.15</v>
      </c>
      <c r="AD371">
        <f t="shared" si="48"/>
        <v>8945.6804999999986</v>
      </c>
      <c r="AE371">
        <f t="shared" si="49"/>
        <v>2205.3304999999982</v>
      </c>
      <c r="AF371">
        <f t="shared" si="50"/>
        <v>0.24652462157574245</v>
      </c>
      <c r="AG371" t="str">
        <f t="shared" si="51"/>
        <v>January</v>
      </c>
      <c r="AH371">
        <f t="shared" si="52"/>
        <v>2025</v>
      </c>
      <c r="AI371" t="str">
        <f t="shared" si="53"/>
        <v>Clean</v>
      </c>
    </row>
    <row r="372" spans="1:35" ht="15.75" customHeight="1">
      <c r="A372" s="3" t="s">
        <v>1847</v>
      </c>
      <c r="B372" s="3" t="s">
        <v>1848</v>
      </c>
      <c r="C372" s="3" t="s">
        <v>1625</v>
      </c>
      <c r="D372" s="3" t="str">
        <f t="shared" si="34"/>
        <v>21-Aug-2024</v>
      </c>
      <c r="E372" s="3" t="str">
        <f t="shared" si="35"/>
        <v>15-Aug-2024</v>
      </c>
      <c r="F372" s="3">
        <f t="shared" si="36"/>
        <v>6</v>
      </c>
      <c r="G372" s="3" t="s">
        <v>1849</v>
      </c>
      <c r="H372" s="3" t="s">
        <v>80</v>
      </c>
      <c r="I372" s="3" t="s">
        <v>49</v>
      </c>
      <c r="J372" s="3" t="s">
        <v>81</v>
      </c>
      <c r="K372" s="3" t="s">
        <v>36</v>
      </c>
      <c r="L372" s="3" t="s">
        <v>143</v>
      </c>
      <c r="M372" s="3" t="s">
        <v>94</v>
      </c>
      <c r="N372" s="3" t="s">
        <v>102</v>
      </c>
      <c r="O372" s="3" t="s">
        <v>1850</v>
      </c>
      <c r="P372" s="3" t="s">
        <v>64</v>
      </c>
      <c r="Q372" s="3">
        <v>7</v>
      </c>
      <c r="R372" s="3">
        <v>2333.81</v>
      </c>
      <c r="S372" s="3">
        <v>0.2</v>
      </c>
      <c r="T372" s="3">
        <v>13069.34</v>
      </c>
      <c r="U372" s="3">
        <v>8768.59</v>
      </c>
      <c r="V372" s="3">
        <v>4300.75</v>
      </c>
      <c r="W372" s="3" t="s">
        <v>42</v>
      </c>
      <c r="X372" s="3" t="s">
        <v>43</v>
      </c>
      <c r="Y372" s="2" t="str">
        <f t="shared" si="37"/>
        <v>Unique</v>
      </c>
      <c r="AA372" s="2" t="str">
        <f t="shared" si="38"/>
        <v>Clean</v>
      </c>
      <c r="AB372" s="2" t="str">
        <f t="shared" si="39"/>
        <v>valid</v>
      </c>
      <c r="AC372">
        <f t="shared" si="47"/>
        <v>0.2</v>
      </c>
      <c r="AD372">
        <f t="shared" si="48"/>
        <v>13069.336000000001</v>
      </c>
      <c r="AE372">
        <f t="shared" si="49"/>
        <v>4300.746000000001</v>
      </c>
      <c r="AF372">
        <f t="shared" si="50"/>
        <v>0.32907149988339124</v>
      </c>
      <c r="AG372" t="str">
        <f t="shared" si="51"/>
        <v>August</v>
      </c>
      <c r="AH372">
        <f t="shared" si="52"/>
        <v>2024</v>
      </c>
      <c r="AI372" t="str">
        <f t="shared" si="53"/>
        <v>Clean</v>
      </c>
    </row>
    <row r="373" spans="1:35" ht="15.75" customHeight="1">
      <c r="A373" s="3" t="s">
        <v>1851</v>
      </c>
      <c r="B373" s="3" t="s">
        <v>1061</v>
      </c>
      <c r="C373" s="3" t="s">
        <v>1852</v>
      </c>
      <c r="D373" s="3" t="str">
        <f t="shared" si="34"/>
        <v>24-Jan-2024</v>
      </c>
      <c r="E373" s="3" t="str">
        <f t="shared" si="35"/>
        <v>22-Jan-2024</v>
      </c>
      <c r="F373" s="3">
        <f t="shared" si="36"/>
        <v>2</v>
      </c>
      <c r="G373" s="3" t="s">
        <v>1853</v>
      </c>
      <c r="H373" s="3" t="s">
        <v>218</v>
      </c>
      <c r="I373" s="3" t="s">
        <v>123</v>
      </c>
      <c r="J373" s="3" t="s">
        <v>81</v>
      </c>
      <c r="K373" s="3" t="s">
        <v>82</v>
      </c>
      <c r="L373" s="3" t="s">
        <v>83</v>
      </c>
      <c r="M373" s="3" t="s">
        <v>38</v>
      </c>
      <c r="N373" s="3" t="s">
        <v>62</v>
      </c>
      <c r="O373" s="3" t="s">
        <v>1854</v>
      </c>
      <c r="P373" s="3" t="s">
        <v>75</v>
      </c>
      <c r="Q373" s="3">
        <v>6</v>
      </c>
      <c r="R373" s="3">
        <v>1026.06</v>
      </c>
      <c r="S373" s="3">
        <v>0</v>
      </c>
      <c r="T373" s="3">
        <v>4617.2700000000004</v>
      </c>
      <c r="U373" s="3">
        <v>2981.94</v>
      </c>
      <c r="V373" s="3">
        <v>1635.33</v>
      </c>
      <c r="W373" s="3" t="s">
        <v>132</v>
      </c>
      <c r="X373" s="3" t="s">
        <v>86</v>
      </c>
      <c r="Y373" s="4" t="str">
        <f t="shared" si="37"/>
        <v>Unique</v>
      </c>
      <c r="AA373" s="2" t="str">
        <f t="shared" si="38"/>
        <v>Clean</v>
      </c>
      <c r="AB373" s="2" t="str">
        <f t="shared" si="39"/>
        <v>valid</v>
      </c>
      <c r="AC373">
        <f t="shared" si="47"/>
        <v>0</v>
      </c>
      <c r="AD373">
        <f t="shared" si="48"/>
        <v>6156.36</v>
      </c>
      <c r="AE373">
        <f t="shared" si="49"/>
        <v>3174.4199999999996</v>
      </c>
      <c r="AF373">
        <f t="shared" si="50"/>
        <v>0.51563261407714944</v>
      </c>
      <c r="AG373" t="str">
        <f t="shared" si="51"/>
        <v>January</v>
      </c>
      <c r="AH373">
        <f t="shared" si="52"/>
        <v>2024</v>
      </c>
      <c r="AI373" t="str">
        <f t="shared" si="53"/>
        <v>Warning</v>
      </c>
    </row>
    <row r="374" spans="1:35" ht="15.75" customHeight="1">
      <c r="A374" s="3" t="s">
        <v>1855</v>
      </c>
      <c r="B374" s="3" t="s">
        <v>1856</v>
      </c>
      <c r="C374" s="3" t="s">
        <v>926</v>
      </c>
      <c r="D374" s="3" t="str">
        <f t="shared" si="34"/>
        <v>18-Aug-2025</v>
      </c>
      <c r="E374" s="3" t="str">
        <f t="shared" si="35"/>
        <v>16-Aug-2025</v>
      </c>
      <c r="F374" s="3">
        <f t="shared" si="36"/>
        <v>2</v>
      </c>
      <c r="G374" s="3" t="s">
        <v>975</v>
      </c>
      <c r="H374" s="3" t="s">
        <v>375</v>
      </c>
      <c r="I374" s="3" t="s">
        <v>34</v>
      </c>
      <c r="J374" s="3" t="s">
        <v>50</v>
      </c>
      <c r="K374" s="3" t="s">
        <v>319</v>
      </c>
      <c r="L374" s="3" t="s">
        <v>320</v>
      </c>
      <c r="M374" s="3" t="s">
        <v>53</v>
      </c>
      <c r="N374" s="3" t="s">
        <v>84</v>
      </c>
      <c r="O374" s="3" t="s">
        <v>1857</v>
      </c>
      <c r="P374" s="3" t="s">
        <v>56</v>
      </c>
      <c r="Q374" s="3">
        <v>5</v>
      </c>
      <c r="R374" s="3">
        <v>1530.36</v>
      </c>
      <c r="S374" s="3">
        <v>0</v>
      </c>
      <c r="T374" s="3">
        <v>7651.8</v>
      </c>
      <c r="U374" s="3">
        <v>5171.78</v>
      </c>
      <c r="V374" s="3">
        <v>2480.02</v>
      </c>
      <c r="W374" s="3" t="s">
        <v>42</v>
      </c>
      <c r="X374" s="3" t="s">
        <v>43</v>
      </c>
      <c r="Y374" s="2" t="str">
        <f t="shared" si="37"/>
        <v>Unique</v>
      </c>
      <c r="AA374" s="2" t="str">
        <f t="shared" si="38"/>
        <v>Clean</v>
      </c>
      <c r="AB374" s="2" t="str">
        <f t="shared" si="39"/>
        <v>valid</v>
      </c>
      <c r="AC374">
        <f t="shared" si="47"/>
        <v>0</v>
      </c>
      <c r="AD374">
        <f t="shared" si="48"/>
        <v>7651.7999999999993</v>
      </c>
      <c r="AE374">
        <f t="shared" si="49"/>
        <v>2480.0199999999995</v>
      </c>
      <c r="AF374">
        <f t="shared" si="50"/>
        <v>0.32410935988917638</v>
      </c>
      <c r="AG374" t="str">
        <f t="shared" si="51"/>
        <v>August</v>
      </c>
      <c r="AH374">
        <f t="shared" si="52"/>
        <v>2025</v>
      </c>
      <c r="AI374" t="str">
        <f t="shared" si="53"/>
        <v>Clean</v>
      </c>
    </row>
    <row r="375" spans="1:35" ht="15.75" customHeight="1">
      <c r="A375" s="3" t="s">
        <v>1858</v>
      </c>
      <c r="B375" s="3" t="s">
        <v>1859</v>
      </c>
      <c r="C375" s="3" t="s">
        <v>1859</v>
      </c>
      <c r="D375" s="3" t="str">
        <f t="shared" si="34"/>
        <v>13-Apr-2025</v>
      </c>
      <c r="E375" s="3" t="str">
        <f t="shared" si="35"/>
        <v>13-Apr-2025</v>
      </c>
      <c r="F375" s="3">
        <f t="shared" si="36"/>
        <v>0</v>
      </c>
      <c r="G375" s="3" t="s">
        <v>1860</v>
      </c>
      <c r="H375" s="3" t="s">
        <v>176</v>
      </c>
      <c r="I375" s="3" t="s">
        <v>49</v>
      </c>
      <c r="J375" s="3" t="s">
        <v>35</v>
      </c>
      <c r="K375" s="3" t="s">
        <v>182</v>
      </c>
      <c r="L375" s="3" t="s">
        <v>183</v>
      </c>
      <c r="M375" s="3" t="s">
        <v>38</v>
      </c>
      <c r="N375" s="3" t="s">
        <v>164</v>
      </c>
      <c r="O375" s="3" t="s">
        <v>1861</v>
      </c>
      <c r="P375" s="3" t="s">
        <v>41</v>
      </c>
      <c r="Q375" s="3">
        <v>9</v>
      </c>
      <c r="R375" s="3">
        <v>1118.68</v>
      </c>
      <c r="S375" s="3">
        <v>0</v>
      </c>
      <c r="T375" s="3">
        <v>10068.120000000001</v>
      </c>
      <c r="U375" s="3">
        <v>8595.3700000000008</v>
      </c>
      <c r="V375" s="3">
        <v>1472.75</v>
      </c>
      <c r="W375" s="3" t="s">
        <v>42</v>
      </c>
      <c r="X375" s="3" t="s">
        <v>43</v>
      </c>
      <c r="Y375" s="2" t="str">
        <f t="shared" si="37"/>
        <v>Duplicate Order ID</v>
      </c>
      <c r="Z375" s="5" t="s">
        <v>722</v>
      </c>
      <c r="AA375" s="2" t="str">
        <f t="shared" si="38"/>
        <v>Clean</v>
      </c>
      <c r="AB375" s="2" t="str">
        <f t="shared" si="39"/>
        <v>valid</v>
      </c>
      <c r="AC375">
        <f t="shared" si="47"/>
        <v>0</v>
      </c>
      <c r="AD375">
        <f t="shared" si="48"/>
        <v>10068.120000000001</v>
      </c>
      <c r="AE375">
        <f t="shared" si="49"/>
        <v>1472.75</v>
      </c>
      <c r="AF375">
        <f t="shared" si="50"/>
        <v>0.14627855051389932</v>
      </c>
      <c r="AG375" t="str">
        <f t="shared" si="51"/>
        <v>April</v>
      </c>
      <c r="AH375">
        <f t="shared" si="52"/>
        <v>2025</v>
      </c>
      <c r="AI375" t="str">
        <f t="shared" si="53"/>
        <v>Clean</v>
      </c>
    </row>
    <row r="376" spans="1:35" ht="15.75" customHeight="1">
      <c r="A376" s="3" t="s">
        <v>1862</v>
      </c>
      <c r="B376" s="3" t="s">
        <v>1863</v>
      </c>
      <c r="C376" s="3" t="s">
        <v>1864</v>
      </c>
      <c r="D376" s="3" t="str">
        <f t="shared" si="34"/>
        <v>28-Feb-2025</v>
      </c>
      <c r="E376" s="3" t="str">
        <f t="shared" si="35"/>
        <v>27-Feb-2025</v>
      </c>
      <c r="F376" s="3">
        <f t="shared" si="36"/>
        <v>1</v>
      </c>
      <c r="G376" s="3" t="s">
        <v>1865</v>
      </c>
      <c r="H376" s="3" t="s">
        <v>115</v>
      </c>
      <c r="I376" s="3" t="s">
        <v>49</v>
      </c>
      <c r="J376" s="3" t="s">
        <v>35</v>
      </c>
      <c r="K376" s="3" t="s">
        <v>182</v>
      </c>
      <c r="L376" s="3" t="s">
        <v>183</v>
      </c>
      <c r="M376" s="3" t="s">
        <v>38</v>
      </c>
      <c r="N376" s="3" t="s">
        <v>117</v>
      </c>
      <c r="O376" s="3" t="s">
        <v>1866</v>
      </c>
      <c r="P376" s="3" t="s">
        <v>75</v>
      </c>
      <c r="Q376" s="3">
        <v>6</v>
      </c>
      <c r="R376" s="3">
        <v>2393.25</v>
      </c>
      <c r="S376" s="3">
        <v>0</v>
      </c>
      <c r="T376" s="3">
        <v>14359.5</v>
      </c>
      <c r="U376" s="3">
        <v>8117.71</v>
      </c>
      <c r="V376" s="3">
        <v>6241.79</v>
      </c>
      <c r="W376" s="3" t="s">
        <v>42</v>
      </c>
      <c r="X376" s="3" t="s">
        <v>43</v>
      </c>
      <c r="Y376" s="2" t="str">
        <f t="shared" si="37"/>
        <v>Unique</v>
      </c>
      <c r="AA376" s="2" t="str">
        <f t="shared" si="38"/>
        <v>Clean</v>
      </c>
      <c r="AB376" s="2" t="str">
        <f t="shared" si="39"/>
        <v>valid</v>
      </c>
      <c r="AC376">
        <f t="shared" si="47"/>
        <v>0</v>
      </c>
      <c r="AD376">
        <f t="shared" si="48"/>
        <v>14359.5</v>
      </c>
      <c r="AE376">
        <f t="shared" si="49"/>
        <v>6241.79</v>
      </c>
      <c r="AF376">
        <f t="shared" si="50"/>
        <v>0.43468017688638183</v>
      </c>
      <c r="AG376" t="str">
        <f t="shared" si="51"/>
        <v>February</v>
      </c>
      <c r="AH376">
        <f t="shared" si="52"/>
        <v>2025</v>
      </c>
      <c r="AI376" t="str">
        <f t="shared" si="53"/>
        <v>Clean</v>
      </c>
    </row>
    <row r="377" spans="1:35" ht="15.75" customHeight="1">
      <c r="A377" s="3" t="s">
        <v>1867</v>
      </c>
      <c r="B377" s="3" t="s">
        <v>1868</v>
      </c>
      <c r="C377" s="3" t="s">
        <v>1869</v>
      </c>
      <c r="D377" s="3" t="str">
        <f t="shared" si="34"/>
        <v>04-Jan-2025</v>
      </c>
      <c r="E377" s="3" t="str">
        <f t="shared" si="35"/>
        <v>31-Dec-2024</v>
      </c>
      <c r="F377" s="3">
        <f t="shared" si="36"/>
        <v>4</v>
      </c>
      <c r="G377" s="3" t="s">
        <v>1870</v>
      </c>
      <c r="H377" s="3" t="s">
        <v>91</v>
      </c>
      <c r="I377" s="3" t="s">
        <v>34</v>
      </c>
      <c r="J377" s="3" t="s">
        <v>35</v>
      </c>
      <c r="K377" s="3" t="s">
        <v>515</v>
      </c>
      <c r="L377" s="3" t="s">
        <v>516</v>
      </c>
      <c r="M377" s="3" t="s">
        <v>53</v>
      </c>
      <c r="N377" s="3" t="s">
        <v>84</v>
      </c>
      <c r="O377" s="3" t="s">
        <v>1871</v>
      </c>
      <c r="P377" s="3" t="s">
        <v>56</v>
      </c>
      <c r="Q377" s="3">
        <v>3</v>
      </c>
      <c r="R377" s="3">
        <v>1166.6099999999999</v>
      </c>
      <c r="S377" s="3">
        <v>0.25</v>
      </c>
      <c r="T377" s="3">
        <v>2624.87</v>
      </c>
      <c r="U377" s="3">
        <v>2253.88</v>
      </c>
      <c r="V377" s="3">
        <v>370.99</v>
      </c>
      <c r="W377" s="3" t="s">
        <v>42</v>
      </c>
      <c r="X377" s="3" t="s">
        <v>43</v>
      </c>
      <c r="Y377" s="2" t="str">
        <f t="shared" si="37"/>
        <v>Unique</v>
      </c>
      <c r="AA377" s="2" t="str">
        <f t="shared" si="38"/>
        <v>Clean</v>
      </c>
      <c r="AB377" s="2" t="str">
        <f t="shared" si="39"/>
        <v>valid</v>
      </c>
      <c r="AC377">
        <f t="shared" si="47"/>
        <v>0.25</v>
      </c>
      <c r="AD377">
        <f t="shared" si="48"/>
        <v>2624.8724999999999</v>
      </c>
      <c r="AE377">
        <f t="shared" si="49"/>
        <v>370.99249999999984</v>
      </c>
      <c r="AF377">
        <f t="shared" si="50"/>
        <v>0.14133734114704613</v>
      </c>
      <c r="AG377" t="str">
        <f t="shared" si="51"/>
        <v>December</v>
      </c>
      <c r="AH377">
        <f t="shared" si="52"/>
        <v>2024</v>
      </c>
      <c r="AI377" t="str">
        <f t="shared" si="53"/>
        <v>Clean</v>
      </c>
    </row>
    <row r="378" spans="1:35" ht="15.75" customHeight="1">
      <c r="A378" s="3" t="s">
        <v>1872</v>
      </c>
      <c r="B378" s="3" t="s">
        <v>1873</v>
      </c>
      <c r="C378" s="3" t="s">
        <v>1777</v>
      </c>
      <c r="D378" s="3" t="str">
        <f t="shared" si="34"/>
        <v>31-Dec-2024</v>
      </c>
      <c r="E378" s="3" t="str">
        <f t="shared" si="35"/>
        <v>29-Dec-2024</v>
      </c>
      <c r="F378" s="3">
        <f t="shared" si="36"/>
        <v>2</v>
      </c>
      <c r="G378" s="3" t="s">
        <v>1874</v>
      </c>
      <c r="H378" s="3" t="s">
        <v>61</v>
      </c>
      <c r="I378" s="3" t="s">
        <v>49</v>
      </c>
      <c r="J378" s="3" t="s">
        <v>50</v>
      </c>
      <c r="K378" s="3" t="s">
        <v>194</v>
      </c>
      <c r="L378" s="3" t="s">
        <v>195</v>
      </c>
      <c r="M378" s="3" t="s">
        <v>53</v>
      </c>
      <c r="N378" s="3" t="s">
        <v>84</v>
      </c>
      <c r="O378" s="3" t="s">
        <v>1875</v>
      </c>
      <c r="P378" s="3" t="s">
        <v>64</v>
      </c>
      <c r="Q378" s="3">
        <v>6</v>
      </c>
      <c r="R378" s="3">
        <v>1844.78</v>
      </c>
      <c r="S378" s="3">
        <v>0.2</v>
      </c>
      <c r="T378" s="3">
        <v>8854.94</v>
      </c>
      <c r="U378" s="3">
        <v>7433.95</v>
      </c>
      <c r="V378" s="3">
        <v>1420.99</v>
      </c>
      <c r="W378" s="3" t="s">
        <v>42</v>
      </c>
      <c r="X378" s="3" t="s">
        <v>43</v>
      </c>
      <c r="Y378" s="2" t="str">
        <f t="shared" si="37"/>
        <v>Unique</v>
      </c>
      <c r="AA378" s="2" t="str">
        <f t="shared" si="38"/>
        <v>Clean</v>
      </c>
      <c r="AB378" s="2" t="str">
        <f t="shared" si="39"/>
        <v>valid</v>
      </c>
      <c r="AC378">
        <f t="shared" si="47"/>
        <v>0.2</v>
      </c>
      <c r="AD378">
        <f t="shared" si="48"/>
        <v>8854.9440000000013</v>
      </c>
      <c r="AE378">
        <f t="shared" si="49"/>
        <v>1420.9940000000015</v>
      </c>
      <c r="AF378">
        <f t="shared" si="50"/>
        <v>0.1604746455765278</v>
      </c>
      <c r="AG378" t="str">
        <f t="shared" si="51"/>
        <v>December</v>
      </c>
      <c r="AH378">
        <f t="shared" si="52"/>
        <v>2024</v>
      </c>
      <c r="AI378" t="str">
        <f t="shared" si="53"/>
        <v>Clean</v>
      </c>
    </row>
    <row r="379" spans="1:35" ht="15.75" customHeight="1">
      <c r="A379" s="3" t="s">
        <v>1876</v>
      </c>
      <c r="B379" s="3" t="s">
        <v>1521</v>
      </c>
      <c r="C379" s="3" t="s">
        <v>1877</v>
      </c>
      <c r="D379" s="3" t="str">
        <f t="shared" si="34"/>
        <v>30-May-2025</v>
      </c>
      <c r="E379" s="3" t="str">
        <f t="shared" si="35"/>
        <v>24-May-2025</v>
      </c>
      <c r="F379" s="3">
        <f t="shared" si="36"/>
        <v>6</v>
      </c>
      <c r="G379" s="3" t="s">
        <v>1878</v>
      </c>
      <c r="H379" s="3" t="s">
        <v>375</v>
      </c>
      <c r="I379" s="3" t="s">
        <v>49</v>
      </c>
      <c r="J379" s="3" t="s">
        <v>50</v>
      </c>
      <c r="K379" s="3" t="s">
        <v>51</v>
      </c>
      <c r="L379" s="3" t="s">
        <v>52</v>
      </c>
      <c r="M379" s="3" t="s">
        <v>38</v>
      </c>
      <c r="N379" s="3" t="s">
        <v>164</v>
      </c>
      <c r="O379" s="3" t="s">
        <v>1879</v>
      </c>
      <c r="P379" s="3" t="s">
        <v>56</v>
      </c>
      <c r="Q379" s="3">
        <v>1</v>
      </c>
      <c r="R379" s="3">
        <v>2564.7399999999998</v>
      </c>
      <c r="S379" s="3">
        <v>0</v>
      </c>
      <c r="T379" s="3">
        <v>2564.7399999999998</v>
      </c>
      <c r="U379" s="3">
        <v>1754.58</v>
      </c>
      <c r="V379" s="3">
        <v>810.16</v>
      </c>
      <c r="W379" s="3" t="s">
        <v>42</v>
      </c>
      <c r="X379" s="3" t="s">
        <v>43</v>
      </c>
      <c r="Y379" s="2" t="str">
        <f t="shared" si="37"/>
        <v>Unique</v>
      </c>
      <c r="AA379" s="2" t="str">
        <f t="shared" si="38"/>
        <v>Clean</v>
      </c>
      <c r="AB379" s="2" t="str">
        <f t="shared" si="39"/>
        <v>valid</v>
      </c>
      <c r="AC379">
        <f t="shared" si="47"/>
        <v>0</v>
      </c>
      <c r="AD379">
        <f t="shared" si="48"/>
        <v>2564.7399999999998</v>
      </c>
      <c r="AE379">
        <f t="shared" si="49"/>
        <v>810.15999999999985</v>
      </c>
      <c r="AF379">
        <f t="shared" si="50"/>
        <v>0.31588387126960232</v>
      </c>
      <c r="AG379" t="str">
        <f t="shared" si="51"/>
        <v>May</v>
      </c>
      <c r="AH379">
        <f t="shared" si="52"/>
        <v>2025</v>
      </c>
      <c r="AI379" t="str">
        <f t="shared" si="53"/>
        <v>Clean</v>
      </c>
    </row>
    <row r="380" spans="1:35" ht="15.75" customHeight="1">
      <c r="A380" s="3" t="s">
        <v>1880</v>
      </c>
      <c r="B380" s="3" t="s">
        <v>1881</v>
      </c>
      <c r="C380" s="3" t="s">
        <v>1881</v>
      </c>
      <c r="D380" s="3" t="str">
        <f t="shared" si="34"/>
        <v>22-May-2025</v>
      </c>
      <c r="E380" s="3" t="str">
        <f t="shared" si="35"/>
        <v>22-May-2025</v>
      </c>
      <c r="F380" s="3">
        <f t="shared" si="36"/>
        <v>0</v>
      </c>
      <c r="G380" s="3" t="s">
        <v>1882</v>
      </c>
      <c r="H380" s="3" t="s">
        <v>48</v>
      </c>
      <c r="I380" s="3" t="s">
        <v>34</v>
      </c>
      <c r="J380" s="3" t="s">
        <v>81</v>
      </c>
      <c r="K380" s="3" t="s">
        <v>257</v>
      </c>
      <c r="L380" s="3" t="s">
        <v>258</v>
      </c>
      <c r="M380" s="3" t="s">
        <v>94</v>
      </c>
      <c r="N380" s="3" t="s">
        <v>95</v>
      </c>
      <c r="O380" s="3" t="s">
        <v>1883</v>
      </c>
      <c r="P380" s="3" t="s">
        <v>75</v>
      </c>
      <c r="Q380" s="3">
        <v>2</v>
      </c>
      <c r="R380" s="3">
        <v>3910.61</v>
      </c>
      <c r="S380" s="3">
        <v>0</v>
      </c>
      <c r="T380" s="3">
        <v>7821.22</v>
      </c>
      <c r="U380" s="3">
        <v>4994.46</v>
      </c>
      <c r="V380" s="3">
        <v>2826.76</v>
      </c>
      <c r="W380" s="3" t="s">
        <v>42</v>
      </c>
      <c r="X380" s="3" t="s">
        <v>43</v>
      </c>
      <c r="Y380" s="2" t="str">
        <f t="shared" si="37"/>
        <v>Unique</v>
      </c>
      <c r="AA380" s="2" t="str">
        <f t="shared" si="38"/>
        <v>Clean</v>
      </c>
      <c r="AB380" s="2" t="str">
        <f t="shared" si="39"/>
        <v>valid</v>
      </c>
      <c r="AC380">
        <f t="shared" si="47"/>
        <v>0</v>
      </c>
      <c r="AD380">
        <f t="shared" si="48"/>
        <v>7821.22</v>
      </c>
      <c r="AE380">
        <f t="shared" si="49"/>
        <v>2826.76</v>
      </c>
      <c r="AF380">
        <f t="shared" si="50"/>
        <v>0.36142187535959863</v>
      </c>
      <c r="AG380" t="str">
        <f t="shared" si="51"/>
        <v>May</v>
      </c>
      <c r="AH380">
        <f t="shared" si="52"/>
        <v>2025</v>
      </c>
      <c r="AI380" t="str">
        <f t="shared" si="53"/>
        <v>Clean</v>
      </c>
    </row>
    <row r="381" spans="1:35" ht="15.75" customHeight="1">
      <c r="A381" s="3" t="s">
        <v>1884</v>
      </c>
      <c r="B381" s="3" t="s">
        <v>1885</v>
      </c>
      <c r="C381" s="3" t="s">
        <v>1886</v>
      </c>
      <c r="D381" s="3" t="str">
        <f t="shared" si="34"/>
        <v>23-Sep-2024</v>
      </c>
      <c r="E381" s="3" t="str">
        <f t="shared" si="35"/>
        <v>19-Sep-2024</v>
      </c>
      <c r="F381" s="3">
        <f t="shared" si="36"/>
        <v>4</v>
      </c>
      <c r="G381" s="3" t="s">
        <v>1887</v>
      </c>
      <c r="H381" s="3" t="s">
        <v>48</v>
      </c>
      <c r="I381" s="3" t="s">
        <v>49</v>
      </c>
      <c r="J381" s="3" t="s">
        <v>70</v>
      </c>
      <c r="K381" s="3" t="s">
        <v>250</v>
      </c>
      <c r="L381" s="3" t="s">
        <v>251</v>
      </c>
      <c r="M381" s="3" t="s">
        <v>38</v>
      </c>
      <c r="N381" s="3" t="s">
        <v>39</v>
      </c>
      <c r="O381" s="3" t="s">
        <v>1888</v>
      </c>
      <c r="P381" s="3" t="s">
        <v>75</v>
      </c>
      <c r="Q381" s="3">
        <v>7</v>
      </c>
      <c r="R381" s="3">
        <v>1136.68</v>
      </c>
      <c r="S381" s="3">
        <v>0</v>
      </c>
      <c r="T381" s="3">
        <v>7956.76</v>
      </c>
      <c r="U381" s="3">
        <v>4799.54</v>
      </c>
      <c r="V381" s="3">
        <v>3157.22</v>
      </c>
      <c r="W381" s="3" t="s">
        <v>42</v>
      </c>
      <c r="X381" s="3" t="s">
        <v>43</v>
      </c>
      <c r="Y381" s="4" t="str">
        <f t="shared" si="37"/>
        <v>Unique</v>
      </c>
      <c r="AA381" s="2" t="str">
        <f t="shared" si="38"/>
        <v>Clean</v>
      </c>
      <c r="AB381" s="2" t="str">
        <f t="shared" si="39"/>
        <v>valid</v>
      </c>
      <c r="AC381">
        <f t="shared" si="47"/>
        <v>0</v>
      </c>
      <c r="AD381">
        <f t="shared" si="48"/>
        <v>7956.76</v>
      </c>
      <c r="AE381">
        <f t="shared" si="49"/>
        <v>3157.2200000000003</v>
      </c>
      <c r="AF381">
        <f t="shared" si="50"/>
        <v>0.39679718880549369</v>
      </c>
      <c r="AG381" t="str">
        <f t="shared" si="51"/>
        <v>September</v>
      </c>
      <c r="AH381">
        <f t="shared" si="52"/>
        <v>2024</v>
      </c>
      <c r="AI381" t="str">
        <f t="shared" si="53"/>
        <v>Clean</v>
      </c>
    </row>
    <row r="382" spans="1:35" ht="15.75" customHeight="1">
      <c r="A382" s="3" t="s">
        <v>1889</v>
      </c>
      <c r="B382" s="3" t="s">
        <v>1890</v>
      </c>
      <c r="C382" s="3" t="s">
        <v>1419</v>
      </c>
      <c r="D382" s="3" t="str">
        <f t="shared" si="34"/>
        <v>14-Apr-2024</v>
      </c>
      <c r="E382" s="3" t="str">
        <f t="shared" si="35"/>
        <v>07-Apr-2024</v>
      </c>
      <c r="F382" s="3">
        <f t="shared" si="36"/>
        <v>7</v>
      </c>
      <c r="G382" s="3" t="s">
        <v>1891</v>
      </c>
      <c r="H382" s="3" t="s">
        <v>91</v>
      </c>
      <c r="I382" s="3" t="s">
        <v>34</v>
      </c>
      <c r="J382" s="3" t="s">
        <v>81</v>
      </c>
      <c r="K382" s="3" t="s">
        <v>82</v>
      </c>
      <c r="L382" s="3" t="s">
        <v>83</v>
      </c>
      <c r="M382" s="3" t="s">
        <v>53</v>
      </c>
      <c r="N382" s="3" t="s">
        <v>212</v>
      </c>
      <c r="O382" s="3" t="s">
        <v>1892</v>
      </c>
      <c r="P382" s="3" t="s">
        <v>56</v>
      </c>
      <c r="Q382" s="3">
        <v>5</v>
      </c>
      <c r="R382" s="3">
        <v>2235.85</v>
      </c>
      <c r="S382" s="3">
        <v>0.25</v>
      </c>
      <c r="T382" s="3">
        <v>8384.44</v>
      </c>
      <c r="U382" s="3">
        <v>4765.96</v>
      </c>
      <c r="V382" s="3">
        <v>3618.48</v>
      </c>
      <c r="W382" s="3" t="s">
        <v>42</v>
      </c>
      <c r="X382" s="3" t="s">
        <v>133</v>
      </c>
      <c r="Y382" s="2" t="str">
        <f t="shared" si="37"/>
        <v>Unique</v>
      </c>
      <c r="AA382" s="2" t="str">
        <f t="shared" si="38"/>
        <v>Clean</v>
      </c>
      <c r="AB382" s="2" t="str">
        <f t="shared" si="39"/>
        <v>valid</v>
      </c>
      <c r="AC382">
        <f t="shared" si="47"/>
        <v>0.25</v>
      </c>
      <c r="AD382">
        <f t="shared" si="48"/>
        <v>8384.4375</v>
      </c>
      <c r="AE382">
        <f t="shared" si="49"/>
        <v>3618.4775</v>
      </c>
      <c r="AF382">
        <f t="shared" si="50"/>
        <v>0.43157069272685256</v>
      </c>
      <c r="AG382" t="str">
        <f t="shared" si="51"/>
        <v>April</v>
      </c>
      <c r="AH382">
        <f t="shared" si="52"/>
        <v>2024</v>
      </c>
      <c r="AI382" t="str">
        <f t="shared" si="53"/>
        <v>Clean</v>
      </c>
    </row>
    <row r="383" spans="1:35" ht="15.75" customHeight="1">
      <c r="A383" s="3" t="s">
        <v>1893</v>
      </c>
      <c r="B383" s="3" t="s">
        <v>1894</v>
      </c>
      <c r="C383" s="3" t="s">
        <v>1895</v>
      </c>
      <c r="D383" s="3" t="str">
        <f t="shared" si="34"/>
        <v>23-Sep-2025</v>
      </c>
      <c r="E383" s="3" t="str">
        <f t="shared" si="35"/>
        <v>19-Sep-2025</v>
      </c>
      <c r="F383" s="3">
        <f t="shared" si="36"/>
        <v>4</v>
      </c>
      <c r="G383" s="3" t="s">
        <v>1896</v>
      </c>
      <c r="H383" s="3" t="s">
        <v>69</v>
      </c>
      <c r="I383" s="3" t="s">
        <v>123</v>
      </c>
      <c r="J383" s="3" t="s">
        <v>35</v>
      </c>
      <c r="K383" s="3" t="s">
        <v>515</v>
      </c>
      <c r="L383" s="3" t="s">
        <v>516</v>
      </c>
      <c r="M383" s="3" t="s">
        <v>38</v>
      </c>
      <c r="N383" s="3" t="s">
        <v>206</v>
      </c>
      <c r="O383" s="3" t="s">
        <v>1897</v>
      </c>
      <c r="P383" s="3" t="s">
        <v>75</v>
      </c>
      <c r="Q383" s="3">
        <v>4</v>
      </c>
      <c r="R383" s="3">
        <v>4387.1499999999996</v>
      </c>
      <c r="S383" s="3">
        <v>0.05</v>
      </c>
      <c r="T383" s="3">
        <v>16671.169999999998</v>
      </c>
      <c r="U383" s="3">
        <v>10833.19</v>
      </c>
      <c r="V383" s="3">
        <v>5837.98</v>
      </c>
      <c r="W383" s="3" t="s">
        <v>208</v>
      </c>
      <c r="X383" s="3" t="s">
        <v>86</v>
      </c>
      <c r="Y383" s="2" t="str">
        <f t="shared" si="37"/>
        <v>Unique</v>
      </c>
      <c r="AA383" s="2" t="str">
        <f t="shared" si="38"/>
        <v>Clean</v>
      </c>
      <c r="AB383" s="2" t="str">
        <f t="shared" si="39"/>
        <v>valid</v>
      </c>
      <c r="AC383">
        <f t="shared" si="47"/>
        <v>0.05</v>
      </c>
      <c r="AD383">
        <f t="shared" si="48"/>
        <v>16671.169999999998</v>
      </c>
      <c r="AE383">
        <f t="shared" si="49"/>
        <v>5837.9799999999977</v>
      </c>
      <c r="AF383">
        <f t="shared" si="50"/>
        <v>0.35018418023450054</v>
      </c>
      <c r="AG383" t="str">
        <f t="shared" si="51"/>
        <v>September</v>
      </c>
      <c r="AH383">
        <f t="shared" si="52"/>
        <v>2025</v>
      </c>
      <c r="AI383" t="str">
        <f t="shared" si="53"/>
        <v>Warning</v>
      </c>
    </row>
    <row r="384" spans="1:35" ht="15.75" customHeight="1">
      <c r="A384" s="3" t="s">
        <v>1898</v>
      </c>
      <c r="B384" s="3" t="s">
        <v>1899</v>
      </c>
      <c r="C384" s="3" t="s">
        <v>565</v>
      </c>
      <c r="D384" s="3" t="str">
        <f t="shared" si="34"/>
        <v>03-Aug-2025</v>
      </c>
      <c r="E384" s="3" t="str">
        <f t="shared" si="35"/>
        <v>04-Mar-2025</v>
      </c>
      <c r="F384" s="3">
        <f t="shared" si="36"/>
        <v>152</v>
      </c>
      <c r="G384" s="3" t="s">
        <v>211</v>
      </c>
      <c r="H384" s="3" t="s">
        <v>69</v>
      </c>
      <c r="I384" s="3" t="s">
        <v>49</v>
      </c>
      <c r="J384" s="3" t="s">
        <v>50</v>
      </c>
      <c r="K384" s="3" t="s">
        <v>194</v>
      </c>
      <c r="L384" s="3" t="s">
        <v>195</v>
      </c>
      <c r="M384" s="3" t="s">
        <v>94</v>
      </c>
      <c r="N384" s="3" t="s">
        <v>231</v>
      </c>
      <c r="O384" s="3" t="s">
        <v>1900</v>
      </c>
      <c r="P384" s="3" t="s">
        <v>64</v>
      </c>
      <c r="Q384" s="3">
        <v>3</v>
      </c>
      <c r="R384" s="3">
        <v>4361.8500000000004</v>
      </c>
      <c r="S384" s="3">
        <v>0.2</v>
      </c>
      <c r="T384" s="3">
        <v>10468.44</v>
      </c>
      <c r="U384" s="3">
        <v>8399.8700000000008</v>
      </c>
      <c r="V384" s="3">
        <v>2068.5700000000002</v>
      </c>
      <c r="W384" s="3" t="s">
        <v>42</v>
      </c>
      <c r="X384" s="3" t="s">
        <v>43</v>
      </c>
      <c r="Y384" s="2" t="str">
        <f t="shared" si="37"/>
        <v>Unique</v>
      </c>
      <c r="AA384" s="2" t="str">
        <f t="shared" si="38"/>
        <v>Clean</v>
      </c>
      <c r="AB384" s="2" t="str">
        <f t="shared" si="39"/>
        <v>valid</v>
      </c>
      <c r="AC384">
        <f t="shared" si="47"/>
        <v>0.2</v>
      </c>
      <c r="AD384">
        <f t="shared" si="48"/>
        <v>10468.440000000002</v>
      </c>
      <c r="AE384">
        <f t="shared" si="49"/>
        <v>2068.5700000000015</v>
      </c>
      <c r="AF384">
        <f t="shared" si="50"/>
        <v>0.19760059760575607</v>
      </c>
      <c r="AG384" t="str">
        <f t="shared" si="51"/>
        <v>March</v>
      </c>
      <c r="AH384">
        <f t="shared" si="52"/>
        <v>2025</v>
      </c>
      <c r="AI384" t="str">
        <f t="shared" si="53"/>
        <v>Clean</v>
      </c>
    </row>
    <row r="385" spans="1:35" ht="15.75" customHeight="1">
      <c r="A385" s="3" t="s">
        <v>1901</v>
      </c>
      <c r="B385" s="3" t="s">
        <v>1517</v>
      </c>
      <c r="C385" s="3" t="s">
        <v>1078</v>
      </c>
      <c r="D385" s="3" t="str">
        <f t="shared" si="34"/>
        <v>05-Jul-2025</v>
      </c>
      <c r="E385" s="3" t="str">
        <f t="shared" si="35"/>
        <v>28-Jun-2025</v>
      </c>
      <c r="F385" s="3">
        <f t="shared" si="36"/>
        <v>7</v>
      </c>
      <c r="G385" s="3" t="s">
        <v>1902</v>
      </c>
      <c r="H385" s="3" t="s">
        <v>91</v>
      </c>
      <c r="I385" s="3" t="s">
        <v>116</v>
      </c>
      <c r="J385" s="3" t="s">
        <v>50</v>
      </c>
      <c r="K385" s="3" t="s">
        <v>129</v>
      </c>
      <c r="L385" s="3" t="s">
        <v>130</v>
      </c>
      <c r="M385" s="3" t="s">
        <v>38</v>
      </c>
      <c r="N385" s="3" t="s">
        <v>62</v>
      </c>
      <c r="O385" s="3" t="s">
        <v>1903</v>
      </c>
      <c r="P385" s="3" t="s">
        <v>64</v>
      </c>
      <c r="Q385" s="3">
        <v>2</v>
      </c>
      <c r="R385" s="3">
        <v>2242.75</v>
      </c>
      <c r="S385" s="3">
        <v>0</v>
      </c>
      <c r="T385" s="3">
        <v>4485.5</v>
      </c>
      <c r="U385" s="3">
        <v>3131.86</v>
      </c>
      <c r="V385" s="3">
        <v>1353.64</v>
      </c>
      <c r="W385" s="3" t="s">
        <v>42</v>
      </c>
      <c r="X385" s="3" t="s">
        <v>86</v>
      </c>
      <c r="Y385" s="2" t="str">
        <f t="shared" si="37"/>
        <v>Unique</v>
      </c>
      <c r="AA385" s="2" t="str">
        <f t="shared" si="38"/>
        <v>Clean</v>
      </c>
      <c r="AB385" s="2" t="str">
        <f t="shared" si="39"/>
        <v>valid</v>
      </c>
      <c r="AC385">
        <f t="shared" si="47"/>
        <v>0</v>
      </c>
      <c r="AD385">
        <f t="shared" si="48"/>
        <v>4485.5</v>
      </c>
      <c r="AE385">
        <f t="shared" si="49"/>
        <v>1353.6399999999999</v>
      </c>
      <c r="AF385">
        <f t="shared" si="50"/>
        <v>0.30178129528480657</v>
      </c>
      <c r="AG385" t="str">
        <f t="shared" si="51"/>
        <v>June</v>
      </c>
      <c r="AH385">
        <f t="shared" si="52"/>
        <v>2025</v>
      </c>
      <c r="AI385" t="str">
        <f t="shared" si="53"/>
        <v>Warning</v>
      </c>
    </row>
    <row r="386" spans="1:35" ht="15.75" customHeight="1">
      <c r="A386" s="3" t="s">
        <v>1904</v>
      </c>
      <c r="B386" s="3" t="s">
        <v>1905</v>
      </c>
      <c r="C386" s="3" t="s">
        <v>1906</v>
      </c>
      <c r="D386" s="3" t="str">
        <f t="shared" si="34"/>
        <v>20-Mar-2024</v>
      </c>
      <c r="E386" s="3" t="str">
        <f t="shared" si="35"/>
        <v>15-Mar-2024</v>
      </c>
      <c r="F386" s="3">
        <f t="shared" si="36"/>
        <v>5</v>
      </c>
      <c r="G386" s="3" t="s">
        <v>1907</v>
      </c>
      <c r="H386" s="3" t="s">
        <v>188</v>
      </c>
      <c r="I386" s="3" t="s">
        <v>34</v>
      </c>
      <c r="J386" s="3" t="s">
        <v>50</v>
      </c>
      <c r="K386" s="3" t="s">
        <v>319</v>
      </c>
      <c r="L386" s="3" t="s">
        <v>320</v>
      </c>
      <c r="M386" s="3" t="s">
        <v>94</v>
      </c>
      <c r="N386" s="3" t="s">
        <v>102</v>
      </c>
      <c r="O386" s="3" t="s">
        <v>1908</v>
      </c>
      <c r="P386" s="3" t="s">
        <v>75</v>
      </c>
      <c r="Q386" s="3">
        <v>2</v>
      </c>
      <c r="R386" s="3">
        <v>1881.4</v>
      </c>
      <c r="S386" s="3">
        <v>0.25</v>
      </c>
      <c r="T386" s="3">
        <v>2822.1</v>
      </c>
      <c r="U386" s="3">
        <v>1624.57</v>
      </c>
      <c r="V386" s="3">
        <v>1197.53</v>
      </c>
      <c r="W386" s="3" t="s">
        <v>42</v>
      </c>
      <c r="X386" s="3" t="s">
        <v>133</v>
      </c>
      <c r="Y386" s="2" t="str">
        <f t="shared" si="37"/>
        <v>Unique</v>
      </c>
      <c r="AA386" s="2" t="str">
        <f t="shared" si="38"/>
        <v>Clean</v>
      </c>
      <c r="AB386" s="2" t="str">
        <f t="shared" si="39"/>
        <v>valid</v>
      </c>
      <c r="AC386">
        <f t="shared" si="47"/>
        <v>0.25</v>
      </c>
      <c r="AD386">
        <f t="shared" si="48"/>
        <v>2822.1000000000004</v>
      </c>
      <c r="AE386">
        <f t="shared" si="49"/>
        <v>1197.5300000000004</v>
      </c>
      <c r="AF386">
        <f t="shared" si="50"/>
        <v>0.42434003047376079</v>
      </c>
      <c r="AG386" t="str">
        <f t="shared" si="51"/>
        <v>March</v>
      </c>
      <c r="AH386">
        <f t="shared" si="52"/>
        <v>2024</v>
      </c>
      <c r="AI386" t="str">
        <f t="shared" si="53"/>
        <v>Clean</v>
      </c>
    </row>
    <row r="387" spans="1:35" ht="15.75" customHeight="1">
      <c r="A387" s="3" t="s">
        <v>1909</v>
      </c>
      <c r="B387" s="3" t="s">
        <v>1001</v>
      </c>
      <c r="C387" s="3" t="s">
        <v>1910</v>
      </c>
      <c r="D387" s="3" t="str">
        <f t="shared" si="34"/>
        <v>30-Jun-2025</v>
      </c>
      <c r="E387" s="3" t="str">
        <f t="shared" si="35"/>
        <v>24-Jun-2025</v>
      </c>
      <c r="F387" s="3">
        <f t="shared" si="36"/>
        <v>6</v>
      </c>
      <c r="G387" s="3" t="s">
        <v>1911</v>
      </c>
      <c r="H387" s="3" t="s">
        <v>69</v>
      </c>
      <c r="I387" s="3" t="s">
        <v>34</v>
      </c>
      <c r="J387" s="3" t="s">
        <v>35</v>
      </c>
      <c r="K387" s="3" t="s">
        <v>331</v>
      </c>
      <c r="L387" s="3" t="s">
        <v>332</v>
      </c>
      <c r="M387" s="3" t="s">
        <v>38</v>
      </c>
      <c r="N387" s="3" t="s">
        <v>117</v>
      </c>
      <c r="O387" s="3" t="s">
        <v>1912</v>
      </c>
      <c r="P387" s="3" t="s">
        <v>75</v>
      </c>
      <c r="Q387" s="3">
        <v>6</v>
      </c>
      <c r="R387" s="3">
        <v>365.76</v>
      </c>
      <c r="S387" s="3">
        <v>0.1</v>
      </c>
      <c r="T387" s="3">
        <v>1975.1</v>
      </c>
      <c r="U387" s="3">
        <v>1115.3499999999999</v>
      </c>
      <c r="V387" s="3">
        <v>859.75</v>
      </c>
      <c r="W387" s="3" t="s">
        <v>42</v>
      </c>
      <c r="X387" s="3" t="s">
        <v>43</v>
      </c>
      <c r="Y387" s="2" t="str">
        <f t="shared" si="37"/>
        <v>Unique</v>
      </c>
      <c r="AA387" s="2" t="str">
        <f t="shared" si="38"/>
        <v>Clean</v>
      </c>
      <c r="AB387" s="2" t="str">
        <f t="shared" si="39"/>
        <v>valid</v>
      </c>
      <c r="AC387">
        <f t="shared" ref="AC387:AC450" si="54">IF(S387="",0,IF(S387&gt;1,S387/100,S387))</f>
        <v>0.1</v>
      </c>
      <c r="AD387">
        <f t="shared" ref="AD387:AD450" si="55">Q387*R387*(1-AC387)</f>
        <v>1975.104</v>
      </c>
      <c r="AE387">
        <f t="shared" ref="AE387:AE450" si="56">AD387-U387</f>
        <v>859.75400000000013</v>
      </c>
      <c r="AF387">
        <f t="shared" ref="AF387:AF450" si="57">AE387/AD387</f>
        <v>0.4352955591199249</v>
      </c>
      <c r="AG387" t="str">
        <f t="shared" ref="AG387:AG450" si="58">TEXT(E387,"mmmm")</f>
        <v>June</v>
      </c>
      <c r="AH387">
        <f t="shared" ref="AH387:AH450" si="59">YEAR(E387)</f>
        <v>2025</v>
      </c>
      <c r="AI387" t="str">
        <f t="shared" ref="AI387:AI450" si="60">IF(OR(AC387&lt;0,AC387&gt;0.5,F387="Invalid Shipping Record"),"Invalid",
IF(OR(X387="Cancelled",W387="Failed"),"Warning","Clean"))</f>
        <v>Clean</v>
      </c>
    </row>
    <row r="388" spans="1:35" ht="15.75" customHeight="1">
      <c r="A388" s="3" t="s">
        <v>1913</v>
      </c>
      <c r="B388" s="3" t="s">
        <v>1396</v>
      </c>
      <c r="C388" s="3" t="s">
        <v>1914</v>
      </c>
      <c r="D388" s="3" t="str">
        <f t="shared" si="34"/>
        <v>14-Feb-2025</v>
      </c>
      <c r="E388" s="3" t="str">
        <f t="shared" si="35"/>
        <v>02-Dec-2025</v>
      </c>
      <c r="F388" s="3">
        <f t="shared" si="36"/>
        <v>-291</v>
      </c>
      <c r="G388" s="3" t="s">
        <v>1915</v>
      </c>
      <c r="H388" s="3" t="s">
        <v>176</v>
      </c>
      <c r="I388" s="3" t="s">
        <v>34</v>
      </c>
      <c r="J388" s="3" t="s">
        <v>81</v>
      </c>
      <c r="K388" s="3" t="s">
        <v>82</v>
      </c>
      <c r="L388" s="3" t="s">
        <v>83</v>
      </c>
      <c r="M388" s="3" t="s">
        <v>53</v>
      </c>
      <c r="N388" s="3" t="s">
        <v>73</v>
      </c>
      <c r="O388" s="3" t="s">
        <v>1916</v>
      </c>
      <c r="P388" s="3" t="s">
        <v>41</v>
      </c>
      <c r="Q388" s="3">
        <v>8</v>
      </c>
      <c r="R388" s="3">
        <v>2786.66</v>
      </c>
      <c r="S388" s="3">
        <v>0.1</v>
      </c>
      <c r="T388" s="3">
        <v>20063.95</v>
      </c>
      <c r="U388" s="3">
        <v>14363.38</v>
      </c>
      <c r="V388" s="3">
        <v>5700.57</v>
      </c>
      <c r="W388" s="3" t="s">
        <v>42</v>
      </c>
      <c r="X388" s="3" t="s">
        <v>43</v>
      </c>
      <c r="Y388" s="2" t="str">
        <f t="shared" si="37"/>
        <v>Unique</v>
      </c>
      <c r="AA388" s="2" t="str">
        <f t="shared" si="38"/>
        <v>Clean</v>
      </c>
      <c r="AB388" s="2" t="str">
        <f t="shared" si="39"/>
        <v>Invalid</v>
      </c>
      <c r="AC388">
        <f t="shared" si="54"/>
        <v>0.1</v>
      </c>
      <c r="AD388">
        <f t="shared" si="55"/>
        <v>20063.952000000001</v>
      </c>
      <c r="AE388">
        <f t="shared" si="56"/>
        <v>5700.5720000000019</v>
      </c>
      <c r="AF388">
        <f t="shared" si="57"/>
        <v>0.2841200975759911</v>
      </c>
      <c r="AG388" t="str">
        <f t="shared" si="58"/>
        <v>December</v>
      </c>
      <c r="AH388">
        <f t="shared" si="59"/>
        <v>2025</v>
      </c>
      <c r="AI388" t="str">
        <f t="shared" si="60"/>
        <v>Clean</v>
      </c>
    </row>
    <row r="389" spans="1:35" ht="15.75" customHeight="1">
      <c r="A389" s="3" t="s">
        <v>1917</v>
      </c>
      <c r="B389" s="3" t="s">
        <v>949</v>
      </c>
      <c r="C389" s="3" t="s">
        <v>1121</v>
      </c>
      <c r="D389" s="3" t="str">
        <f t="shared" si="34"/>
        <v>13-Aug-2025</v>
      </c>
      <c r="E389" s="3" t="str">
        <f t="shared" si="35"/>
        <v>10-Aug-2025</v>
      </c>
      <c r="F389" s="3">
        <f t="shared" si="36"/>
        <v>3</v>
      </c>
      <c r="G389" s="3" t="s">
        <v>1918</v>
      </c>
      <c r="H389" s="3" t="s">
        <v>150</v>
      </c>
      <c r="I389" s="3" t="s">
        <v>49</v>
      </c>
      <c r="J389" s="3" t="s">
        <v>81</v>
      </c>
      <c r="K389" s="3" t="s">
        <v>92</v>
      </c>
      <c r="L389" s="3" t="s">
        <v>93</v>
      </c>
      <c r="M389" s="3" t="s">
        <v>53</v>
      </c>
      <c r="N389" s="3" t="s">
        <v>84</v>
      </c>
      <c r="O389" s="3" t="s">
        <v>1919</v>
      </c>
      <c r="P389" s="3" t="s">
        <v>75</v>
      </c>
      <c r="Q389" s="3">
        <v>5</v>
      </c>
      <c r="R389" s="3">
        <v>352.86</v>
      </c>
      <c r="S389" s="3">
        <v>0</v>
      </c>
      <c r="T389" s="3">
        <v>1764.3</v>
      </c>
      <c r="U389" s="3">
        <v>1332.49</v>
      </c>
      <c r="V389" s="3">
        <v>431.81</v>
      </c>
      <c r="W389" s="3" t="s">
        <v>145</v>
      </c>
      <c r="X389" s="3" t="s">
        <v>86</v>
      </c>
      <c r="Y389" s="2" t="str">
        <f t="shared" si="37"/>
        <v>Unique</v>
      </c>
      <c r="AA389" s="2" t="str">
        <f t="shared" si="38"/>
        <v>Clean</v>
      </c>
      <c r="AB389" s="2" t="str">
        <f t="shared" si="39"/>
        <v>valid</v>
      </c>
      <c r="AC389">
        <f t="shared" si="54"/>
        <v>0</v>
      </c>
      <c r="AD389">
        <f t="shared" si="55"/>
        <v>1764.3000000000002</v>
      </c>
      <c r="AE389">
        <f t="shared" si="56"/>
        <v>431.81000000000017</v>
      </c>
      <c r="AF389">
        <f t="shared" si="57"/>
        <v>0.24474862551720236</v>
      </c>
      <c r="AG389" t="str">
        <f t="shared" si="58"/>
        <v>August</v>
      </c>
      <c r="AH389">
        <f t="shared" si="59"/>
        <v>2025</v>
      </c>
      <c r="AI389" t="str">
        <f t="shared" si="60"/>
        <v>Warning</v>
      </c>
    </row>
    <row r="390" spans="1:35" ht="15.75" customHeight="1">
      <c r="A390" s="3" t="s">
        <v>1920</v>
      </c>
      <c r="B390" s="3" t="s">
        <v>1921</v>
      </c>
      <c r="C390" s="3" t="s">
        <v>1922</v>
      </c>
      <c r="D390" s="3" t="str">
        <f t="shared" si="34"/>
        <v>18-May-2024</v>
      </c>
      <c r="E390" s="3" t="str">
        <f t="shared" si="35"/>
        <v>13-May-2024</v>
      </c>
      <c r="F390" s="3">
        <f t="shared" si="36"/>
        <v>5</v>
      </c>
      <c r="G390" s="3" t="s">
        <v>1923</v>
      </c>
      <c r="H390" s="3" t="s">
        <v>61</v>
      </c>
      <c r="I390" s="3" t="s">
        <v>49</v>
      </c>
      <c r="J390" s="3" t="s">
        <v>81</v>
      </c>
      <c r="K390" s="3" t="s">
        <v>243</v>
      </c>
      <c r="L390" s="3" t="s">
        <v>244</v>
      </c>
      <c r="M390" s="3" t="s">
        <v>53</v>
      </c>
      <c r="N390" s="3" t="s">
        <v>84</v>
      </c>
      <c r="O390" s="3" t="s">
        <v>1924</v>
      </c>
      <c r="P390" s="3" t="s">
        <v>75</v>
      </c>
      <c r="Q390" s="3">
        <v>3</v>
      </c>
      <c r="R390" s="3">
        <v>3128.59</v>
      </c>
      <c r="S390" s="3">
        <v>0</v>
      </c>
      <c r="T390" s="3">
        <v>9385.77</v>
      </c>
      <c r="U390" s="3">
        <v>6872.44</v>
      </c>
      <c r="V390" s="3">
        <v>2783.66</v>
      </c>
      <c r="W390" s="3" t="s">
        <v>42</v>
      </c>
      <c r="X390" s="3" t="s">
        <v>43</v>
      </c>
      <c r="Y390" s="2" t="str">
        <f t="shared" si="37"/>
        <v>Unique</v>
      </c>
      <c r="AA390" s="2" t="str">
        <f t="shared" si="38"/>
        <v>Clean</v>
      </c>
      <c r="AB390" s="2" t="str">
        <f t="shared" si="39"/>
        <v>valid</v>
      </c>
      <c r="AC390">
        <f t="shared" si="54"/>
        <v>0</v>
      </c>
      <c r="AD390">
        <f t="shared" si="55"/>
        <v>9385.77</v>
      </c>
      <c r="AE390">
        <f t="shared" si="56"/>
        <v>2513.3300000000008</v>
      </c>
      <c r="AF390">
        <f t="shared" si="57"/>
        <v>0.26778090662779941</v>
      </c>
      <c r="AG390" t="str">
        <f t="shared" si="58"/>
        <v>May</v>
      </c>
      <c r="AH390">
        <f t="shared" si="59"/>
        <v>2024</v>
      </c>
      <c r="AI390" t="str">
        <f t="shared" si="60"/>
        <v>Clean</v>
      </c>
    </row>
    <row r="391" spans="1:35" ht="15.75" customHeight="1">
      <c r="A391" s="3" t="s">
        <v>1925</v>
      </c>
      <c r="B391" s="3" t="s">
        <v>1926</v>
      </c>
      <c r="C391" s="3" t="s">
        <v>357</v>
      </c>
      <c r="D391" s="3" t="str">
        <f t="shared" si="34"/>
        <v>13-Apr-2024</v>
      </c>
      <c r="E391" s="3" t="str">
        <f t="shared" si="35"/>
        <v>05-Apr-2024</v>
      </c>
      <c r="F391" s="3">
        <f t="shared" si="36"/>
        <v>8</v>
      </c>
      <c r="G391" s="3" t="s">
        <v>1927</v>
      </c>
      <c r="H391" s="3" t="s">
        <v>218</v>
      </c>
      <c r="I391" s="3" t="s">
        <v>116</v>
      </c>
      <c r="J391" s="3" t="s">
        <v>81</v>
      </c>
      <c r="K391" s="3" t="s">
        <v>243</v>
      </c>
      <c r="L391" s="3" t="s">
        <v>244</v>
      </c>
      <c r="M391" s="3" t="s">
        <v>94</v>
      </c>
      <c r="N391" s="3" t="s">
        <v>391</v>
      </c>
      <c r="O391" s="3" t="s">
        <v>1928</v>
      </c>
      <c r="P391" s="3" t="s">
        <v>41</v>
      </c>
      <c r="Q391" s="3">
        <v>5</v>
      </c>
      <c r="R391" s="3">
        <v>1937.54</v>
      </c>
      <c r="S391" s="3">
        <v>0.2</v>
      </c>
      <c r="T391" s="3">
        <v>7750.16</v>
      </c>
      <c r="U391" s="3">
        <v>5434.3</v>
      </c>
      <c r="V391" s="3">
        <v>2315.86</v>
      </c>
      <c r="W391" s="3" t="s">
        <v>145</v>
      </c>
      <c r="X391" s="3" t="s">
        <v>86</v>
      </c>
      <c r="Y391" s="2" t="str">
        <f t="shared" si="37"/>
        <v>Unique</v>
      </c>
      <c r="AA391" s="2" t="str">
        <f t="shared" si="38"/>
        <v>Clean</v>
      </c>
      <c r="AB391" s="2" t="str">
        <f t="shared" si="39"/>
        <v>valid</v>
      </c>
      <c r="AC391">
        <f t="shared" si="54"/>
        <v>0.2</v>
      </c>
      <c r="AD391">
        <f t="shared" si="55"/>
        <v>7750.1600000000008</v>
      </c>
      <c r="AE391">
        <f t="shared" si="56"/>
        <v>2315.8600000000006</v>
      </c>
      <c r="AF391">
        <f t="shared" si="57"/>
        <v>0.29881447608823564</v>
      </c>
      <c r="AG391" t="str">
        <f t="shared" si="58"/>
        <v>April</v>
      </c>
      <c r="AH391">
        <f t="shared" si="59"/>
        <v>2024</v>
      </c>
      <c r="AI391" t="str">
        <f t="shared" si="60"/>
        <v>Warning</v>
      </c>
    </row>
    <row r="392" spans="1:35" ht="15.75" customHeight="1">
      <c r="A392" s="3" t="s">
        <v>1929</v>
      </c>
      <c r="B392" s="3" t="s">
        <v>1930</v>
      </c>
      <c r="C392" s="3" t="s">
        <v>493</v>
      </c>
      <c r="D392" s="3" t="str">
        <f t="shared" si="34"/>
        <v>11-Nov-2024</v>
      </c>
      <c r="E392" s="3" t="str">
        <f t="shared" si="35"/>
        <v>06-Nov-2024</v>
      </c>
      <c r="F392" s="3">
        <f t="shared" si="36"/>
        <v>5</v>
      </c>
      <c r="G392" s="3" t="s">
        <v>1931</v>
      </c>
      <c r="H392" s="3" t="s">
        <v>61</v>
      </c>
      <c r="I392" s="3" t="s">
        <v>34</v>
      </c>
      <c r="J392" s="3" t="s">
        <v>81</v>
      </c>
      <c r="K392" s="3" t="s">
        <v>243</v>
      </c>
      <c r="L392" s="3" t="s">
        <v>244</v>
      </c>
      <c r="M392" s="3" t="s">
        <v>53</v>
      </c>
      <c r="N392" s="3" t="s">
        <v>73</v>
      </c>
      <c r="O392" s="3" t="s">
        <v>1932</v>
      </c>
      <c r="P392" s="3" t="s">
        <v>75</v>
      </c>
      <c r="Q392" s="3">
        <v>4</v>
      </c>
      <c r="R392" s="3">
        <v>1917.26</v>
      </c>
      <c r="S392" s="3">
        <v>0.2</v>
      </c>
      <c r="T392" s="3">
        <v>6135.23</v>
      </c>
      <c r="U392" s="3">
        <v>3439.79</v>
      </c>
      <c r="V392" s="3">
        <v>2695.44</v>
      </c>
      <c r="W392" s="3" t="s">
        <v>42</v>
      </c>
      <c r="X392" s="3" t="s">
        <v>43</v>
      </c>
      <c r="Y392" s="2" t="str">
        <f t="shared" si="37"/>
        <v>Unique</v>
      </c>
      <c r="AA392" s="2" t="str">
        <f t="shared" si="38"/>
        <v>Clean</v>
      </c>
      <c r="AB392" s="2" t="str">
        <f t="shared" si="39"/>
        <v>valid</v>
      </c>
      <c r="AC392">
        <f t="shared" si="54"/>
        <v>0.2</v>
      </c>
      <c r="AD392">
        <f t="shared" si="55"/>
        <v>6135.232</v>
      </c>
      <c r="AE392">
        <f t="shared" si="56"/>
        <v>2695.442</v>
      </c>
      <c r="AF392">
        <f t="shared" si="57"/>
        <v>0.43933823529411764</v>
      </c>
      <c r="AG392" t="str">
        <f t="shared" si="58"/>
        <v>November</v>
      </c>
      <c r="AH392">
        <f t="shared" si="59"/>
        <v>2024</v>
      </c>
      <c r="AI392" t="str">
        <f t="shared" si="60"/>
        <v>Clean</v>
      </c>
    </row>
    <row r="393" spans="1:35" ht="15.75" customHeight="1">
      <c r="A393" s="3" t="s">
        <v>1933</v>
      </c>
      <c r="B393" s="3" t="s">
        <v>1914</v>
      </c>
      <c r="C393" s="3" t="s">
        <v>1934</v>
      </c>
      <c r="D393" s="3" t="str">
        <f t="shared" si="34"/>
        <v>14-Feb-2025</v>
      </c>
      <c r="E393" s="3" t="str">
        <f t="shared" si="35"/>
        <v>14-Feb-2025</v>
      </c>
      <c r="F393" s="3">
        <f t="shared" si="36"/>
        <v>0</v>
      </c>
      <c r="G393" s="3" t="s">
        <v>1935</v>
      </c>
      <c r="H393" s="3" t="s">
        <v>218</v>
      </c>
      <c r="I393" s="3" t="s">
        <v>34</v>
      </c>
      <c r="J393" s="3" t="s">
        <v>70</v>
      </c>
      <c r="K393" s="3" t="s">
        <v>237</v>
      </c>
      <c r="L393" s="3" t="s">
        <v>238</v>
      </c>
      <c r="M393" s="3" t="s">
        <v>38</v>
      </c>
      <c r="N393" s="3" t="s">
        <v>164</v>
      </c>
      <c r="O393" s="3" t="s">
        <v>1936</v>
      </c>
      <c r="P393" s="3" t="s">
        <v>64</v>
      </c>
      <c r="Q393" s="3">
        <v>1</v>
      </c>
      <c r="R393" s="3">
        <v>714.43</v>
      </c>
      <c r="S393" s="3">
        <v>0</v>
      </c>
      <c r="T393" s="3">
        <v>714.43</v>
      </c>
      <c r="U393" s="3">
        <v>565.44000000000005</v>
      </c>
      <c r="V393" s="3">
        <v>148.99</v>
      </c>
      <c r="W393" s="3" t="s">
        <v>42</v>
      </c>
      <c r="X393" s="3" t="s">
        <v>43</v>
      </c>
      <c r="Y393" s="2" t="str">
        <f t="shared" si="37"/>
        <v>Unique</v>
      </c>
      <c r="AA393" s="2" t="str">
        <f t="shared" si="38"/>
        <v>Clean</v>
      </c>
      <c r="AB393" s="2" t="str">
        <f t="shared" si="39"/>
        <v>valid</v>
      </c>
      <c r="AC393">
        <f t="shared" si="54"/>
        <v>0</v>
      </c>
      <c r="AD393">
        <f t="shared" si="55"/>
        <v>714.43</v>
      </c>
      <c r="AE393">
        <f t="shared" si="56"/>
        <v>148.9899999999999</v>
      </c>
      <c r="AF393">
        <f t="shared" si="57"/>
        <v>0.20854387413742412</v>
      </c>
      <c r="AG393" t="str">
        <f t="shared" si="58"/>
        <v>February</v>
      </c>
      <c r="AH393">
        <f t="shared" si="59"/>
        <v>2025</v>
      </c>
      <c r="AI393" t="str">
        <f t="shared" si="60"/>
        <v>Clean</v>
      </c>
    </row>
    <row r="394" spans="1:35" ht="15.75" customHeight="1">
      <c r="A394" s="3" t="s">
        <v>1937</v>
      </c>
      <c r="B394" s="3" t="s">
        <v>1938</v>
      </c>
      <c r="C394" s="3" t="s">
        <v>1939</v>
      </c>
      <c r="D394" s="3" t="str">
        <f t="shared" si="34"/>
        <v>22-Feb-2024</v>
      </c>
      <c r="E394" s="3" t="str">
        <f t="shared" si="35"/>
        <v>19-Feb-2024</v>
      </c>
      <c r="F394" s="3">
        <f t="shared" si="36"/>
        <v>3</v>
      </c>
      <c r="G394" s="3" t="s">
        <v>1940</v>
      </c>
      <c r="H394" s="3" t="s">
        <v>115</v>
      </c>
      <c r="I394" s="3" t="s">
        <v>49</v>
      </c>
      <c r="J394" s="3" t="s">
        <v>70</v>
      </c>
      <c r="K394" s="3" t="s">
        <v>250</v>
      </c>
      <c r="L394" s="3" t="s">
        <v>251</v>
      </c>
      <c r="M394" s="3" t="s">
        <v>53</v>
      </c>
      <c r="N394" s="3" t="s">
        <v>73</v>
      </c>
      <c r="O394" s="3" t="s">
        <v>1941</v>
      </c>
      <c r="P394" s="3" t="s">
        <v>56</v>
      </c>
      <c r="Q394" s="3">
        <v>9</v>
      </c>
      <c r="R394" s="3">
        <v>4053.01</v>
      </c>
      <c r="S394" s="3">
        <v>0</v>
      </c>
      <c r="T394" s="3">
        <v>36477.089999999997</v>
      </c>
      <c r="U394" s="3">
        <v>24525.48</v>
      </c>
      <c r="V394" s="3">
        <v>11951.61</v>
      </c>
      <c r="W394" s="3" t="s">
        <v>42</v>
      </c>
      <c r="X394" s="3" t="s">
        <v>43</v>
      </c>
      <c r="Y394" s="2" t="str">
        <f t="shared" si="37"/>
        <v>Unique</v>
      </c>
      <c r="AA394" s="2" t="str">
        <f t="shared" si="38"/>
        <v>Clean</v>
      </c>
      <c r="AB394" s="2" t="str">
        <f t="shared" si="39"/>
        <v>valid</v>
      </c>
      <c r="AC394">
        <f t="shared" si="54"/>
        <v>0</v>
      </c>
      <c r="AD394">
        <f t="shared" si="55"/>
        <v>36477.090000000004</v>
      </c>
      <c r="AE394">
        <f t="shared" si="56"/>
        <v>11951.610000000004</v>
      </c>
      <c r="AF394">
        <f t="shared" si="57"/>
        <v>0.32764702447481425</v>
      </c>
      <c r="AG394" t="str">
        <f t="shared" si="58"/>
        <v>February</v>
      </c>
      <c r="AH394">
        <f t="shared" si="59"/>
        <v>2024</v>
      </c>
      <c r="AI394" t="str">
        <f t="shared" si="60"/>
        <v>Clean</v>
      </c>
    </row>
    <row r="395" spans="1:35" ht="15.75" customHeight="1">
      <c r="A395" s="3" t="s">
        <v>1942</v>
      </c>
      <c r="B395" s="3" t="s">
        <v>1943</v>
      </c>
      <c r="C395" s="3" t="s">
        <v>1944</v>
      </c>
      <c r="D395" s="3" t="str">
        <f t="shared" si="34"/>
        <v>29-Aug-2024</v>
      </c>
      <c r="E395" s="3" t="str">
        <f t="shared" si="35"/>
        <v>23-Aug-2024</v>
      </c>
      <c r="F395" s="3">
        <f t="shared" si="36"/>
        <v>6</v>
      </c>
      <c r="G395" s="3" t="s">
        <v>1945</v>
      </c>
      <c r="H395" s="3" t="s">
        <v>48</v>
      </c>
      <c r="I395" s="3" t="s">
        <v>116</v>
      </c>
      <c r="J395" s="3" t="s">
        <v>35</v>
      </c>
      <c r="K395" s="3" t="s">
        <v>182</v>
      </c>
      <c r="L395" s="3" t="s">
        <v>183</v>
      </c>
      <c r="M395" s="3" t="s">
        <v>38</v>
      </c>
      <c r="N395" s="3" t="s">
        <v>117</v>
      </c>
      <c r="O395" s="3" t="s">
        <v>1946</v>
      </c>
      <c r="P395" s="3" t="s">
        <v>56</v>
      </c>
      <c r="Q395" s="3">
        <v>2</v>
      </c>
      <c r="R395" s="3">
        <v>1936.91</v>
      </c>
      <c r="S395" s="3">
        <v>0.05</v>
      </c>
      <c r="T395" s="3">
        <v>3680.13</v>
      </c>
      <c r="U395" s="3">
        <v>2967.46</v>
      </c>
      <c r="V395" s="3">
        <v>712.67</v>
      </c>
      <c r="W395" s="3" t="s">
        <v>42</v>
      </c>
      <c r="X395" s="3" t="s">
        <v>43</v>
      </c>
      <c r="Y395" s="2" t="str">
        <f t="shared" si="37"/>
        <v>Unique</v>
      </c>
      <c r="AA395" s="2" t="str">
        <f t="shared" si="38"/>
        <v>Clean</v>
      </c>
      <c r="AB395" s="2" t="str">
        <f t="shared" si="39"/>
        <v>valid</v>
      </c>
      <c r="AC395">
        <f t="shared" si="54"/>
        <v>0.05</v>
      </c>
      <c r="AD395">
        <f t="shared" si="55"/>
        <v>3680.1289999999999</v>
      </c>
      <c r="AE395">
        <f t="shared" si="56"/>
        <v>712.66899999999987</v>
      </c>
      <c r="AF395">
        <f t="shared" si="57"/>
        <v>0.19365326595888346</v>
      </c>
      <c r="AG395" t="str">
        <f t="shared" si="58"/>
        <v>August</v>
      </c>
      <c r="AH395">
        <f t="shared" si="59"/>
        <v>2024</v>
      </c>
      <c r="AI395" t="str">
        <f t="shared" si="60"/>
        <v>Clean</v>
      </c>
    </row>
    <row r="396" spans="1:35" ht="15.75" customHeight="1">
      <c r="A396" s="3" t="s">
        <v>1947</v>
      </c>
      <c r="B396" s="3" t="s">
        <v>1948</v>
      </c>
      <c r="C396" s="3" t="s">
        <v>1949</v>
      </c>
      <c r="D396" s="3" t="str">
        <f t="shared" si="34"/>
        <v>04-Apr-2024</v>
      </c>
      <c r="E396" s="3" t="str">
        <f t="shared" si="35"/>
        <v>03-Apr-2024</v>
      </c>
      <c r="F396" s="3">
        <f t="shared" si="36"/>
        <v>1</v>
      </c>
      <c r="G396" s="3" t="s">
        <v>1950</v>
      </c>
      <c r="H396" s="3" t="s">
        <v>375</v>
      </c>
      <c r="I396" s="3" t="s">
        <v>34</v>
      </c>
      <c r="J396" s="3" t="s">
        <v>81</v>
      </c>
      <c r="K396" s="3" t="s">
        <v>82</v>
      </c>
      <c r="L396" s="3" t="s">
        <v>83</v>
      </c>
      <c r="M396" s="3" t="s">
        <v>53</v>
      </c>
      <c r="N396" s="3" t="s">
        <v>73</v>
      </c>
      <c r="O396" s="3" t="s">
        <v>1951</v>
      </c>
      <c r="P396" s="3" t="s">
        <v>64</v>
      </c>
      <c r="Q396" s="3">
        <v>7</v>
      </c>
      <c r="R396" s="3">
        <v>3945.21</v>
      </c>
      <c r="S396" s="3">
        <v>0</v>
      </c>
      <c r="T396" s="3">
        <v>27616.47</v>
      </c>
      <c r="U396" s="3">
        <v>21225.26</v>
      </c>
      <c r="V396" s="3">
        <v>6391.21</v>
      </c>
      <c r="W396" s="3" t="s">
        <v>42</v>
      </c>
      <c r="X396" s="3" t="s">
        <v>43</v>
      </c>
      <c r="Y396" s="2" t="str">
        <f t="shared" si="37"/>
        <v>Unique</v>
      </c>
      <c r="AA396" s="2" t="str">
        <f t="shared" si="38"/>
        <v>Clean</v>
      </c>
      <c r="AB396" s="2" t="str">
        <f t="shared" si="39"/>
        <v>valid</v>
      </c>
      <c r="AC396">
        <f t="shared" si="54"/>
        <v>0</v>
      </c>
      <c r="AD396">
        <f t="shared" si="55"/>
        <v>27616.47</v>
      </c>
      <c r="AE396">
        <f t="shared" si="56"/>
        <v>6391.2100000000028</v>
      </c>
      <c r="AF396">
        <f t="shared" si="57"/>
        <v>0.23142747787823725</v>
      </c>
      <c r="AG396" t="str">
        <f t="shared" si="58"/>
        <v>April</v>
      </c>
      <c r="AH396">
        <f t="shared" si="59"/>
        <v>2024</v>
      </c>
      <c r="AI396" t="str">
        <f t="shared" si="60"/>
        <v>Clean</v>
      </c>
    </row>
    <row r="397" spans="1:35" ht="15.75" customHeight="1">
      <c r="A397" s="3" t="s">
        <v>1952</v>
      </c>
      <c r="B397" s="3" t="s">
        <v>1070</v>
      </c>
      <c r="C397" s="3" t="s">
        <v>1752</v>
      </c>
      <c r="D397" s="3" t="str">
        <f t="shared" si="34"/>
        <v>06-Jul-2024</v>
      </c>
      <c r="E397" s="3" t="str">
        <f t="shared" si="35"/>
        <v>06-Jun-2024</v>
      </c>
      <c r="F397" s="3">
        <f t="shared" si="36"/>
        <v>30</v>
      </c>
      <c r="G397" s="3" t="s">
        <v>1953</v>
      </c>
      <c r="H397" s="3" t="s">
        <v>156</v>
      </c>
      <c r="I397" s="3" t="s">
        <v>123</v>
      </c>
      <c r="J397" s="3" t="s">
        <v>70</v>
      </c>
      <c r="K397" s="3" t="s">
        <v>347</v>
      </c>
      <c r="L397" s="3" t="s">
        <v>348</v>
      </c>
      <c r="M397" s="3" t="s">
        <v>53</v>
      </c>
      <c r="N397" s="3" t="s">
        <v>54</v>
      </c>
      <c r="O397" s="3" t="s">
        <v>1954</v>
      </c>
      <c r="P397" s="3" t="s">
        <v>56</v>
      </c>
      <c r="Q397" s="3">
        <v>7</v>
      </c>
      <c r="R397" s="3">
        <v>861.91</v>
      </c>
      <c r="S397" s="3">
        <v>0.05</v>
      </c>
      <c r="T397" s="3">
        <v>5731.7</v>
      </c>
      <c r="U397" s="3">
        <v>4115.5600000000004</v>
      </c>
      <c r="V397" s="3">
        <v>1616.14</v>
      </c>
      <c r="W397" s="3" t="s">
        <v>42</v>
      </c>
      <c r="X397" s="3" t="s">
        <v>43</v>
      </c>
      <c r="Y397" s="2" t="str">
        <f t="shared" si="37"/>
        <v>Unique</v>
      </c>
      <c r="AA397" s="2" t="str">
        <f t="shared" si="38"/>
        <v>Clean</v>
      </c>
      <c r="AB397" s="2" t="str">
        <f t="shared" si="39"/>
        <v>valid</v>
      </c>
      <c r="AC397">
        <f t="shared" si="54"/>
        <v>0.05</v>
      </c>
      <c r="AD397">
        <f t="shared" si="55"/>
        <v>5731.7014999999992</v>
      </c>
      <c r="AE397">
        <f t="shared" si="56"/>
        <v>1616.1414999999988</v>
      </c>
      <c r="AF397">
        <f t="shared" si="57"/>
        <v>0.28196539893084088</v>
      </c>
      <c r="AG397" t="str">
        <f t="shared" si="58"/>
        <v>June</v>
      </c>
      <c r="AH397">
        <f t="shared" si="59"/>
        <v>2024</v>
      </c>
      <c r="AI397" t="str">
        <f t="shared" si="60"/>
        <v>Clean</v>
      </c>
    </row>
    <row r="398" spans="1:35" ht="15.75" customHeight="1">
      <c r="A398" s="3" t="s">
        <v>1955</v>
      </c>
      <c r="B398" s="3" t="s">
        <v>1956</v>
      </c>
      <c r="C398" s="3" t="s">
        <v>1957</v>
      </c>
      <c r="D398" s="3" t="str">
        <f t="shared" si="34"/>
        <v>22-Apr-2025</v>
      </c>
      <c r="E398" s="3" t="str">
        <f t="shared" si="35"/>
        <v>14-Apr-2025</v>
      </c>
      <c r="F398" s="3">
        <f t="shared" si="36"/>
        <v>8</v>
      </c>
      <c r="G398" s="3" t="s">
        <v>1958</v>
      </c>
      <c r="H398" s="3" t="s">
        <v>115</v>
      </c>
      <c r="I398" s="3" t="s">
        <v>49</v>
      </c>
      <c r="J398" s="3" t="s">
        <v>70</v>
      </c>
      <c r="K398" s="3" t="s">
        <v>237</v>
      </c>
      <c r="L398" s="3" t="s">
        <v>238</v>
      </c>
      <c r="M398" s="3" t="s">
        <v>94</v>
      </c>
      <c r="N398" s="3" t="s">
        <v>391</v>
      </c>
      <c r="O398" s="3" t="s">
        <v>1959</v>
      </c>
      <c r="P398" s="3" t="s">
        <v>75</v>
      </c>
      <c r="Q398" s="3">
        <v>2</v>
      </c>
      <c r="R398" s="3">
        <v>638.73</v>
      </c>
      <c r="S398" s="3">
        <v>0.05</v>
      </c>
      <c r="T398" s="3">
        <v>1213.5899999999999</v>
      </c>
      <c r="U398" s="3">
        <v>956.22</v>
      </c>
      <c r="V398" s="3">
        <v>257.37</v>
      </c>
      <c r="W398" s="3" t="s">
        <v>42</v>
      </c>
      <c r="X398" s="3" t="s">
        <v>43</v>
      </c>
      <c r="Y398" s="2" t="str">
        <f t="shared" si="37"/>
        <v>Unique</v>
      </c>
      <c r="AA398" s="2" t="str">
        <f t="shared" si="38"/>
        <v>Clean</v>
      </c>
      <c r="AB398" s="2" t="str">
        <f t="shared" si="39"/>
        <v>valid</v>
      </c>
      <c r="AC398">
        <f t="shared" si="54"/>
        <v>0.05</v>
      </c>
      <c r="AD398">
        <f t="shared" si="55"/>
        <v>1213.587</v>
      </c>
      <c r="AE398">
        <f t="shared" si="56"/>
        <v>257.36699999999996</v>
      </c>
      <c r="AF398">
        <f t="shared" si="57"/>
        <v>0.21207132245154239</v>
      </c>
      <c r="AG398" t="str">
        <f t="shared" si="58"/>
        <v>April</v>
      </c>
      <c r="AH398">
        <f t="shared" si="59"/>
        <v>2025</v>
      </c>
      <c r="AI398" t="str">
        <f t="shared" si="60"/>
        <v>Clean</v>
      </c>
    </row>
    <row r="399" spans="1:35" ht="15.75" customHeight="1">
      <c r="A399" s="3" t="s">
        <v>1960</v>
      </c>
      <c r="B399" s="3" t="s">
        <v>1961</v>
      </c>
      <c r="C399" s="3" t="s">
        <v>1962</v>
      </c>
      <c r="D399" s="3" t="str">
        <f t="shared" si="34"/>
        <v>10-Jun-2025</v>
      </c>
      <c r="E399" s="3" t="str">
        <f t="shared" si="35"/>
        <v>09-Jun-2025</v>
      </c>
      <c r="F399" s="3">
        <f t="shared" si="36"/>
        <v>1</v>
      </c>
      <c r="G399" s="3" t="s">
        <v>1963</v>
      </c>
      <c r="H399" s="3" t="s">
        <v>176</v>
      </c>
      <c r="I399" s="3" t="s">
        <v>49</v>
      </c>
      <c r="J399" s="3" t="s">
        <v>35</v>
      </c>
      <c r="K399" s="3" t="s">
        <v>182</v>
      </c>
      <c r="L399" s="3" t="s">
        <v>183</v>
      </c>
      <c r="M399" s="3" t="s">
        <v>53</v>
      </c>
      <c r="N399" s="3" t="s">
        <v>54</v>
      </c>
      <c r="O399" s="3" t="s">
        <v>1964</v>
      </c>
      <c r="P399" s="3" t="s">
        <v>41</v>
      </c>
      <c r="Q399" s="3">
        <v>2</v>
      </c>
      <c r="R399" s="3">
        <v>1731.88</v>
      </c>
      <c r="S399" s="3">
        <v>0</v>
      </c>
      <c r="T399" s="3">
        <v>3463.76</v>
      </c>
      <c r="U399" s="3">
        <v>2143.7399999999998</v>
      </c>
      <c r="V399" s="3">
        <v>1320.02</v>
      </c>
      <c r="W399" s="3" t="s">
        <v>42</v>
      </c>
      <c r="X399" s="3" t="s">
        <v>43</v>
      </c>
      <c r="Y399" s="2" t="str">
        <f t="shared" si="37"/>
        <v>Unique</v>
      </c>
      <c r="AA399" s="2" t="str">
        <f t="shared" si="38"/>
        <v>Clean</v>
      </c>
      <c r="AB399" s="2" t="str">
        <f t="shared" si="39"/>
        <v>valid</v>
      </c>
      <c r="AC399">
        <f t="shared" si="54"/>
        <v>0</v>
      </c>
      <c r="AD399">
        <f t="shared" si="55"/>
        <v>3463.76</v>
      </c>
      <c r="AE399">
        <f t="shared" si="56"/>
        <v>1320.0200000000004</v>
      </c>
      <c r="AF399">
        <f t="shared" si="57"/>
        <v>0.38109453310852959</v>
      </c>
      <c r="AG399" t="str">
        <f t="shared" si="58"/>
        <v>June</v>
      </c>
      <c r="AH399">
        <f t="shared" si="59"/>
        <v>2025</v>
      </c>
      <c r="AI399" t="str">
        <f t="shared" si="60"/>
        <v>Clean</v>
      </c>
    </row>
    <row r="400" spans="1:35" ht="15.75" customHeight="1">
      <c r="A400" s="3" t="s">
        <v>1965</v>
      </c>
      <c r="B400" s="3" t="s">
        <v>1966</v>
      </c>
      <c r="C400" s="3" t="s">
        <v>1967</v>
      </c>
      <c r="D400" s="3" t="str">
        <f t="shared" si="34"/>
        <v>26-Jul-2024</v>
      </c>
      <c r="E400" s="3" t="str">
        <f t="shared" si="35"/>
        <v>19-Jul-2024</v>
      </c>
      <c r="F400" s="3">
        <f t="shared" si="36"/>
        <v>7</v>
      </c>
      <c r="G400" s="3" t="s">
        <v>1968</v>
      </c>
      <c r="H400" s="3" t="s">
        <v>91</v>
      </c>
      <c r="I400" s="3" t="s">
        <v>116</v>
      </c>
      <c r="J400" s="3" t="s">
        <v>35</v>
      </c>
      <c r="K400" s="3" t="s">
        <v>162</v>
      </c>
      <c r="L400" s="3" t="s">
        <v>163</v>
      </c>
      <c r="M400" s="3" t="s">
        <v>94</v>
      </c>
      <c r="N400" s="3" t="s">
        <v>391</v>
      </c>
      <c r="O400" s="3" t="s">
        <v>1969</v>
      </c>
      <c r="P400" s="3" t="s">
        <v>56</v>
      </c>
      <c r="Q400" s="3">
        <v>2</v>
      </c>
      <c r="R400" s="3">
        <v>1263.6500000000001</v>
      </c>
      <c r="S400" s="3">
        <v>0.2</v>
      </c>
      <c r="T400" s="3">
        <v>2021.84</v>
      </c>
      <c r="U400" s="3">
        <v>1355.22</v>
      </c>
      <c r="V400" s="3">
        <v>666.62</v>
      </c>
      <c r="W400" s="3" t="s">
        <v>42</v>
      </c>
      <c r="X400" s="3" t="s">
        <v>43</v>
      </c>
      <c r="Y400" s="2" t="str">
        <f t="shared" si="37"/>
        <v>Unique</v>
      </c>
      <c r="AA400" s="2" t="str">
        <f t="shared" si="38"/>
        <v>Clean</v>
      </c>
      <c r="AB400" s="2" t="str">
        <f t="shared" si="39"/>
        <v>valid</v>
      </c>
      <c r="AC400">
        <f t="shared" si="54"/>
        <v>0.2</v>
      </c>
      <c r="AD400">
        <f t="shared" si="55"/>
        <v>2021.8400000000001</v>
      </c>
      <c r="AE400">
        <f t="shared" si="56"/>
        <v>666.62000000000012</v>
      </c>
      <c r="AF400">
        <f t="shared" si="57"/>
        <v>0.32970957147944452</v>
      </c>
      <c r="AG400" t="str">
        <f t="shared" si="58"/>
        <v>July</v>
      </c>
      <c r="AH400">
        <f t="shared" si="59"/>
        <v>2024</v>
      </c>
      <c r="AI400" t="str">
        <f t="shared" si="60"/>
        <v>Clean</v>
      </c>
    </row>
    <row r="401" spans="1:35" ht="15.75" customHeight="1">
      <c r="A401" s="3" t="s">
        <v>1970</v>
      </c>
      <c r="B401" s="3" t="s">
        <v>1971</v>
      </c>
      <c r="C401" s="3" t="s">
        <v>1972</v>
      </c>
      <c r="D401" s="3" t="str">
        <f t="shared" si="34"/>
        <v>29-Apr-2025</v>
      </c>
      <c r="E401" s="3" t="str">
        <f t="shared" si="35"/>
        <v>24-Apr-2025</v>
      </c>
      <c r="F401" s="3">
        <f t="shared" si="36"/>
        <v>5</v>
      </c>
      <c r="G401" s="3" t="s">
        <v>1973</v>
      </c>
      <c r="H401" s="3" t="s">
        <v>218</v>
      </c>
      <c r="I401" s="3" t="s">
        <v>49</v>
      </c>
      <c r="J401" s="3" t="s">
        <v>70</v>
      </c>
      <c r="K401" s="3" t="s">
        <v>108</v>
      </c>
      <c r="L401" s="3" t="s">
        <v>109</v>
      </c>
      <c r="M401" s="3" t="s">
        <v>38</v>
      </c>
      <c r="N401" s="3" t="s">
        <v>39</v>
      </c>
      <c r="O401" s="3" t="s">
        <v>1974</v>
      </c>
      <c r="P401" s="3" t="s">
        <v>56</v>
      </c>
      <c r="Q401" s="3">
        <v>1</v>
      </c>
      <c r="R401" s="3">
        <v>4358.5</v>
      </c>
      <c r="S401" s="3">
        <v>0.25</v>
      </c>
      <c r="T401" s="3">
        <v>3268.88</v>
      </c>
      <c r="U401" s="3">
        <v>1993.74</v>
      </c>
      <c r="V401" s="3">
        <v>1275.1400000000001</v>
      </c>
      <c r="W401" s="3" t="s">
        <v>42</v>
      </c>
      <c r="X401" s="3" t="s">
        <v>43</v>
      </c>
      <c r="Y401" s="2" t="str">
        <f t="shared" si="37"/>
        <v>Unique</v>
      </c>
      <c r="AA401" s="2" t="str">
        <f t="shared" si="38"/>
        <v>Clean</v>
      </c>
      <c r="AB401" s="2" t="str">
        <f t="shared" si="39"/>
        <v>valid</v>
      </c>
      <c r="AC401">
        <f t="shared" si="54"/>
        <v>0.25</v>
      </c>
      <c r="AD401">
        <f t="shared" si="55"/>
        <v>3268.875</v>
      </c>
      <c r="AE401">
        <f t="shared" si="56"/>
        <v>1275.135</v>
      </c>
      <c r="AF401">
        <f t="shared" si="57"/>
        <v>0.39008374440747962</v>
      </c>
      <c r="AG401" t="str">
        <f t="shared" si="58"/>
        <v>April</v>
      </c>
      <c r="AH401">
        <f t="shared" si="59"/>
        <v>2025</v>
      </c>
      <c r="AI401" t="str">
        <f t="shared" si="60"/>
        <v>Clean</v>
      </c>
    </row>
    <row r="402" spans="1:35" ht="15.75" customHeight="1">
      <c r="A402" s="3" t="s">
        <v>1975</v>
      </c>
      <c r="B402" s="3" t="s">
        <v>1976</v>
      </c>
      <c r="C402" s="3" t="s">
        <v>1977</v>
      </c>
      <c r="D402" s="3" t="str">
        <f t="shared" si="34"/>
        <v>11-Jun-2025</v>
      </c>
      <c r="E402" s="3" t="str">
        <f t="shared" si="35"/>
        <v>06-Jun-2025</v>
      </c>
      <c r="F402" s="3">
        <f t="shared" si="36"/>
        <v>5</v>
      </c>
      <c r="G402" s="3" t="s">
        <v>1978</v>
      </c>
      <c r="H402" s="3" t="s">
        <v>176</v>
      </c>
      <c r="I402" s="3" t="s">
        <v>49</v>
      </c>
      <c r="J402" s="3" t="s">
        <v>35</v>
      </c>
      <c r="K402" s="3" t="s">
        <v>182</v>
      </c>
      <c r="L402" s="3" t="s">
        <v>183</v>
      </c>
      <c r="M402" s="3" t="s">
        <v>38</v>
      </c>
      <c r="N402" s="3" t="s">
        <v>39</v>
      </c>
      <c r="O402" s="3" t="s">
        <v>1979</v>
      </c>
      <c r="P402" s="3" t="s">
        <v>56</v>
      </c>
      <c r="Q402" s="3">
        <v>7</v>
      </c>
      <c r="R402" s="3">
        <v>878.09</v>
      </c>
      <c r="S402" s="3">
        <v>-0.1</v>
      </c>
      <c r="T402" s="3">
        <v>5839.3</v>
      </c>
      <c r="U402" s="3">
        <v>4877.38</v>
      </c>
      <c r="V402" s="3">
        <v>961.92</v>
      </c>
      <c r="W402" s="3" t="s">
        <v>42</v>
      </c>
      <c r="X402" s="3" t="s">
        <v>43</v>
      </c>
      <c r="Y402" s="2" t="str">
        <f t="shared" si="37"/>
        <v>Unique</v>
      </c>
      <c r="AA402" s="2" t="str">
        <f t="shared" si="38"/>
        <v>Invalid</v>
      </c>
      <c r="AB402" s="2" t="str">
        <f t="shared" si="39"/>
        <v>valid</v>
      </c>
      <c r="AC402">
        <f t="shared" si="54"/>
        <v>-0.1</v>
      </c>
      <c r="AD402">
        <f t="shared" si="55"/>
        <v>6761.2930000000006</v>
      </c>
      <c r="AE402">
        <f t="shared" si="56"/>
        <v>1883.9130000000005</v>
      </c>
      <c r="AF402">
        <f t="shared" si="57"/>
        <v>0.27863206046535777</v>
      </c>
      <c r="AG402" t="str">
        <f t="shared" si="58"/>
        <v>June</v>
      </c>
      <c r="AH402">
        <f t="shared" si="59"/>
        <v>2025</v>
      </c>
      <c r="AI402" t="str">
        <f t="shared" si="60"/>
        <v>Invalid</v>
      </c>
    </row>
    <row r="403" spans="1:35" ht="15.75" customHeight="1">
      <c r="A403" s="3" t="s">
        <v>1980</v>
      </c>
      <c r="B403" s="3" t="s">
        <v>1981</v>
      </c>
      <c r="C403" s="3" t="s">
        <v>1982</v>
      </c>
      <c r="D403" s="3" t="str">
        <f t="shared" si="34"/>
        <v>16-Mar-2025</v>
      </c>
      <c r="E403" s="3" t="str">
        <f t="shared" si="35"/>
        <v>09-Mar-2025</v>
      </c>
      <c r="F403" s="3">
        <f t="shared" si="36"/>
        <v>7</v>
      </c>
      <c r="G403" s="3" t="s">
        <v>1983</v>
      </c>
      <c r="H403" s="3" t="s">
        <v>69</v>
      </c>
      <c r="I403" s="3" t="s">
        <v>49</v>
      </c>
      <c r="J403" s="3" t="s">
        <v>50</v>
      </c>
      <c r="K403" s="3" t="s">
        <v>319</v>
      </c>
      <c r="L403" s="3" t="s">
        <v>320</v>
      </c>
      <c r="M403" s="3" t="s">
        <v>53</v>
      </c>
      <c r="N403" s="3" t="s">
        <v>54</v>
      </c>
      <c r="O403" s="3" t="s">
        <v>1984</v>
      </c>
      <c r="P403" s="3" t="s">
        <v>56</v>
      </c>
      <c r="Q403" s="3">
        <v>3</v>
      </c>
      <c r="R403" s="3">
        <v>2625.85</v>
      </c>
      <c r="S403" s="3">
        <v>0</v>
      </c>
      <c r="T403" s="3">
        <v>7877.55</v>
      </c>
      <c r="U403" s="3">
        <v>5562.77</v>
      </c>
      <c r="V403" s="3">
        <v>2314.7800000000002</v>
      </c>
      <c r="W403" s="3" t="s">
        <v>42</v>
      </c>
      <c r="X403" s="3" t="s">
        <v>43</v>
      </c>
      <c r="Y403" s="2" t="str">
        <f t="shared" si="37"/>
        <v>Unique</v>
      </c>
      <c r="AA403" s="2" t="str">
        <f t="shared" si="38"/>
        <v>Clean</v>
      </c>
      <c r="AB403" s="2" t="str">
        <f t="shared" si="39"/>
        <v>valid</v>
      </c>
      <c r="AC403">
        <f t="shared" si="54"/>
        <v>0</v>
      </c>
      <c r="AD403">
        <f t="shared" si="55"/>
        <v>7877.5499999999993</v>
      </c>
      <c r="AE403">
        <f t="shared" si="56"/>
        <v>2314.7799999999988</v>
      </c>
      <c r="AF403">
        <f t="shared" si="57"/>
        <v>0.29384516759652418</v>
      </c>
      <c r="AG403" t="str">
        <f t="shared" si="58"/>
        <v>March</v>
      </c>
      <c r="AH403">
        <f t="shared" si="59"/>
        <v>2025</v>
      </c>
      <c r="AI403" t="str">
        <f t="shared" si="60"/>
        <v>Clean</v>
      </c>
    </row>
    <row r="404" spans="1:35" ht="15.75" customHeight="1">
      <c r="A404" s="3" t="s">
        <v>1985</v>
      </c>
      <c r="B404" s="3" t="s">
        <v>1986</v>
      </c>
      <c r="C404" s="3" t="s">
        <v>1987</v>
      </c>
      <c r="D404" s="3" t="str">
        <f t="shared" si="34"/>
        <v>22-Mar-2024</v>
      </c>
      <c r="E404" s="3" t="str">
        <f t="shared" si="35"/>
        <v>22-Mar-2024</v>
      </c>
      <c r="F404" s="3">
        <f t="shared" si="36"/>
        <v>0</v>
      </c>
      <c r="G404" s="3" t="s">
        <v>1988</v>
      </c>
      <c r="H404" s="3" t="s">
        <v>150</v>
      </c>
      <c r="I404" s="3" t="s">
        <v>49</v>
      </c>
      <c r="J404" s="3" t="s">
        <v>70</v>
      </c>
      <c r="K404" s="3" t="s">
        <v>237</v>
      </c>
      <c r="L404" s="3" t="s">
        <v>238</v>
      </c>
      <c r="M404" s="3" t="s">
        <v>53</v>
      </c>
      <c r="N404" s="3" t="s">
        <v>54</v>
      </c>
      <c r="O404" s="3" t="s">
        <v>1989</v>
      </c>
      <c r="P404" s="3" t="s">
        <v>280</v>
      </c>
      <c r="Q404" s="3">
        <v>3</v>
      </c>
      <c r="R404" s="3">
        <v>1365.26</v>
      </c>
      <c r="S404" s="3">
        <v>0</v>
      </c>
      <c r="T404" s="3">
        <v>4095.78</v>
      </c>
      <c r="U404" s="3">
        <v>2807.77</v>
      </c>
      <c r="V404" s="3">
        <v>1288.01</v>
      </c>
      <c r="W404" s="3" t="s">
        <v>42</v>
      </c>
      <c r="X404" s="3" t="s">
        <v>43</v>
      </c>
      <c r="Y404" s="2" t="str">
        <f t="shared" si="37"/>
        <v>Unique</v>
      </c>
      <c r="AA404" s="2" t="str">
        <f t="shared" si="38"/>
        <v>Clean</v>
      </c>
      <c r="AB404" s="2" t="str">
        <f t="shared" si="39"/>
        <v>valid</v>
      </c>
      <c r="AC404">
        <f t="shared" si="54"/>
        <v>0</v>
      </c>
      <c r="AD404">
        <f t="shared" si="55"/>
        <v>4095.7799999999997</v>
      </c>
      <c r="AE404">
        <f t="shared" si="56"/>
        <v>1288.0099999999998</v>
      </c>
      <c r="AF404">
        <f t="shared" si="57"/>
        <v>0.31447245701673426</v>
      </c>
      <c r="AG404" t="str">
        <f t="shared" si="58"/>
        <v>March</v>
      </c>
      <c r="AH404">
        <f t="shared" si="59"/>
        <v>2024</v>
      </c>
      <c r="AI404" t="str">
        <f t="shared" si="60"/>
        <v>Clean</v>
      </c>
    </row>
    <row r="405" spans="1:35" ht="15.75" customHeight="1">
      <c r="A405" s="3" t="s">
        <v>1990</v>
      </c>
      <c r="B405" s="3" t="s">
        <v>1991</v>
      </c>
      <c r="C405" s="3" t="s">
        <v>1992</v>
      </c>
      <c r="D405" s="3" t="str">
        <f t="shared" si="34"/>
        <v>04-Oct-2024</v>
      </c>
      <c r="E405" s="3" t="str">
        <f t="shared" si="35"/>
        <v>30-Sep-2024</v>
      </c>
      <c r="F405" s="3">
        <f t="shared" si="36"/>
        <v>4</v>
      </c>
      <c r="G405" s="3" t="s">
        <v>1993</v>
      </c>
      <c r="H405" s="3" t="s">
        <v>69</v>
      </c>
      <c r="I405" s="3" t="s">
        <v>49</v>
      </c>
      <c r="J405" s="3" t="s">
        <v>70</v>
      </c>
      <c r="K405" s="3" t="s">
        <v>250</v>
      </c>
      <c r="L405" s="3" t="s">
        <v>251</v>
      </c>
      <c r="M405" s="3" t="s">
        <v>38</v>
      </c>
      <c r="N405" s="3" t="s">
        <v>39</v>
      </c>
      <c r="O405" s="3" t="s">
        <v>1994</v>
      </c>
      <c r="P405" s="3" t="s">
        <v>56</v>
      </c>
      <c r="Q405" s="3">
        <v>5</v>
      </c>
      <c r="R405" s="3">
        <v>3512.25</v>
      </c>
      <c r="S405" s="3">
        <v>0.05</v>
      </c>
      <c r="T405" s="3">
        <v>16683.189999999999</v>
      </c>
      <c r="U405" s="3">
        <v>10301.16</v>
      </c>
      <c r="V405" s="3">
        <v>6382.03</v>
      </c>
      <c r="W405" s="3" t="s">
        <v>42</v>
      </c>
      <c r="X405" s="3" t="s">
        <v>133</v>
      </c>
      <c r="Y405" s="2" t="str">
        <f t="shared" si="37"/>
        <v>Unique</v>
      </c>
      <c r="AA405" s="2" t="str">
        <f t="shared" si="38"/>
        <v>Clean</v>
      </c>
      <c r="AB405" s="2" t="str">
        <f t="shared" si="39"/>
        <v>valid</v>
      </c>
      <c r="AC405">
        <f t="shared" si="54"/>
        <v>0.05</v>
      </c>
      <c r="AD405">
        <f t="shared" si="55"/>
        <v>16683.1875</v>
      </c>
      <c r="AE405">
        <f t="shared" si="56"/>
        <v>6382.0275000000001</v>
      </c>
      <c r="AF405">
        <f t="shared" si="57"/>
        <v>0.38254245479168775</v>
      </c>
      <c r="AG405" t="str">
        <f t="shared" si="58"/>
        <v>September</v>
      </c>
      <c r="AH405">
        <f t="shared" si="59"/>
        <v>2024</v>
      </c>
      <c r="AI405" t="str">
        <f t="shared" si="60"/>
        <v>Clean</v>
      </c>
    </row>
    <row r="406" spans="1:35" ht="15.75" customHeight="1">
      <c r="A406" s="3" t="s">
        <v>1995</v>
      </c>
      <c r="B406" s="3" t="s">
        <v>1996</v>
      </c>
      <c r="C406" s="3" t="s">
        <v>1997</v>
      </c>
      <c r="D406" s="3" t="str">
        <f t="shared" si="34"/>
        <v>02-Mar-2024</v>
      </c>
      <c r="E406" s="3" t="str">
        <f t="shared" si="35"/>
        <v>27-Jan-2024</v>
      </c>
      <c r="F406" s="3">
        <f t="shared" si="36"/>
        <v>35</v>
      </c>
      <c r="G406" s="3" t="s">
        <v>1998</v>
      </c>
      <c r="H406" s="3" t="s">
        <v>115</v>
      </c>
      <c r="I406" s="3" t="s">
        <v>116</v>
      </c>
      <c r="J406" s="3" t="s">
        <v>81</v>
      </c>
      <c r="K406" s="3" t="s">
        <v>36</v>
      </c>
      <c r="L406" s="3" t="s">
        <v>143</v>
      </c>
      <c r="M406" s="3" t="s">
        <v>53</v>
      </c>
      <c r="N406" s="3" t="s">
        <v>84</v>
      </c>
      <c r="O406" s="3" t="s">
        <v>1999</v>
      </c>
      <c r="P406" s="3" t="s">
        <v>56</v>
      </c>
      <c r="Q406" s="3">
        <v>3</v>
      </c>
      <c r="R406" s="3">
        <v>359.61</v>
      </c>
      <c r="S406" s="3">
        <v>0</v>
      </c>
      <c r="T406" s="3">
        <v>1078.83</v>
      </c>
      <c r="U406" s="3">
        <v>926.35</v>
      </c>
      <c r="V406" s="3">
        <v>152.47999999999999</v>
      </c>
      <c r="W406" s="3" t="s">
        <v>42</v>
      </c>
      <c r="X406" s="3" t="s">
        <v>43</v>
      </c>
      <c r="Y406" s="2" t="str">
        <f t="shared" si="37"/>
        <v>Unique</v>
      </c>
      <c r="AA406" s="2" t="str">
        <f t="shared" si="38"/>
        <v>Clean</v>
      </c>
      <c r="AB406" s="2" t="str">
        <f t="shared" si="39"/>
        <v>valid</v>
      </c>
      <c r="AC406">
        <f t="shared" si="54"/>
        <v>0</v>
      </c>
      <c r="AD406">
        <f t="shared" si="55"/>
        <v>1078.83</v>
      </c>
      <c r="AE406">
        <f t="shared" si="56"/>
        <v>152.4799999999999</v>
      </c>
      <c r="AF406">
        <f t="shared" si="57"/>
        <v>0.14133830167867034</v>
      </c>
      <c r="AG406" t="str">
        <f t="shared" si="58"/>
        <v>January</v>
      </c>
      <c r="AH406">
        <f t="shared" si="59"/>
        <v>2024</v>
      </c>
      <c r="AI406" t="str">
        <f t="shared" si="60"/>
        <v>Clean</v>
      </c>
    </row>
    <row r="407" spans="1:35" ht="15.75" customHeight="1">
      <c r="A407" s="3" t="s">
        <v>2000</v>
      </c>
      <c r="B407" s="3" t="s">
        <v>2001</v>
      </c>
      <c r="C407" s="3" t="s">
        <v>2002</v>
      </c>
      <c r="D407" s="3" t="str">
        <f t="shared" si="34"/>
        <v>24-Sep-2024</v>
      </c>
      <c r="E407" s="3" t="str">
        <f t="shared" si="35"/>
        <v>23-Sep-2024</v>
      </c>
      <c r="F407" s="3">
        <f t="shared" si="36"/>
        <v>1</v>
      </c>
      <c r="G407" s="3" t="s">
        <v>2003</v>
      </c>
      <c r="H407" s="3" t="s">
        <v>115</v>
      </c>
      <c r="I407" s="3" t="s">
        <v>123</v>
      </c>
      <c r="J407" s="3" t="s">
        <v>81</v>
      </c>
      <c r="K407" s="3" t="s">
        <v>243</v>
      </c>
      <c r="L407" s="3" t="s">
        <v>244</v>
      </c>
      <c r="M407" s="3" t="s">
        <v>53</v>
      </c>
      <c r="N407" s="3" t="s">
        <v>212</v>
      </c>
      <c r="O407" s="3" t="s">
        <v>2004</v>
      </c>
      <c r="P407" s="3" t="s">
        <v>280</v>
      </c>
      <c r="Q407" s="3">
        <v>7</v>
      </c>
      <c r="R407" s="3">
        <v>3878.01</v>
      </c>
      <c r="S407" s="3">
        <v>0.1</v>
      </c>
      <c r="T407" s="3">
        <v>24431.46</v>
      </c>
      <c r="U407" s="3">
        <v>18202.36</v>
      </c>
      <c r="V407" s="3">
        <v>6229.1</v>
      </c>
      <c r="W407" s="3" t="s">
        <v>42</v>
      </c>
      <c r="X407" s="3" t="s">
        <v>43</v>
      </c>
      <c r="Y407" s="2" t="str">
        <f t="shared" si="37"/>
        <v>Unique</v>
      </c>
      <c r="AA407" s="2" t="str">
        <f t="shared" si="38"/>
        <v>Clean</v>
      </c>
      <c r="AB407" s="2" t="str">
        <f t="shared" si="39"/>
        <v>valid</v>
      </c>
      <c r="AC407">
        <f t="shared" si="54"/>
        <v>0.1</v>
      </c>
      <c r="AD407">
        <f t="shared" si="55"/>
        <v>24431.463</v>
      </c>
      <c r="AE407">
        <f t="shared" si="56"/>
        <v>6229.1029999999992</v>
      </c>
      <c r="AF407">
        <f t="shared" si="57"/>
        <v>0.25496234097810677</v>
      </c>
      <c r="AG407" t="str">
        <f t="shared" si="58"/>
        <v>September</v>
      </c>
      <c r="AH407">
        <f t="shared" si="59"/>
        <v>2024</v>
      </c>
      <c r="AI407" t="str">
        <f t="shared" si="60"/>
        <v>Clean</v>
      </c>
    </row>
    <row r="408" spans="1:35" ht="15.75" customHeight="1">
      <c r="A408" s="3" t="s">
        <v>2005</v>
      </c>
      <c r="B408" s="3" t="s">
        <v>2006</v>
      </c>
      <c r="C408" s="3" t="s">
        <v>2006</v>
      </c>
      <c r="D408" s="3" t="str">
        <f t="shared" si="34"/>
        <v>25-Feb-2025</v>
      </c>
      <c r="E408" s="3" t="str">
        <f t="shared" si="35"/>
        <v>25-Feb-2025</v>
      </c>
      <c r="F408" s="3">
        <f t="shared" si="36"/>
        <v>0</v>
      </c>
      <c r="G408" s="3" t="s">
        <v>2007</v>
      </c>
      <c r="H408" s="3" t="s">
        <v>375</v>
      </c>
      <c r="I408" s="3" t="s">
        <v>49</v>
      </c>
      <c r="J408" s="3" t="s">
        <v>81</v>
      </c>
      <c r="K408" s="3" t="s">
        <v>257</v>
      </c>
      <c r="L408" s="3" t="s">
        <v>258</v>
      </c>
      <c r="M408" s="3" t="s">
        <v>53</v>
      </c>
      <c r="N408" s="3" t="s">
        <v>73</v>
      </c>
      <c r="O408" s="3" t="s">
        <v>2008</v>
      </c>
      <c r="P408" s="3" t="s">
        <v>75</v>
      </c>
      <c r="Q408" s="3">
        <v>2</v>
      </c>
      <c r="R408" s="3">
        <v>3924.2</v>
      </c>
      <c r="S408" s="3">
        <v>0.25</v>
      </c>
      <c r="T408" s="3">
        <v>5886.3</v>
      </c>
      <c r="U408" s="3">
        <v>3621.76</v>
      </c>
      <c r="V408" s="3">
        <v>2264.54</v>
      </c>
      <c r="W408" s="3" t="s">
        <v>145</v>
      </c>
      <c r="X408" s="3" t="s">
        <v>133</v>
      </c>
      <c r="Y408" s="2" t="str">
        <f t="shared" si="37"/>
        <v>Unique</v>
      </c>
      <c r="AA408" s="2" t="str">
        <f t="shared" si="38"/>
        <v>Clean</v>
      </c>
      <c r="AB408" s="2" t="str">
        <f t="shared" si="39"/>
        <v>valid</v>
      </c>
      <c r="AC408">
        <f t="shared" si="54"/>
        <v>0.25</v>
      </c>
      <c r="AD408">
        <f t="shared" si="55"/>
        <v>5886.2999999999993</v>
      </c>
      <c r="AE408">
        <f t="shared" si="56"/>
        <v>2264.5399999999991</v>
      </c>
      <c r="AF408">
        <f t="shared" si="57"/>
        <v>0.38471365713606159</v>
      </c>
      <c r="AG408" t="str">
        <f t="shared" si="58"/>
        <v>February</v>
      </c>
      <c r="AH408">
        <f t="shared" si="59"/>
        <v>2025</v>
      </c>
      <c r="AI408" t="str">
        <f t="shared" si="60"/>
        <v>Clean</v>
      </c>
    </row>
    <row r="409" spans="1:35" ht="15.75" customHeight="1">
      <c r="A409" s="3" t="s">
        <v>2009</v>
      </c>
      <c r="B409" s="3" t="s">
        <v>2010</v>
      </c>
      <c r="C409" s="3" t="s">
        <v>2011</v>
      </c>
      <c r="D409" s="3" t="str">
        <f t="shared" si="34"/>
        <v>13-May-2024</v>
      </c>
      <c r="E409" s="3" t="str">
        <f t="shared" si="35"/>
        <v>12-May-2024</v>
      </c>
      <c r="F409" s="3">
        <f t="shared" si="36"/>
        <v>1</v>
      </c>
      <c r="G409" s="3" t="s">
        <v>2012</v>
      </c>
      <c r="H409" s="3" t="s">
        <v>156</v>
      </c>
      <c r="I409" s="3" t="s">
        <v>116</v>
      </c>
      <c r="J409" s="3" t="s">
        <v>81</v>
      </c>
      <c r="K409" s="3" t="s">
        <v>257</v>
      </c>
      <c r="L409" s="3" t="s">
        <v>258</v>
      </c>
      <c r="M409" s="3" t="s">
        <v>38</v>
      </c>
      <c r="N409" s="3" t="s">
        <v>117</v>
      </c>
      <c r="O409" s="3" t="s">
        <v>2013</v>
      </c>
      <c r="P409" s="3" t="s">
        <v>41</v>
      </c>
      <c r="Q409" s="3">
        <v>3</v>
      </c>
      <c r="R409" s="3">
        <v>2644.55</v>
      </c>
      <c r="S409" s="3">
        <v>0</v>
      </c>
      <c r="T409" s="3">
        <v>7933.65</v>
      </c>
      <c r="U409" s="3">
        <v>5698.42</v>
      </c>
      <c r="V409" s="3">
        <v>2235.23</v>
      </c>
      <c r="W409" s="3" t="s">
        <v>42</v>
      </c>
      <c r="X409" s="3" t="s">
        <v>43</v>
      </c>
      <c r="Y409" s="2" t="str">
        <f t="shared" si="37"/>
        <v>Unique</v>
      </c>
      <c r="AA409" s="2" t="str">
        <f t="shared" si="38"/>
        <v>Clean</v>
      </c>
      <c r="AB409" s="2" t="str">
        <f t="shared" si="39"/>
        <v>valid</v>
      </c>
      <c r="AC409">
        <f t="shared" si="54"/>
        <v>0</v>
      </c>
      <c r="AD409">
        <f t="shared" si="55"/>
        <v>7933.6500000000005</v>
      </c>
      <c r="AE409">
        <f t="shared" si="56"/>
        <v>2235.2300000000005</v>
      </c>
      <c r="AF409">
        <f t="shared" si="57"/>
        <v>0.2817404347305465</v>
      </c>
      <c r="AG409" t="str">
        <f t="shared" si="58"/>
        <v>May</v>
      </c>
      <c r="AH409">
        <f t="shared" si="59"/>
        <v>2024</v>
      </c>
      <c r="AI409" t="str">
        <f t="shared" si="60"/>
        <v>Clean</v>
      </c>
    </row>
    <row r="410" spans="1:35" ht="15.75" customHeight="1">
      <c r="A410" s="3" t="s">
        <v>2014</v>
      </c>
      <c r="B410" s="3" t="s">
        <v>828</v>
      </c>
      <c r="C410" s="3" t="s">
        <v>1083</v>
      </c>
      <c r="D410" s="3" t="str">
        <f t="shared" si="34"/>
        <v>08-Mar-2025</v>
      </c>
      <c r="E410" s="3" t="str">
        <f t="shared" si="35"/>
        <v>08-Jan-2025</v>
      </c>
      <c r="F410" s="3">
        <f t="shared" si="36"/>
        <v>59</v>
      </c>
      <c r="G410" s="3" t="s">
        <v>2015</v>
      </c>
      <c r="H410" s="3" t="s">
        <v>176</v>
      </c>
      <c r="I410" s="3" t="s">
        <v>34</v>
      </c>
      <c r="J410" s="3" t="s">
        <v>81</v>
      </c>
      <c r="K410" s="3" t="s">
        <v>82</v>
      </c>
      <c r="L410" s="3" t="s">
        <v>83</v>
      </c>
      <c r="M410" s="3" t="s">
        <v>53</v>
      </c>
      <c r="N410" s="3" t="s">
        <v>84</v>
      </c>
      <c r="O410" s="3" t="s">
        <v>2016</v>
      </c>
      <c r="P410" s="3" t="s">
        <v>64</v>
      </c>
      <c r="Q410" s="3">
        <v>4</v>
      </c>
      <c r="R410" s="3">
        <v>1773.46</v>
      </c>
      <c r="S410" s="3">
        <v>0</v>
      </c>
      <c r="T410" s="3">
        <v>7093.84</v>
      </c>
      <c r="U410" s="3">
        <v>4587.49</v>
      </c>
      <c r="V410" s="3">
        <v>2506.35</v>
      </c>
      <c r="W410" s="3" t="s">
        <v>208</v>
      </c>
      <c r="X410" s="3" t="s">
        <v>133</v>
      </c>
      <c r="Y410" s="2" t="str">
        <f t="shared" si="37"/>
        <v>Unique</v>
      </c>
      <c r="AA410" s="2" t="str">
        <f t="shared" si="38"/>
        <v>Clean</v>
      </c>
      <c r="AB410" s="2" t="str">
        <f t="shared" si="39"/>
        <v>valid</v>
      </c>
      <c r="AC410">
        <f t="shared" si="54"/>
        <v>0</v>
      </c>
      <c r="AD410">
        <f t="shared" si="55"/>
        <v>7093.84</v>
      </c>
      <c r="AE410">
        <f t="shared" si="56"/>
        <v>2506.3500000000004</v>
      </c>
      <c r="AF410">
        <f t="shared" si="57"/>
        <v>0.35331357910525191</v>
      </c>
      <c r="AG410" t="str">
        <f t="shared" si="58"/>
        <v>January</v>
      </c>
      <c r="AH410">
        <f t="shared" si="59"/>
        <v>2025</v>
      </c>
      <c r="AI410" t="str">
        <f t="shared" si="60"/>
        <v>Warning</v>
      </c>
    </row>
    <row r="411" spans="1:35" ht="15.75" customHeight="1">
      <c r="A411" s="3" t="s">
        <v>2017</v>
      </c>
      <c r="B411" s="3" t="s">
        <v>838</v>
      </c>
      <c r="C411" s="3" t="s">
        <v>780</v>
      </c>
      <c r="D411" s="3" t="str">
        <f t="shared" si="34"/>
        <v>15-Feb-2025</v>
      </c>
      <c r="E411" s="3" t="str">
        <f t="shared" si="35"/>
        <v>13-Feb-2025</v>
      </c>
      <c r="F411" s="3">
        <f t="shared" si="36"/>
        <v>2</v>
      </c>
      <c r="G411" s="3" t="s">
        <v>2018</v>
      </c>
      <c r="H411" s="3" t="s">
        <v>33</v>
      </c>
      <c r="I411" s="3" t="s">
        <v>34</v>
      </c>
      <c r="J411" s="3" t="s">
        <v>50</v>
      </c>
      <c r="K411" s="3" t="s">
        <v>224</v>
      </c>
      <c r="L411" s="3" t="s">
        <v>225</v>
      </c>
      <c r="M411" s="3" t="s">
        <v>94</v>
      </c>
      <c r="N411" s="3" t="s">
        <v>95</v>
      </c>
      <c r="O411" s="3" t="s">
        <v>2019</v>
      </c>
      <c r="P411" s="3" t="s">
        <v>56</v>
      </c>
      <c r="Q411" s="3">
        <v>1</v>
      </c>
      <c r="R411" s="3">
        <v>3025.46</v>
      </c>
      <c r="S411" s="3">
        <v>0.25</v>
      </c>
      <c r="T411" s="3">
        <v>2269.1</v>
      </c>
      <c r="U411" s="3">
        <v>1593.59</v>
      </c>
      <c r="V411" s="3">
        <v>675.51</v>
      </c>
      <c r="W411" s="3" t="s">
        <v>132</v>
      </c>
      <c r="X411" s="3" t="s">
        <v>133</v>
      </c>
      <c r="Y411" s="2" t="str">
        <f t="shared" si="37"/>
        <v>Unique</v>
      </c>
      <c r="AA411" s="2" t="str">
        <f t="shared" si="38"/>
        <v>Clean</v>
      </c>
      <c r="AB411" s="2" t="str">
        <f t="shared" si="39"/>
        <v>valid</v>
      </c>
      <c r="AC411">
        <f t="shared" si="54"/>
        <v>0.25</v>
      </c>
      <c r="AD411">
        <f t="shared" si="55"/>
        <v>2269.0950000000003</v>
      </c>
      <c r="AE411">
        <f t="shared" si="56"/>
        <v>675.50500000000034</v>
      </c>
      <c r="AF411">
        <f t="shared" si="57"/>
        <v>0.29769798091309541</v>
      </c>
      <c r="AG411" t="str">
        <f t="shared" si="58"/>
        <v>February</v>
      </c>
      <c r="AH411">
        <f t="shared" si="59"/>
        <v>2025</v>
      </c>
      <c r="AI411" t="str">
        <f t="shared" si="60"/>
        <v>Clean</v>
      </c>
    </row>
    <row r="412" spans="1:35" ht="15.75" customHeight="1">
      <c r="A412" s="3" t="s">
        <v>2020</v>
      </c>
      <c r="B412" s="3" t="s">
        <v>2021</v>
      </c>
      <c r="C412" s="3" t="s">
        <v>2022</v>
      </c>
      <c r="D412" s="3" t="str">
        <f t="shared" si="34"/>
        <v>20-Apr-2024</v>
      </c>
      <c r="E412" s="3" t="str">
        <f t="shared" si="35"/>
        <v>12-Apr-2024</v>
      </c>
      <c r="F412" s="3">
        <f t="shared" si="36"/>
        <v>8</v>
      </c>
      <c r="G412" s="3" t="s">
        <v>2023</v>
      </c>
      <c r="H412" s="3" t="s">
        <v>218</v>
      </c>
      <c r="I412" s="3" t="s">
        <v>34</v>
      </c>
      <c r="J412" s="3" t="s">
        <v>81</v>
      </c>
      <c r="K412" s="3" t="s">
        <v>257</v>
      </c>
      <c r="L412" s="3" t="s">
        <v>258</v>
      </c>
      <c r="M412" s="3" t="s">
        <v>53</v>
      </c>
      <c r="N412" s="3" t="s">
        <v>54</v>
      </c>
      <c r="O412" s="3" t="s">
        <v>2024</v>
      </c>
      <c r="P412" s="3" t="s">
        <v>64</v>
      </c>
      <c r="Q412" s="3">
        <v>9</v>
      </c>
      <c r="R412" s="3">
        <v>1302.6099999999999</v>
      </c>
      <c r="S412" s="3">
        <v>0.2</v>
      </c>
      <c r="T412" s="3">
        <v>9378.7900000000009</v>
      </c>
      <c r="U412" s="3">
        <v>6774.48</v>
      </c>
      <c r="V412" s="3">
        <v>2604.31</v>
      </c>
      <c r="W412" s="3" t="s">
        <v>42</v>
      </c>
      <c r="X412" s="3" t="s">
        <v>43</v>
      </c>
      <c r="Y412" s="2" t="str">
        <f t="shared" si="37"/>
        <v>Unique</v>
      </c>
      <c r="AA412" s="2" t="str">
        <f t="shared" si="38"/>
        <v>Clean</v>
      </c>
      <c r="AB412" s="2" t="str">
        <f t="shared" si="39"/>
        <v>valid</v>
      </c>
      <c r="AC412">
        <f t="shared" si="54"/>
        <v>0.2</v>
      </c>
      <c r="AD412">
        <f t="shared" si="55"/>
        <v>9378.7919999999995</v>
      </c>
      <c r="AE412">
        <f t="shared" si="56"/>
        <v>2604.3119999999999</v>
      </c>
      <c r="AF412">
        <f t="shared" si="57"/>
        <v>0.27768096360384154</v>
      </c>
      <c r="AG412" t="str">
        <f t="shared" si="58"/>
        <v>April</v>
      </c>
      <c r="AH412">
        <f t="shared" si="59"/>
        <v>2024</v>
      </c>
      <c r="AI412" t="str">
        <f t="shared" si="60"/>
        <v>Clean</v>
      </c>
    </row>
    <row r="413" spans="1:35" ht="15.75" customHeight="1">
      <c r="A413" s="3" t="s">
        <v>2025</v>
      </c>
      <c r="B413" s="3" t="s">
        <v>2026</v>
      </c>
      <c r="C413" s="3" t="s">
        <v>2027</v>
      </c>
      <c r="D413" s="3" t="str">
        <f t="shared" si="34"/>
        <v>28-Aug-2025</v>
      </c>
      <c r="E413" s="3" t="str">
        <f t="shared" si="35"/>
        <v>23-Aug-2025</v>
      </c>
      <c r="F413" s="3">
        <f t="shared" si="36"/>
        <v>5</v>
      </c>
      <c r="G413" s="3" t="s">
        <v>2028</v>
      </c>
      <c r="H413" s="3" t="s">
        <v>69</v>
      </c>
      <c r="I413" s="3" t="s">
        <v>123</v>
      </c>
      <c r="J413" s="3" t="s">
        <v>81</v>
      </c>
      <c r="K413" s="3" t="s">
        <v>36</v>
      </c>
      <c r="L413" s="3" t="s">
        <v>143</v>
      </c>
      <c r="M413" s="3" t="s">
        <v>53</v>
      </c>
      <c r="N413" s="3" t="s">
        <v>54</v>
      </c>
      <c r="O413" s="3" t="s">
        <v>2029</v>
      </c>
      <c r="P413" s="3" t="s">
        <v>64</v>
      </c>
      <c r="Q413" s="3">
        <v>1</v>
      </c>
      <c r="R413" s="3">
        <v>4167.8100000000004</v>
      </c>
      <c r="S413" s="3">
        <v>0.2</v>
      </c>
      <c r="T413" s="3">
        <v>3334.25</v>
      </c>
      <c r="U413" s="3">
        <v>2768.77</v>
      </c>
      <c r="V413" s="3">
        <v>565.48</v>
      </c>
      <c r="W413" s="3" t="s">
        <v>208</v>
      </c>
      <c r="X413" s="3" t="s">
        <v>133</v>
      </c>
      <c r="Y413" s="2" t="str">
        <f t="shared" si="37"/>
        <v>Unique</v>
      </c>
      <c r="AA413" s="2" t="str">
        <f t="shared" si="38"/>
        <v>Clean</v>
      </c>
      <c r="AB413" s="2" t="str">
        <f t="shared" si="39"/>
        <v>valid</v>
      </c>
      <c r="AC413">
        <f t="shared" si="54"/>
        <v>0.2</v>
      </c>
      <c r="AD413">
        <f t="shared" si="55"/>
        <v>3334.2480000000005</v>
      </c>
      <c r="AE413">
        <f t="shared" si="56"/>
        <v>565.47800000000052</v>
      </c>
      <c r="AF413">
        <f t="shared" si="57"/>
        <v>0.16959686262089696</v>
      </c>
      <c r="AG413" t="str">
        <f t="shared" si="58"/>
        <v>August</v>
      </c>
      <c r="AH413">
        <f t="shared" si="59"/>
        <v>2025</v>
      </c>
      <c r="AI413" t="str">
        <f t="shared" si="60"/>
        <v>Warning</v>
      </c>
    </row>
    <row r="414" spans="1:35" ht="15.75" customHeight="1">
      <c r="A414" s="3" t="s">
        <v>2030</v>
      </c>
      <c r="B414" s="3" t="s">
        <v>2031</v>
      </c>
      <c r="C414" s="3" t="s">
        <v>842</v>
      </c>
      <c r="D414" s="3" t="str">
        <f t="shared" si="34"/>
        <v>30-Jan-2024</v>
      </c>
      <c r="E414" s="3" t="str">
        <f t="shared" si="35"/>
        <v>22-Jan-2024</v>
      </c>
      <c r="F414" s="3">
        <f t="shared" si="36"/>
        <v>8</v>
      </c>
      <c r="G414" s="3" t="s">
        <v>2032</v>
      </c>
      <c r="H414" s="3" t="s">
        <v>61</v>
      </c>
      <c r="I414" s="3" t="s">
        <v>116</v>
      </c>
      <c r="J414" s="3" t="s">
        <v>70</v>
      </c>
      <c r="K414" s="3" t="s">
        <v>237</v>
      </c>
      <c r="L414" s="3" t="s">
        <v>238</v>
      </c>
      <c r="M414" s="3" t="s">
        <v>53</v>
      </c>
      <c r="N414" s="3" t="s">
        <v>84</v>
      </c>
      <c r="O414" s="3" t="s">
        <v>2033</v>
      </c>
      <c r="P414" s="3" t="s">
        <v>56</v>
      </c>
      <c r="Q414" s="3">
        <v>1</v>
      </c>
      <c r="R414" s="3">
        <v>2111.39</v>
      </c>
      <c r="S414" s="3">
        <v>0.25</v>
      </c>
      <c r="T414" s="3">
        <v>1583.54</v>
      </c>
      <c r="U414" s="3">
        <v>1014.19</v>
      </c>
      <c r="V414" s="3">
        <v>569.35</v>
      </c>
      <c r="W414" s="3" t="s">
        <v>42</v>
      </c>
      <c r="X414" s="3" t="s">
        <v>43</v>
      </c>
      <c r="Y414" s="2" t="str">
        <f t="shared" si="37"/>
        <v>Unique</v>
      </c>
      <c r="AA414" s="2" t="str">
        <f t="shared" si="38"/>
        <v>Clean</v>
      </c>
      <c r="AB414" s="2" t="str">
        <f t="shared" si="39"/>
        <v>valid</v>
      </c>
      <c r="AC414">
        <f t="shared" si="54"/>
        <v>0.25</v>
      </c>
      <c r="AD414">
        <f t="shared" si="55"/>
        <v>1583.5425</v>
      </c>
      <c r="AE414">
        <f t="shared" si="56"/>
        <v>569.35249999999996</v>
      </c>
      <c r="AF414">
        <f t="shared" si="57"/>
        <v>0.35954355503562424</v>
      </c>
      <c r="AG414" t="str">
        <f t="shared" si="58"/>
        <v>January</v>
      </c>
      <c r="AH414">
        <f t="shared" si="59"/>
        <v>2024</v>
      </c>
      <c r="AI414" t="str">
        <f t="shared" si="60"/>
        <v>Clean</v>
      </c>
    </row>
    <row r="415" spans="1:35" ht="15.75" customHeight="1">
      <c r="A415" s="3" t="s">
        <v>2034</v>
      </c>
      <c r="B415" s="3" t="s">
        <v>248</v>
      </c>
      <c r="C415" s="3" t="s">
        <v>2035</v>
      </c>
      <c r="D415" s="3" t="str">
        <f t="shared" si="34"/>
        <v>17-Aug-2025</v>
      </c>
      <c r="E415" s="3" t="str">
        <f t="shared" si="35"/>
        <v>13-Aug-2025</v>
      </c>
      <c r="F415" s="3">
        <f t="shared" si="36"/>
        <v>4</v>
      </c>
      <c r="G415" s="3" t="s">
        <v>2036</v>
      </c>
      <c r="H415" s="3" t="s">
        <v>101</v>
      </c>
      <c r="I415" s="3" t="s">
        <v>123</v>
      </c>
      <c r="J415" s="3" t="s">
        <v>81</v>
      </c>
      <c r="K415" s="3" t="s">
        <v>92</v>
      </c>
      <c r="L415" s="3" t="s">
        <v>93</v>
      </c>
      <c r="M415" s="3" t="s">
        <v>94</v>
      </c>
      <c r="N415" s="3" t="s">
        <v>95</v>
      </c>
      <c r="O415" s="3" t="s">
        <v>2037</v>
      </c>
      <c r="P415" s="3" t="s">
        <v>41</v>
      </c>
      <c r="Q415" s="3">
        <v>8</v>
      </c>
      <c r="R415" s="3">
        <v>1918.23</v>
      </c>
      <c r="S415" s="3">
        <v>0</v>
      </c>
      <c r="T415" s="3">
        <v>15345.84</v>
      </c>
      <c r="U415" s="3">
        <v>10735.33</v>
      </c>
      <c r="V415" s="3">
        <v>4610.51</v>
      </c>
      <c r="W415" s="3" t="s">
        <v>145</v>
      </c>
      <c r="X415" s="3" t="s">
        <v>86</v>
      </c>
      <c r="Y415" s="2" t="str">
        <f t="shared" si="37"/>
        <v>Unique</v>
      </c>
      <c r="AA415" s="2" t="str">
        <f t="shared" si="38"/>
        <v>Clean</v>
      </c>
      <c r="AB415" s="2" t="str">
        <f t="shared" si="39"/>
        <v>valid</v>
      </c>
      <c r="AC415">
        <f t="shared" si="54"/>
        <v>0</v>
      </c>
      <c r="AD415">
        <f t="shared" si="55"/>
        <v>15345.84</v>
      </c>
      <c r="AE415">
        <f t="shared" si="56"/>
        <v>4610.51</v>
      </c>
      <c r="AF415">
        <f t="shared" si="57"/>
        <v>0.30044037993358463</v>
      </c>
      <c r="AG415" t="str">
        <f t="shared" si="58"/>
        <v>August</v>
      </c>
      <c r="AH415">
        <f t="shared" si="59"/>
        <v>2025</v>
      </c>
      <c r="AI415" t="str">
        <f t="shared" si="60"/>
        <v>Warning</v>
      </c>
    </row>
    <row r="416" spans="1:35" ht="15.75" customHeight="1">
      <c r="A416" s="3" t="s">
        <v>2038</v>
      </c>
      <c r="B416" s="3" t="s">
        <v>2039</v>
      </c>
      <c r="C416" s="3" t="s">
        <v>2040</v>
      </c>
      <c r="D416" s="3" t="str">
        <f t="shared" si="34"/>
        <v>30-Aug-2024</v>
      </c>
      <c r="E416" s="3" t="str">
        <f t="shared" si="35"/>
        <v>29-Aug-2024</v>
      </c>
      <c r="F416" s="3">
        <f t="shared" si="36"/>
        <v>1</v>
      </c>
      <c r="G416" s="3" t="s">
        <v>2041</v>
      </c>
      <c r="H416" s="3" t="s">
        <v>69</v>
      </c>
      <c r="I416" s="3" t="s">
        <v>123</v>
      </c>
      <c r="J416" s="3" t="s">
        <v>50</v>
      </c>
      <c r="K416" s="3" t="s">
        <v>224</v>
      </c>
      <c r="L416" s="3" t="s">
        <v>225</v>
      </c>
      <c r="M416" s="3" t="s">
        <v>38</v>
      </c>
      <c r="N416" s="3" t="s">
        <v>164</v>
      </c>
      <c r="O416" s="3" t="s">
        <v>2042</v>
      </c>
      <c r="P416" s="3" t="s">
        <v>64</v>
      </c>
      <c r="Q416" s="3">
        <v>4</v>
      </c>
      <c r="R416" s="3">
        <v>2484.08</v>
      </c>
      <c r="S416" s="3">
        <v>0.05</v>
      </c>
      <c r="T416" s="3">
        <v>9439.5</v>
      </c>
      <c r="U416" s="3">
        <v>5519.39</v>
      </c>
      <c r="V416" s="3">
        <v>3920.11</v>
      </c>
      <c r="W416" s="3" t="s">
        <v>42</v>
      </c>
      <c r="X416" s="3" t="s">
        <v>43</v>
      </c>
      <c r="Y416" s="2" t="str">
        <f t="shared" si="37"/>
        <v>Unique</v>
      </c>
      <c r="AA416" s="2" t="str">
        <f t="shared" si="38"/>
        <v>Clean</v>
      </c>
      <c r="AB416" s="2" t="str">
        <f t="shared" si="39"/>
        <v>valid</v>
      </c>
      <c r="AC416">
        <f t="shared" si="54"/>
        <v>0.05</v>
      </c>
      <c r="AD416">
        <f t="shared" si="55"/>
        <v>9439.503999999999</v>
      </c>
      <c r="AE416">
        <f t="shared" si="56"/>
        <v>3920.1139999999987</v>
      </c>
      <c r="AF416">
        <f t="shared" si="57"/>
        <v>0.41528813378330037</v>
      </c>
      <c r="AG416" t="str">
        <f t="shared" si="58"/>
        <v>August</v>
      </c>
      <c r="AH416">
        <f t="shared" si="59"/>
        <v>2024</v>
      </c>
      <c r="AI416" t="str">
        <f t="shared" si="60"/>
        <v>Clean</v>
      </c>
    </row>
    <row r="417" spans="1:35" ht="15.75" customHeight="1">
      <c r="A417" s="3" t="s">
        <v>2043</v>
      </c>
      <c r="B417" s="3" t="s">
        <v>2044</v>
      </c>
      <c r="C417" s="3" t="s">
        <v>1996</v>
      </c>
      <c r="D417" s="3" t="str">
        <f t="shared" si="34"/>
        <v>27-Jan-2024</v>
      </c>
      <c r="E417" s="3" t="str">
        <f t="shared" si="35"/>
        <v>25-Jan-2024</v>
      </c>
      <c r="F417" s="3">
        <f t="shared" si="36"/>
        <v>2</v>
      </c>
      <c r="G417" s="3" t="s">
        <v>2045</v>
      </c>
      <c r="H417" s="3" t="s">
        <v>170</v>
      </c>
      <c r="I417" s="3" t="s">
        <v>116</v>
      </c>
      <c r="J417" s="3" t="s">
        <v>70</v>
      </c>
      <c r="K417" s="3" t="s">
        <v>237</v>
      </c>
      <c r="L417" s="3" t="s">
        <v>238</v>
      </c>
      <c r="M417" s="3" t="s">
        <v>38</v>
      </c>
      <c r="N417" s="3" t="s">
        <v>164</v>
      </c>
      <c r="O417" s="3" t="s">
        <v>2046</v>
      </c>
      <c r="P417" s="3" t="s">
        <v>56</v>
      </c>
      <c r="Q417" s="3">
        <v>7</v>
      </c>
      <c r="R417" s="3">
        <v>1727.26</v>
      </c>
      <c r="S417" s="3">
        <v>0.15</v>
      </c>
      <c r="T417" s="3">
        <v>10277.200000000001</v>
      </c>
      <c r="U417" s="3">
        <v>7906.5</v>
      </c>
      <c r="V417" s="3">
        <v>2370.6999999999998</v>
      </c>
      <c r="W417" s="3" t="s">
        <v>42</v>
      </c>
      <c r="X417" s="3" t="s">
        <v>133</v>
      </c>
      <c r="Y417" s="2" t="str">
        <f t="shared" si="37"/>
        <v>Unique</v>
      </c>
      <c r="AA417" s="2" t="str">
        <f t="shared" si="38"/>
        <v>Clean</v>
      </c>
      <c r="AB417" s="2" t="str">
        <f t="shared" si="39"/>
        <v>valid</v>
      </c>
      <c r="AC417">
        <f t="shared" si="54"/>
        <v>0.15</v>
      </c>
      <c r="AD417">
        <f t="shared" si="55"/>
        <v>10277.197</v>
      </c>
      <c r="AE417">
        <f t="shared" si="56"/>
        <v>2370.6970000000001</v>
      </c>
      <c r="AF417">
        <f t="shared" si="57"/>
        <v>0.23067544584384245</v>
      </c>
      <c r="AG417" t="str">
        <f t="shared" si="58"/>
        <v>January</v>
      </c>
      <c r="AH417">
        <f t="shared" si="59"/>
        <v>2024</v>
      </c>
      <c r="AI417" t="str">
        <f t="shared" si="60"/>
        <v>Clean</v>
      </c>
    </row>
    <row r="418" spans="1:35" ht="15.75" customHeight="1">
      <c r="A418" s="3" t="s">
        <v>2047</v>
      </c>
      <c r="B418" s="3" t="s">
        <v>2048</v>
      </c>
      <c r="C418" s="3" t="s">
        <v>2049</v>
      </c>
      <c r="D418" s="3" t="str">
        <f t="shared" si="34"/>
        <v>16-Jan-2025</v>
      </c>
      <c r="E418" s="3" t="str">
        <f t="shared" si="35"/>
        <v>08-Jan-2025</v>
      </c>
      <c r="F418" s="3">
        <f t="shared" si="36"/>
        <v>8</v>
      </c>
      <c r="G418" s="3" t="s">
        <v>2050</v>
      </c>
      <c r="H418" s="3" t="s">
        <v>101</v>
      </c>
      <c r="I418" s="3" t="s">
        <v>34</v>
      </c>
      <c r="J418" s="3" t="s">
        <v>70</v>
      </c>
      <c r="K418" s="3" t="s">
        <v>71</v>
      </c>
      <c r="L418" s="3" t="s">
        <v>72</v>
      </c>
      <c r="M418" s="3" t="s">
        <v>53</v>
      </c>
      <c r="N418" s="3" t="s">
        <v>73</v>
      </c>
      <c r="O418" s="3" t="s">
        <v>2051</v>
      </c>
      <c r="P418" s="3" t="s">
        <v>64</v>
      </c>
      <c r="Q418" s="3">
        <v>8</v>
      </c>
      <c r="R418" s="3">
        <v>638.95000000000005</v>
      </c>
      <c r="S418" s="3">
        <v>0.25</v>
      </c>
      <c r="T418" s="3">
        <v>3833.7</v>
      </c>
      <c r="U418" s="3">
        <v>2886.35</v>
      </c>
      <c r="V418" s="3">
        <v>947.35</v>
      </c>
      <c r="W418" s="3" t="s">
        <v>42</v>
      </c>
      <c r="X418" s="3" t="s">
        <v>43</v>
      </c>
      <c r="Y418" s="2" t="str">
        <f t="shared" si="37"/>
        <v>Unique</v>
      </c>
      <c r="AA418" s="2" t="str">
        <f t="shared" si="38"/>
        <v>Clean</v>
      </c>
      <c r="AB418" s="2" t="str">
        <f t="shared" si="39"/>
        <v>valid</v>
      </c>
      <c r="AC418">
        <f t="shared" si="54"/>
        <v>0.25</v>
      </c>
      <c r="AD418">
        <f t="shared" si="55"/>
        <v>3833.7000000000003</v>
      </c>
      <c r="AE418">
        <f t="shared" si="56"/>
        <v>947.35000000000036</v>
      </c>
      <c r="AF418">
        <f t="shared" si="57"/>
        <v>0.24711114589039318</v>
      </c>
      <c r="AG418" t="str">
        <f t="shared" si="58"/>
        <v>January</v>
      </c>
      <c r="AH418">
        <f t="shared" si="59"/>
        <v>2025</v>
      </c>
      <c r="AI418" t="str">
        <f t="shared" si="60"/>
        <v>Clean</v>
      </c>
    </row>
    <row r="419" spans="1:35" ht="15.75" customHeight="1">
      <c r="A419" s="3" t="s">
        <v>2052</v>
      </c>
      <c r="B419" s="3" t="s">
        <v>1791</v>
      </c>
      <c r="C419" s="3" t="s">
        <v>2053</v>
      </c>
      <c r="D419" s="3" t="str">
        <f t="shared" si="34"/>
        <v>02-May-2025</v>
      </c>
      <c r="E419" s="3" t="str">
        <f t="shared" si="35"/>
        <v>29-Jan-2025</v>
      </c>
      <c r="F419" s="3">
        <f t="shared" si="36"/>
        <v>93</v>
      </c>
      <c r="G419" s="3" t="s">
        <v>2054</v>
      </c>
      <c r="H419" s="3" t="s">
        <v>48</v>
      </c>
      <c r="I419" s="3" t="s">
        <v>34</v>
      </c>
      <c r="J419" s="3" t="s">
        <v>81</v>
      </c>
      <c r="K419" s="3" t="s">
        <v>243</v>
      </c>
      <c r="L419" s="3" t="s">
        <v>244</v>
      </c>
      <c r="M419" s="3" t="s">
        <v>38</v>
      </c>
      <c r="N419" s="3" t="s">
        <v>62</v>
      </c>
      <c r="O419" s="3" t="s">
        <v>2055</v>
      </c>
      <c r="P419" s="3" t="s">
        <v>64</v>
      </c>
      <c r="Q419" s="3">
        <v>6</v>
      </c>
      <c r="R419" s="3">
        <v>3863</v>
      </c>
      <c r="S419" s="3">
        <v>0.2</v>
      </c>
      <c r="T419" s="3">
        <v>18542.400000000001</v>
      </c>
      <c r="U419" s="3">
        <v>11193.75</v>
      </c>
      <c r="V419" s="3">
        <v>7348.65</v>
      </c>
      <c r="W419" s="3" t="s">
        <v>42</v>
      </c>
      <c r="X419" s="3" t="s">
        <v>43</v>
      </c>
      <c r="Y419" s="2" t="str">
        <f t="shared" si="37"/>
        <v>Unique</v>
      </c>
      <c r="AA419" s="2" t="str">
        <f t="shared" si="38"/>
        <v>Clean</v>
      </c>
      <c r="AB419" s="2" t="str">
        <f t="shared" si="39"/>
        <v>valid</v>
      </c>
      <c r="AC419">
        <f t="shared" si="54"/>
        <v>0.2</v>
      </c>
      <c r="AD419">
        <f t="shared" si="55"/>
        <v>18542.400000000001</v>
      </c>
      <c r="AE419">
        <f t="shared" si="56"/>
        <v>7348.6500000000015</v>
      </c>
      <c r="AF419">
        <f t="shared" si="57"/>
        <v>0.39631601087237905</v>
      </c>
      <c r="AG419" t="str">
        <f t="shared" si="58"/>
        <v>January</v>
      </c>
      <c r="AH419">
        <f t="shared" si="59"/>
        <v>2025</v>
      </c>
      <c r="AI419" t="str">
        <f t="shared" si="60"/>
        <v>Clean</v>
      </c>
    </row>
    <row r="420" spans="1:35" ht="15.75" customHeight="1">
      <c r="A420" s="3" t="s">
        <v>2056</v>
      </c>
      <c r="B420" s="3" t="s">
        <v>2057</v>
      </c>
      <c r="C420" s="3" t="s">
        <v>2058</v>
      </c>
      <c r="D420" s="3" t="str">
        <f t="shared" si="34"/>
        <v>17-Nov-2024</v>
      </c>
      <c r="E420" s="3" t="str">
        <f t="shared" si="35"/>
        <v>11-Sep-2024</v>
      </c>
      <c r="F420" s="3">
        <f t="shared" si="36"/>
        <v>67</v>
      </c>
      <c r="G420" s="3" t="s">
        <v>2059</v>
      </c>
      <c r="H420" s="3" t="s">
        <v>176</v>
      </c>
      <c r="I420" s="3" t="s">
        <v>116</v>
      </c>
      <c r="J420" s="3" t="s">
        <v>50</v>
      </c>
      <c r="K420" s="3" t="s">
        <v>51</v>
      </c>
      <c r="L420" s="3" t="s">
        <v>52</v>
      </c>
      <c r="M420" s="3" t="s">
        <v>94</v>
      </c>
      <c r="N420" s="3" t="s">
        <v>102</v>
      </c>
      <c r="O420" s="3" t="s">
        <v>2060</v>
      </c>
      <c r="P420" s="3" t="s">
        <v>75</v>
      </c>
      <c r="Q420" s="3">
        <v>6</v>
      </c>
      <c r="R420" s="3">
        <v>3660.4</v>
      </c>
      <c r="S420" s="3">
        <v>0</v>
      </c>
      <c r="T420" s="3">
        <v>21962.400000000001</v>
      </c>
      <c r="U420" s="3">
        <v>15331.99</v>
      </c>
      <c r="V420" s="3">
        <v>6630.41</v>
      </c>
      <c r="W420" s="3" t="s">
        <v>208</v>
      </c>
      <c r="X420" s="3" t="s">
        <v>86</v>
      </c>
      <c r="Y420" s="2" t="str">
        <f t="shared" si="37"/>
        <v>Unique</v>
      </c>
      <c r="AA420" s="2" t="str">
        <f t="shared" si="38"/>
        <v>Clean</v>
      </c>
      <c r="AB420" s="2" t="str">
        <f t="shared" si="39"/>
        <v>valid</v>
      </c>
      <c r="AC420">
        <f t="shared" si="54"/>
        <v>0</v>
      </c>
      <c r="AD420">
        <f t="shared" si="55"/>
        <v>21962.400000000001</v>
      </c>
      <c r="AE420">
        <f t="shared" si="56"/>
        <v>6630.4100000000017</v>
      </c>
      <c r="AF420">
        <f t="shared" si="57"/>
        <v>0.3018982442720286</v>
      </c>
      <c r="AG420" t="str">
        <f t="shared" si="58"/>
        <v>September</v>
      </c>
      <c r="AH420">
        <f t="shared" si="59"/>
        <v>2024</v>
      </c>
      <c r="AI420" t="str">
        <f t="shared" si="60"/>
        <v>Warning</v>
      </c>
    </row>
    <row r="421" spans="1:35" ht="15.75" customHeight="1">
      <c r="A421" s="3" t="s">
        <v>2061</v>
      </c>
      <c r="B421" s="3" t="s">
        <v>2062</v>
      </c>
      <c r="C421" s="3" t="s">
        <v>2063</v>
      </c>
      <c r="D421" s="3" t="str">
        <f t="shared" si="34"/>
        <v>30-Sep-2025</v>
      </c>
      <c r="E421" s="3" t="str">
        <f t="shared" si="35"/>
        <v>26-Sep-2025</v>
      </c>
      <c r="F421" s="3">
        <f t="shared" si="36"/>
        <v>4</v>
      </c>
      <c r="G421" s="3" t="s">
        <v>2064</v>
      </c>
      <c r="H421" s="3" t="s">
        <v>176</v>
      </c>
      <c r="I421" s="3" t="s">
        <v>123</v>
      </c>
      <c r="J421" s="3" t="s">
        <v>35</v>
      </c>
      <c r="K421" s="3" t="s">
        <v>331</v>
      </c>
      <c r="L421" s="3" t="s">
        <v>332</v>
      </c>
      <c r="M421" s="3" t="s">
        <v>94</v>
      </c>
      <c r="N421" s="3" t="s">
        <v>231</v>
      </c>
      <c r="O421" s="3" t="s">
        <v>2065</v>
      </c>
      <c r="P421" s="3" t="s">
        <v>56</v>
      </c>
      <c r="Q421" s="3">
        <v>2</v>
      </c>
      <c r="R421" s="3">
        <v>688.83</v>
      </c>
      <c r="S421" s="3">
        <v>0.05</v>
      </c>
      <c r="T421" s="3">
        <v>1308.78</v>
      </c>
      <c r="U421" s="3">
        <v>843</v>
      </c>
      <c r="V421" s="3">
        <v>465.78</v>
      </c>
      <c r="W421" s="3" t="s">
        <v>42</v>
      </c>
      <c r="X421" s="3" t="s">
        <v>43</v>
      </c>
      <c r="Y421" s="2" t="str">
        <f t="shared" si="37"/>
        <v>Unique</v>
      </c>
      <c r="AA421" s="2" t="str">
        <f t="shared" si="38"/>
        <v>Clean</v>
      </c>
      <c r="AB421" s="2" t="str">
        <f t="shared" si="39"/>
        <v>valid</v>
      </c>
      <c r="AC421">
        <f t="shared" si="54"/>
        <v>0.05</v>
      </c>
      <c r="AD421">
        <f t="shared" si="55"/>
        <v>1308.777</v>
      </c>
      <c r="AE421">
        <f t="shared" si="56"/>
        <v>465.77700000000004</v>
      </c>
      <c r="AF421">
        <f t="shared" si="57"/>
        <v>0.35588721378813964</v>
      </c>
      <c r="AG421" t="str">
        <f t="shared" si="58"/>
        <v>September</v>
      </c>
      <c r="AH421">
        <f t="shared" si="59"/>
        <v>2025</v>
      </c>
      <c r="AI421" t="str">
        <f t="shared" si="60"/>
        <v>Clean</v>
      </c>
    </row>
    <row r="422" spans="1:35" ht="15.75" customHeight="1">
      <c r="A422" s="3" t="s">
        <v>2066</v>
      </c>
      <c r="B422" s="3" t="s">
        <v>968</v>
      </c>
      <c r="C422" s="3" t="s">
        <v>2067</v>
      </c>
      <c r="D422" s="3" t="str">
        <f t="shared" si="34"/>
        <v>19-Mar-2025</v>
      </c>
      <c r="E422" s="3" t="str">
        <f t="shared" si="35"/>
        <v>18-Mar-2025</v>
      </c>
      <c r="F422" s="3">
        <f t="shared" si="36"/>
        <v>1</v>
      </c>
      <c r="G422" s="3" t="s">
        <v>2068</v>
      </c>
      <c r="H422" s="3" t="s">
        <v>61</v>
      </c>
      <c r="I422" s="3" t="s">
        <v>116</v>
      </c>
      <c r="J422" s="3" t="s">
        <v>70</v>
      </c>
      <c r="K422" s="3" t="s">
        <v>347</v>
      </c>
      <c r="L422" s="3" t="s">
        <v>348</v>
      </c>
      <c r="M422" s="3" t="s">
        <v>94</v>
      </c>
      <c r="N422" s="3" t="s">
        <v>391</v>
      </c>
      <c r="O422" s="3" t="s">
        <v>2069</v>
      </c>
      <c r="P422" s="3" t="s">
        <v>75</v>
      </c>
      <c r="Q422" s="3">
        <v>2</v>
      </c>
      <c r="R422" s="3">
        <v>1209.99</v>
      </c>
      <c r="S422" s="3">
        <v>0.25</v>
      </c>
      <c r="T422" s="3">
        <v>1814.99</v>
      </c>
      <c r="U422" s="3">
        <v>1120.06</v>
      </c>
      <c r="V422" s="3">
        <v>694.93</v>
      </c>
      <c r="W422" s="3" t="s">
        <v>145</v>
      </c>
      <c r="X422" s="3" t="s">
        <v>86</v>
      </c>
      <c r="Y422" s="2" t="str">
        <f t="shared" si="37"/>
        <v>Unique</v>
      </c>
      <c r="AA422" s="2" t="str">
        <f t="shared" si="38"/>
        <v>Clean</v>
      </c>
      <c r="AB422" s="2" t="str">
        <f t="shared" si="39"/>
        <v>valid</v>
      </c>
      <c r="AC422">
        <f t="shared" si="54"/>
        <v>0.25</v>
      </c>
      <c r="AD422">
        <f t="shared" si="55"/>
        <v>1814.9850000000001</v>
      </c>
      <c r="AE422">
        <f t="shared" si="56"/>
        <v>694.92500000000018</v>
      </c>
      <c r="AF422">
        <f t="shared" si="57"/>
        <v>0.38288195219244242</v>
      </c>
      <c r="AG422" t="str">
        <f t="shared" si="58"/>
        <v>March</v>
      </c>
      <c r="AH422">
        <f t="shared" si="59"/>
        <v>2025</v>
      </c>
      <c r="AI422" t="str">
        <f t="shared" si="60"/>
        <v>Warning</v>
      </c>
    </row>
    <row r="423" spans="1:35" ht="15.75" customHeight="1">
      <c r="A423" s="3" t="s">
        <v>2070</v>
      </c>
      <c r="B423" s="3" t="s">
        <v>2071</v>
      </c>
      <c r="C423" s="3" t="s">
        <v>2072</v>
      </c>
      <c r="D423" s="3" t="str">
        <f t="shared" si="34"/>
        <v>19-Jun-2025</v>
      </c>
      <c r="E423" s="3" t="str">
        <f t="shared" si="35"/>
        <v>14-Jun-2025</v>
      </c>
      <c r="F423" s="3">
        <f t="shared" si="36"/>
        <v>5</v>
      </c>
      <c r="G423" s="3" t="s">
        <v>2073</v>
      </c>
      <c r="H423" s="3" t="s">
        <v>188</v>
      </c>
      <c r="I423" s="3" t="s">
        <v>49</v>
      </c>
      <c r="J423" s="3" t="s">
        <v>35</v>
      </c>
      <c r="K423" s="3" t="s">
        <v>515</v>
      </c>
      <c r="L423" s="3" t="s">
        <v>516</v>
      </c>
      <c r="M423" s="3" t="s">
        <v>38</v>
      </c>
      <c r="N423" s="3" t="s">
        <v>206</v>
      </c>
      <c r="O423" s="3" t="s">
        <v>2074</v>
      </c>
      <c r="P423" s="3" t="s">
        <v>56</v>
      </c>
      <c r="Q423" s="3">
        <v>3</v>
      </c>
      <c r="R423" s="3">
        <v>1037.45</v>
      </c>
      <c r="S423" s="3">
        <v>0.2</v>
      </c>
      <c r="T423" s="3">
        <v>2489.88</v>
      </c>
      <c r="U423" s="3">
        <v>1707.52</v>
      </c>
      <c r="V423" s="3">
        <v>782.36</v>
      </c>
      <c r="W423" s="3" t="s">
        <v>145</v>
      </c>
      <c r="X423" s="3" t="s">
        <v>133</v>
      </c>
      <c r="Y423" s="2" t="str">
        <f t="shared" si="37"/>
        <v>Unique</v>
      </c>
      <c r="AA423" s="2" t="str">
        <f t="shared" si="38"/>
        <v>Clean</v>
      </c>
      <c r="AB423" s="2" t="str">
        <f t="shared" si="39"/>
        <v>valid</v>
      </c>
      <c r="AC423">
        <f t="shared" si="54"/>
        <v>0.2</v>
      </c>
      <c r="AD423">
        <f t="shared" si="55"/>
        <v>2489.8800000000006</v>
      </c>
      <c r="AE423">
        <f t="shared" si="56"/>
        <v>782.36000000000058</v>
      </c>
      <c r="AF423">
        <f t="shared" si="57"/>
        <v>0.31421594615001541</v>
      </c>
      <c r="AG423" t="str">
        <f t="shared" si="58"/>
        <v>June</v>
      </c>
      <c r="AH423">
        <f t="shared" si="59"/>
        <v>2025</v>
      </c>
      <c r="AI423" t="str">
        <f t="shared" si="60"/>
        <v>Clean</v>
      </c>
    </row>
    <row r="424" spans="1:35" ht="15.75" customHeight="1">
      <c r="A424" s="3" t="s">
        <v>2075</v>
      </c>
      <c r="B424" s="3" t="s">
        <v>2076</v>
      </c>
      <c r="C424" s="3" t="s">
        <v>2077</v>
      </c>
      <c r="D424" s="3" t="str">
        <f t="shared" si="34"/>
        <v>06-Sep-2025</v>
      </c>
      <c r="E424" s="3" t="str">
        <f t="shared" si="35"/>
        <v>09-Mar-2025</v>
      </c>
      <c r="F424" s="3">
        <f t="shared" si="36"/>
        <v>181</v>
      </c>
      <c r="G424" s="3" t="s">
        <v>2078</v>
      </c>
      <c r="H424" s="3" t="s">
        <v>375</v>
      </c>
      <c r="I424" s="3" t="s">
        <v>34</v>
      </c>
      <c r="J424" s="3" t="s">
        <v>81</v>
      </c>
      <c r="K424" s="3" t="s">
        <v>92</v>
      </c>
      <c r="L424" s="3" t="s">
        <v>93</v>
      </c>
      <c r="M424" s="3" t="s">
        <v>94</v>
      </c>
      <c r="N424" s="3" t="s">
        <v>102</v>
      </c>
      <c r="O424" s="3" t="s">
        <v>2079</v>
      </c>
      <c r="P424" s="3" t="s">
        <v>56</v>
      </c>
      <c r="Q424" s="3">
        <v>7</v>
      </c>
      <c r="R424" s="3">
        <v>688.85</v>
      </c>
      <c r="S424" s="3">
        <v>0.15</v>
      </c>
      <c r="T424" s="3">
        <v>4098.66</v>
      </c>
      <c r="U424" s="3">
        <v>2678.06</v>
      </c>
      <c r="V424" s="3">
        <v>1420.6</v>
      </c>
      <c r="W424" s="3" t="s">
        <v>42</v>
      </c>
      <c r="X424" s="3" t="s">
        <v>43</v>
      </c>
      <c r="Y424" s="2" t="str">
        <f t="shared" si="37"/>
        <v>Unique</v>
      </c>
      <c r="AA424" s="2" t="str">
        <f t="shared" si="38"/>
        <v>Clean</v>
      </c>
      <c r="AB424" s="2" t="str">
        <f t="shared" si="39"/>
        <v>valid</v>
      </c>
      <c r="AC424">
        <f t="shared" si="54"/>
        <v>0.15</v>
      </c>
      <c r="AD424">
        <f t="shared" si="55"/>
        <v>4098.6574999999993</v>
      </c>
      <c r="AE424">
        <f t="shared" si="56"/>
        <v>1420.5974999999994</v>
      </c>
      <c r="AF424">
        <f t="shared" si="57"/>
        <v>0.34660068571233377</v>
      </c>
      <c r="AG424" t="str">
        <f t="shared" si="58"/>
        <v>March</v>
      </c>
      <c r="AH424">
        <f t="shared" si="59"/>
        <v>2025</v>
      </c>
      <c r="AI424" t="str">
        <f t="shared" si="60"/>
        <v>Clean</v>
      </c>
    </row>
    <row r="425" spans="1:35" ht="15.75" customHeight="1">
      <c r="A425" s="3" t="s">
        <v>2080</v>
      </c>
      <c r="B425" s="3" t="s">
        <v>2081</v>
      </c>
      <c r="C425" s="3" t="s">
        <v>2082</v>
      </c>
      <c r="D425" s="3" t="str">
        <f t="shared" si="34"/>
        <v>27-Feb-2024</v>
      </c>
      <c r="E425" s="3" t="str">
        <f t="shared" si="35"/>
        <v>20-Feb-2024</v>
      </c>
      <c r="F425" s="3">
        <f t="shared" si="36"/>
        <v>7</v>
      </c>
      <c r="G425" s="3" t="s">
        <v>2083</v>
      </c>
      <c r="H425" s="3" t="s">
        <v>218</v>
      </c>
      <c r="I425" s="3" t="s">
        <v>34</v>
      </c>
      <c r="J425" s="3" t="s">
        <v>70</v>
      </c>
      <c r="K425" s="3" t="s">
        <v>250</v>
      </c>
      <c r="L425" s="3" t="s">
        <v>251</v>
      </c>
      <c r="M425" s="3" t="s">
        <v>94</v>
      </c>
      <c r="N425" s="3" t="s">
        <v>95</v>
      </c>
      <c r="O425" s="3" t="s">
        <v>2084</v>
      </c>
      <c r="P425" s="3" t="s">
        <v>64</v>
      </c>
      <c r="Q425" s="3">
        <v>9</v>
      </c>
      <c r="R425" s="3">
        <v>3779.31</v>
      </c>
      <c r="S425" s="3">
        <v>0.2</v>
      </c>
      <c r="T425" s="3">
        <v>27211.03</v>
      </c>
      <c r="U425" s="3">
        <v>17940.43</v>
      </c>
      <c r="V425" s="3">
        <v>9270.6</v>
      </c>
      <c r="W425" s="3" t="s">
        <v>42</v>
      </c>
      <c r="X425" s="3" t="s">
        <v>43</v>
      </c>
      <c r="Y425" s="2" t="str">
        <f t="shared" si="37"/>
        <v>Duplicate Order ID</v>
      </c>
      <c r="Z425" s="5" t="s">
        <v>722</v>
      </c>
      <c r="AA425" s="2" t="str">
        <f t="shared" si="38"/>
        <v>Clean</v>
      </c>
      <c r="AB425" s="2" t="str">
        <f t="shared" si="39"/>
        <v>valid</v>
      </c>
      <c r="AC425">
        <f t="shared" si="54"/>
        <v>0.2</v>
      </c>
      <c r="AD425">
        <f t="shared" si="55"/>
        <v>27211.032000000003</v>
      </c>
      <c r="AE425">
        <f t="shared" si="56"/>
        <v>9270.6020000000026</v>
      </c>
      <c r="AF425">
        <f t="shared" si="57"/>
        <v>0.34069277490100347</v>
      </c>
      <c r="AG425" t="str">
        <f t="shared" si="58"/>
        <v>February</v>
      </c>
      <c r="AH425">
        <f t="shared" si="59"/>
        <v>2024</v>
      </c>
      <c r="AI425" t="str">
        <f t="shared" si="60"/>
        <v>Clean</v>
      </c>
    </row>
    <row r="426" spans="1:35" ht="15.75" customHeight="1">
      <c r="A426" s="3" t="s">
        <v>2085</v>
      </c>
      <c r="B426" s="3" t="s">
        <v>2086</v>
      </c>
      <c r="C426" s="3" t="s">
        <v>2087</v>
      </c>
      <c r="D426" s="3" t="str">
        <f t="shared" si="34"/>
        <v>29-Jun-2024</v>
      </c>
      <c r="E426" s="3" t="str">
        <f t="shared" si="35"/>
        <v>26-Jun-2024</v>
      </c>
      <c r="F426" s="3">
        <f t="shared" si="36"/>
        <v>3</v>
      </c>
      <c r="G426" s="3" t="s">
        <v>2088</v>
      </c>
      <c r="H426" s="3" t="s">
        <v>101</v>
      </c>
      <c r="I426" s="3" t="s">
        <v>116</v>
      </c>
      <c r="J426" s="3" t="s">
        <v>35</v>
      </c>
      <c r="K426" s="3" t="s">
        <v>162</v>
      </c>
      <c r="L426" s="3" t="s">
        <v>163</v>
      </c>
      <c r="M426" s="3" t="s">
        <v>94</v>
      </c>
      <c r="N426" s="3" t="s">
        <v>231</v>
      </c>
      <c r="O426" s="3" t="s">
        <v>2089</v>
      </c>
      <c r="P426" s="3" t="s">
        <v>75</v>
      </c>
      <c r="Q426" s="3">
        <v>8</v>
      </c>
      <c r="R426" s="3">
        <v>804.52</v>
      </c>
      <c r="S426" s="3">
        <v>0</v>
      </c>
      <c r="T426" s="3">
        <v>6436.16</v>
      </c>
      <c r="U426" s="3">
        <v>4263.83</v>
      </c>
      <c r="V426" s="3">
        <v>2172.33</v>
      </c>
      <c r="W426" s="3" t="s">
        <v>42</v>
      </c>
      <c r="X426" s="3" t="s">
        <v>43</v>
      </c>
      <c r="Y426" s="2" t="str">
        <f t="shared" si="37"/>
        <v>Unique</v>
      </c>
      <c r="AA426" s="2" t="str">
        <f t="shared" si="38"/>
        <v>Clean</v>
      </c>
      <c r="AB426" s="2" t="str">
        <f t="shared" si="39"/>
        <v>valid</v>
      </c>
      <c r="AC426">
        <f t="shared" si="54"/>
        <v>0</v>
      </c>
      <c r="AD426">
        <f t="shared" si="55"/>
        <v>6436.16</v>
      </c>
      <c r="AE426">
        <f t="shared" si="56"/>
        <v>2172.33</v>
      </c>
      <c r="AF426">
        <f t="shared" si="57"/>
        <v>0.33751957689056827</v>
      </c>
      <c r="AG426" t="str">
        <f t="shared" si="58"/>
        <v>June</v>
      </c>
      <c r="AH426">
        <f t="shared" si="59"/>
        <v>2024</v>
      </c>
      <c r="AI426" t="str">
        <f t="shared" si="60"/>
        <v>Clean</v>
      </c>
    </row>
    <row r="427" spans="1:35" ht="15.75" customHeight="1">
      <c r="A427" s="3" t="s">
        <v>2090</v>
      </c>
      <c r="B427" s="3" t="s">
        <v>2091</v>
      </c>
      <c r="C427" s="3" t="s">
        <v>2092</v>
      </c>
      <c r="D427" s="3" t="str">
        <f t="shared" si="34"/>
        <v>27-Sep-2024</v>
      </c>
      <c r="E427" s="3" t="str">
        <f t="shared" si="35"/>
        <v>26-Sep-2024</v>
      </c>
      <c r="F427" s="3">
        <f t="shared" si="36"/>
        <v>1</v>
      </c>
      <c r="G427" s="3" t="s">
        <v>2093</v>
      </c>
      <c r="H427" s="3" t="s">
        <v>61</v>
      </c>
      <c r="I427" s="3" t="s">
        <v>123</v>
      </c>
      <c r="J427" s="3" t="s">
        <v>35</v>
      </c>
      <c r="K427" s="3" t="s">
        <v>515</v>
      </c>
      <c r="L427" s="3" t="s">
        <v>516</v>
      </c>
      <c r="M427" s="3" t="s">
        <v>38</v>
      </c>
      <c r="N427" s="3" t="s">
        <v>117</v>
      </c>
      <c r="O427" s="3" t="s">
        <v>2094</v>
      </c>
      <c r="P427" s="3" t="s">
        <v>64</v>
      </c>
      <c r="Q427" s="3">
        <v>2</v>
      </c>
      <c r="R427" s="3">
        <v>1065.69</v>
      </c>
      <c r="S427" s="3">
        <v>0.1</v>
      </c>
      <c r="T427" s="3">
        <v>1918.24</v>
      </c>
      <c r="U427" s="3">
        <v>1373.52</v>
      </c>
      <c r="V427" s="3">
        <v>544.72</v>
      </c>
      <c r="W427" s="3" t="s">
        <v>132</v>
      </c>
      <c r="X427" s="3" t="s">
        <v>86</v>
      </c>
      <c r="Y427" s="2" t="str">
        <f t="shared" si="37"/>
        <v>Unique</v>
      </c>
      <c r="AA427" s="2" t="str">
        <f t="shared" si="38"/>
        <v>Clean</v>
      </c>
      <c r="AB427" s="2" t="str">
        <f t="shared" si="39"/>
        <v>valid</v>
      </c>
      <c r="AC427">
        <f t="shared" si="54"/>
        <v>0.1</v>
      </c>
      <c r="AD427">
        <f t="shared" si="55"/>
        <v>1918.2420000000002</v>
      </c>
      <c r="AE427">
        <f t="shared" si="56"/>
        <v>544.72200000000021</v>
      </c>
      <c r="AF427">
        <f t="shared" si="57"/>
        <v>0.2839693844676533</v>
      </c>
      <c r="AG427" t="str">
        <f t="shared" si="58"/>
        <v>September</v>
      </c>
      <c r="AH427">
        <f t="shared" si="59"/>
        <v>2024</v>
      </c>
      <c r="AI427" t="str">
        <f t="shared" si="60"/>
        <v>Warning</v>
      </c>
    </row>
    <row r="428" spans="1:35" ht="15.75" customHeight="1">
      <c r="A428" s="3" t="s">
        <v>2095</v>
      </c>
      <c r="B428" s="3" t="s">
        <v>2096</v>
      </c>
      <c r="C428" s="3" t="s">
        <v>2097</v>
      </c>
      <c r="D428" s="3" t="str">
        <f t="shared" si="34"/>
        <v>01-Jul-2024</v>
      </c>
      <c r="E428" s="3" t="str">
        <f t="shared" si="35"/>
        <v>30-Jun-2024</v>
      </c>
      <c r="F428" s="3">
        <f t="shared" si="36"/>
        <v>1</v>
      </c>
      <c r="G428" s="3" t="s">
        <v>2098</v>
      </c>
      <c r="H428" s="3" t="s">
        <v>115</v>
      </c>
      <c r="I428" s="3" t="s">
        <v>34</v>
      </c>
      <c r="J428" s="3" t="s">
        <v>35</v>
      </c>
      <c r="K428" s="3" t="s">
        <v>331</v>
      </c>
      <c r="L428" s="3" t="s">
        <v>332</v>
      </c>
      <c r="M428" s="3" t="s">
        <v>94</v>
      </c>
      <c r="N428" s="3" t="s">
        <v>102</v>
      </c>
      <c r="O428" s="3" t="s">
        <v>2099</v>
      </c>
      <c r="P428" s="3" t="s">
        <v>56</v>
      </c>
      <c r="Q428" s="3">
        <v>8</v>
      </c>
      <c r="R428" s="3">
        <v>3756.66</v>
      </c>
      <c r="S428" s="3">
        <v>0.1</v>
      </c>
      <c r="T428" s="3">
        <v>27047.95</v>
      </c>
      <c r="U428" s="3">
        <v>18431.330000000002</v>
      </c>
      <c r="V428" s="3">
        <v>8616.6200000000008</v>
      </c>
      <c r="W428" s="3" t="s">
        <v>42</v>
      </c>
      <c r="X428" s="3" t="s">
        <v>43</v>
      </c>
      <c r="Y428" s="2" t="str">
        <f t="shared" si="37"/>
        <v>Unique</v>
      </c>
      <c r="AA428" s="2" t="str">
        <f t="shared" si="38"/>
        <v>Clean</v>
      </c>
      <c r="AB428" s="2" t="str">
        <f t="shared" si="39"/>
        <v>valid</v>
      </c>
      <c r="AC428">
        <f t="shared" si="54"/>
        <v>0.1</v>
      </c>
      <c r="AD428">
        <f t="shared" si="55"/>
        <v>27047.952000000001</v>
      </c>
      <c r="AE428">
        <f t="shared" si="56"/>
        <v>8616.6219999999994</v>
      </c>
      <c r="AF428">
        <f t="shared" si="57"/>
        <v>0.31856837072174626</v>
      </c>
      <c r="AG428" t="str">
        <f t="shared" si="58"/>
        <v>June</v>
      </c>
      <c r="AH428">
        <f t="shared" si="59"/>
        <v>2024</v>
      </c>
      <c r="AI428" t="str">
        <f t="shared" si="60"/>
        <v>Clean</v>
      </c>
    </row>
    <row r="429" spans="1:35" ht="15.75" customHeight="1">
      <c r="A429" s="3" t="s">
        <v>2100</v>
      </c>
      <c r="B429" s="3" t="s">
        <v>2101</v>
      </c>
      <c r="C429" s="3" t="s">
        <v>2102</v>
      </c>
      <c r="D429" s="3" t="str">
        <f t="shared" si="34"/>
        <v>24-Apr-2025</v>
      </c>
      <c r="E429" s="3" t="str">
        <f t="shared" si="35"/>
        <v>22-Apr-2025</v>
      </c>
      <c r="F429" s="3">
        <f t="shared" si="36"/>
        <v>2</v>
      </c>
      <c r="G429" s="3" t="s">
        <v>2103</v>
      </c>
      <c r="H429" s="3" t="s">
        <v>61</v>
      </c>
      <c r="I429" s="3" t="s">
        <v>116</v>
      </c>
      <c r="J429" s="3" t="s">
        <v>280</v>
      </c>
      <c r="K429" s="3" t="s">
        <v>319</v>
      </c>
      <c r="L429" s="3" t="s">
        <v>320</v>
      </c>
      <c r="M429" s="3" t="s">
        <v>94</v>
      </c>
      <c r="N429" s="3" t="s">
        <v>95</v>
      </c>
      <c r="O429" s="3" t="s">
        <v>2104</v>
      </c>
      <c r="P429" s="3" t="s">
        <v>75</v>
      </c>
      <c r="Q429" s="3">
        <v>9</v>
      </c>
      <c r="R429" s="3">
        <v>2939.44</v>
      </c>
      <c r="S429" s="3">
        <v>0</v>
      </c>
      <c r="T429" s="3">
        <v>26454.959999999999</v>
      </c>
      <c r="U429" s="3">
        <v>17630.25</v>
      </c>
      <c r="V429" s="3">
        <v>8824.7099999999991</v>
      </c>
      <c r="W429" s="3" t="s">
        <v>42</v>
      </c>
      <c r="X429" s="3" t="s">
        <v>43</v>
      </c>
      <c r="Y429" s="2" t="str">
        <f t="shared" si="37"/>
        <v>Unique</v>
      </c>
      <c r="AA429" s="2" t="str">
        <f t="shared" si="38"/>
        <v>Clean</v>
      </c>
      <c r="AB429" s="2" t="str">
        <f t="shared" si="39"/>
        <v>valid</v>
      </c>
      <c r="AC429">
        <f t="shared" si="54"/>
        <v>0</v>
      </c>
      <c r="AD429">
        <f t="shared" si="55"/>
        <v>26454.959999999999</v>
      </c>
      <c r="AE429">
        <f t="shared" si="56"/>
        <v>8824.7099999999991</v>
      </c>
      <c r="AF429">
        <f t="shared" si="57"/>
        <v>0.33357487594008833</v>
      </c>
      <c r="AG429" t="str">
        <f t="shared" si="58"/>
        <v>April</v>
      </c>
      <c r="AH429">
        <f t="shared" si="59"/>
        <v>2025</v>
      </c>
      <c r="AI429" t="str">
        <f t="shared" si="60"/>
        <v>Clean</v>
      </c>
    </row>
    <row r="430" spans="1:35" ht="15.75" customHeight="1">
      <c r="A430" s="3" t="s">
        <v>2105</v>
      </c>
      <c r="B430" s="3" t="s">
        <v>2106</v>
      </c>
      <c r="C430" s="3" t="s">
        <v>2107</v>
      </c>
      <c r="D430" s="3" t="str">
        <f t="shared" si="34"/>
        <v>22-Mar-2025</v>
      </c>
      <c r="E430" s="3" t="str">
        <f t="shared" si="35"/>
        <v>15-Mar-2025</v>
      </c>
      <c r="F430" s="3">
        <f t="shared" si="36"/>
        <v>7</v>
      </c>
      <c r="G430" s="3" t="s">
        <v>2108</v>
      </c>
      <c r="H430" s="3" t="s">
        <v>33</v>
      </c>
      <c r="I430" s="3" t="s">
        <v>49</v>
      </c>
      <c r="J430" s="3" t="s">
        <v>50</v>
      </c>
      <c r="K430" s="3" t="s">
        <v>129</v>
      </c>
      <c r="L430" s="3" t="s">
        <v>130</v>
      </c>
      <c r="M430" s="3" t="s">
        <v>94</v>
      </c>
      <c r="N430" s="3" t="s">
        <v>231</v>
      </c>
      <c r="O430" s="3" t="s">
        <v>2109</v>
      </c>
      <c r="P430" s="3" t="s">
        <v>56</v>
      </c>
      <c r="Q430" s="3">
        <v>2</v>
      </c>
      <c r="R430" s="3">
        <v>1235.93</v>
      </c>
      <c r="S430" s="3">
        <v>0.25</v>
      </c>
      <c r="T430" s="3">
        <v>1853.89</v>
      </c>
      <c r="U430" s="3">
        <v>1101.23</v>
      </c>
      <c r="V430" s="3">
        <v>752.66</v>
      </c>
      <c r="W430" s="3" t="s">
        <v>145</v>
      </c>
      <c r="X430" s="3" t="s">
        <v>86</v>
      </c>
      <c r="Y430" s="2" t="str">
        <f t="shared" si="37"/>
        <v>Unique</v>
      </c>
      <c r="AA430" s="2" t="str">
        <f t="shared" si="38"/>
        <v>Clean</v>
      </c>
      <c r="AB430" s="2" t="str">
        <f t="shared" si="39"/>
        <v>valid</v>
      </c>
      <c r="AC430">
        <f t="shared" si="54"/>
        <v>0.25</v>
      </c>
      <c r="AD430">
        <f t="shared" si="55"/>
        <v>1853.895</v>
      </c>
      <c r="AE430">
        <f t="shared" si="56"/>
        <v>752.66499999999996</v>
      </c>
      <c r="AF430">
        <f t="shared" si="57"/>
        <v>0.40599116994220275</v>
      </c>
      <c r="AG430" t="str">
        <f t="shared" si="58"/>
        <v>March</v>
      </c>
      <c r="AH430">
        <f t="shared" si="59"/>
        <v>2025</v>
      </c>
      <c r="AI430" t="str">
        <f t="shared" si="60"/>
        <v>Warning</v>
      </c>
    </row>
    <row r="431" spans="1:35" ht="15.75" customHeight="1">
      <c r="A431" s="3" t="s">
        <v>2110</v>
      </c>
      <c r="B431" s="3" t="s">
        <v>2111</v>
      </c>
      <c r="C431" s="3" t="s">
        <v>2112</v>
      </c>
      <c r="D431" s="3" t="str">
        <f t="shared" si="34"/>
        <v>08-Mar-2025</v>
      </c>
      <c r="E431" s="3" t="str">
        <f t="shared" si="35"/>
        <v>01-Mar-2025</v>
      </c>
      <c r="F431" s="3">
        <f t="shared" si="36"/>
        <v>7</v>
      </c>
      <c r="G431" s="3" t="s">
        <v>2113</v>
      </c>
      <c r="H431" s="3" t="s">
        <v>101</v>
      </c>
      <c r="I431" s="3" t="s">
        <v>123</v>
      </c>
      <c r="J431" s="3" t="s">
        <v>35</v>
      </c>
      <c r="K431" s="3" t="s">
        <v>36</v>
      </c>
      <c r="L431" s="3" t="s">
        <v>37</v>
      </c>
      <c r="M431" s="3" t="s">
        <v>94</v>
      </c>
      <c r="N431" s="3" t="s">
        <v>102</v>
      </c>
      <c r="O431" s="3" t="s">
        <v>2114</v>
      </c>
      <c r="P431" s="3" t="s">
        <v>56</v>
      </c>
      <c r="Q431" s="3">
        <v>8</v>
      </c>
      <c r="R431" s="3">
        <v>2943.1</v>
      </c>
      <c r="S431" s="3">
        <v>0.25</v>
      </c>
      <c r="T431" s="3">
        <v>17658.599999999999</v>
      </c>
      <c r="U431" s="3">
        <v>13842.48</v>
      </c>
      <c r="V431" s="3">
        <v>3816.12</v>
      </c>
      <c r="W431" s="3" t="s">
        <v>42</v>
      </c>
      <c r="X431" s="3" t="s">
        <v>43</v>
      </c>
      <c r="Y431" s="2" t="str">
        <f t="shared" si="37"/>
        <v>Unique</v>
      </c>
      <c r="AA431" s="2" t="str">
        <f t="shared" si="38"/>
        <v>Clean</v>
      </c>
      <c r="AB431" s="2" t="str">
        <f t="shared" si="39"/>
        <v>valid</v>
      </c>
      <c r="AC431">
        <f t="shared" si="54"/>
        <v>0.25</v>
      </c>
      <c r="AD431">
        <f t="shared" si="55"/>
        <v>17658.599999999999</v>
      </c>
      <c r="AE431">
        <f t="shared" si="56"/>
        <v>3816.119999999999</v>
      </c>
      <c r="AF431">
        <f t="shared" si="57"/>
        <v>0.2161054670245659</v>
      </c>
      <c r="AG431" t="str">
        <f t="shared" si="58"/>
        <v>March</v>
      </c>
      <c r="AH431">
        <f t="shared" si="59"/>
        <v>2025</v>
      </c>
      <c r="AI431" t="str">
        <f t="shared" si="60"/>
        <v>Clean</v>
      </c>
    </row>
    <row r="432" spans="1:35" ht="15.75" customHeight="1">
      <c r="A432" s="3" t="s">
        <v>2115</v>
      </c>
      <c r="B432" s="3" t="s">
        <v>2116</v>
      </c>
      <c r="C432" s="3" t="s">
        <v>2117</v>
      </c>
      <c r="D432" s="3" t="str">
        <f t="shared" si="34"/>
        <v>02-Sep-2024</v>
      </c>
      <c r="E432" s="3" t="str">
        <f t="shared" si="35"/>
        <v>30-Aug-2024</v>
      </c>
      <c r="F432" s="3">
        <f t="shared" si="36"/>
        <v>3</v>
      </c>
      <c r="G432" s="3" t="s">
        <v>2118</v>
      </c>
      <c r="H432" s="3" t="s">
        <v>101</v>
      </c>
      <c r="I432" s="3" t="s">
        <v>49</v>
      </c>
      <c r="J432" s="3" t="s">
        <v>35</v>
      </c>
      <c r="K432" s="3" t="s">
        <v>331</v>
      </c>
      <c r="L432" s="3" t="s">
        <v>332</v>
      </c>
      <c r="M432" s="3" t="s">
        <v>38</v>
      </c>
      <c r="N432" s="3" t="s">
        <v>39</v>
      </c>
      <c r="O432" s="3" t="s">
        <v>2119</v>
      </c>
      <c r="P432" s="3" t="s">
        <v>41</v>
      </c>
      <c r="Q432" s="3">
        <v>1</v>
      </c>
      <c r="R432" s="3">
        <v>4320.84</v>
      </c>
      <c r="S432" s="3">
        <v>0.15</v>
      </c>
      <c r="T432" s="3">
        <v>3672.71</v>
      </c>
      <c r="U432" s="3">
        <v>2714.23</v>
      </c>
      <c r="V432" s="3">
        <v>763.38</v>
      </c>
      <c r="W432" s="3" t="s">
        <v>42</v>
      </c>
      <c r="X432" s="3" t="s">
        <v>43</v>
      </c>
      <c r="Y432" s="2" t="str">
        <f t="shared" si="37"/>
        <v>Unique</v>
      </c>
      <c r="AA432" s="2" t="str">
        <f t="shared" si="38"/>
        <v>Clean</v>
      </c>
      <c r="AB432" s="2" t="str">
        <f t="shared" si="39"/>
        <v>valid</v>
      </c>
      <c r="AC432">
        <f t="shared" si="54"/>
        <v>0.15</v>
      </c>
      <c r="AD432">
        <f t="shared" si="55"/>
        <v>3672.7139999999999</v>
      </c>
      <c r="AE432">
        <f t="shared" si="56"/>
        <v>958.48399999999992</v>
      </c>
      <c r="AF432">
        <f t="shared" si="57"/>
        <v>0.26097430946161337</v>
      </c>
      <c r="AG432" t="str">
        <f t="shared" si="58"/>
        <v>August</v>
      </c>
      <c r="AH432">
        <f t="shared" si="59"/>
        <v>2024</v>
      </c>
      <c r="AI432" t="str">
        <f t="shared" si="60"/>
        <v>Clean</v>
      </c>
    </row>
    <row r="433" spans="1:35" ht="15.75" customHeight="1">
      <c r="A433" s="3" t="s">
        <v>2120</v>
      </c>
      <c r="B433" s="3" t="s">
        <v>2121</v>
      </c>
      <c r="C433" s="3" t="s">
        <v>2122</v>
      </c>
      <c r="D433" s="3" t="str">
        <f t="shared" si="34"/>
        <v>13-Feb-2024</v>
      </c>
      <c r="E433" s="3" t="str">
        <f t="shared" si="35"/>
        <v>10-Feb-2024</v>
      </c>
      <c r="F433" s="3">
        <f t="shared" si="36"/>
        <v>3</v>
      </c>
      <c r="G433" s="3" t="s">
        <v>2123</v>
      </c>
      <c r="H433" s="3" t="s">
        <v>33</v>
      </c>
      <c r="I433" s="3" t="s">
        <v>123</v>
      </c>
      <c r="J433" s="3" t="s">
        <v>81</v>
      </c>
      <c r="K433" s="3" t="s">
        <v>257</v>
      </c>
      <c r="L433" s="3" t="s">
        <v>258</v>
      </c>
      <c r="M433" s="3" t="s">
        <v>94</v>
      </c>
      <c r="N433" s="3" t="s">
        <v>391</v>
      </c>
      <c r="O433" s="3" t="s">
        <v>2124</v>
      </c>
      <c r="P433" s="3" t="s">
        <v>56</v>
      </c>
      <c r="Q433" s="3">
        <v>2</v>
      </c>
      <c r="R433" s="3">
        <v>4118.45</v>
      </c>
      <c r="S433" s="3">
        <v>0.25</v>
      </c>
      <c r="T433" s="3">
        <v>6177.67</v>
      </c>
      <c r="U433" s="3">
        <v>4520.75</v>
      </c>
      <c r="V433" s="3">
        <v>1656.92</v>
      </c>
      <c r="W433" s="3" t="s">
        <v>42</v>
      </c>
      <c r="X433" s="3" t="s">
        <v>43</v>
      </c>
      <c r="Y433" s="2" t="str">
        <f t="shared" si="37"/>
        <v>Unique</v>
      </c>
      <c r="AA433" s="2" t="str">
        <f t="shared" si="38"/>
        <v>Clean</v>
      </c>
      <c r="AB433" s="2" t="str">
        <f t="shared" si="39"/>
        <v>valid</v>
      </c>
      <c r="AC433">
        <f t="shared" si="54"/>
        <v>0.25</v>
      </c>
      <c r="AD433">
        <f t="shared" si="55"/>
        <v>6177.6749999999993</v>
      </c>
      <c r="AE433">
        <f t="shared" si="56"/>
        <v>1656.9249999999993</v>
      </c>
      <c r="AF433">
        <f t="shared" si="57"/>
        <v>0.26821174632851347</v>
      </c>
      <c r="AG433" t="str">
        <f t="shared" si="58"/>
        <v>February</v>
      </c>
      <c r="AH433">
        <f t="shared" si="59"/>
        <v>2024</v>
      </c>
      <c r="AI433" t="str">
        <f t="shared" si="60"/>
        <v>Clean</v>
      </c>
    </row>
    <row r="434" spans="1:35" ht="15.75" customHeight="1">
      <c r="A434" s="3" t="s">
        <v>2125</v>
      </c>
      <c r="B434" s="3" t="s">
        <v>1944</v>
      </c>
      <c r="C434" s="3" t="s">
        <v>2117</v>
      </c>
      <c r="D434" s="3" t="str">
        <f t="shared" si="34"/>
        <v>02-Sep-2024</v>
      </c>
      <c r="E434" s="3" t="str">
        <f t="shared" si="35"/>
        <v>29-Aug-2024</v>
      </c>
      <c r="F434" s="3">
        <f t="shared" si="36"/>
        <v>4</v>
      </c>
      <c r="G434" s="3" t="s">
        <v>2126</v>
      </c>
      <c r="H434" s="3" t="s">
        <v>150</v>
      </c>
      <c r="I434" s="3" t="s">
        <v>49</v>
      </c>
      <c r="J434" s="3" t="s">
        <v>81</v>
      </c>
      <c r="K434" s="3" t="s">
        <v>82</v>
      </c>
      <c r="L434" s="3" t="s">
        <v>83</v>
      </c>
      <c r="M434" s="3" t="s">
        <v>53</v>
      </c>
      <c r="N434" s="3" t="s">
        <v>212</v>
      </c>
      <c r="O434" s="3" t="s">
        <v>2127</v>
      </c>
      <c r="P434" s="3" t="s">
        <v>75</v>
      </c>
      <c r="Q434" s="3">
        <v>6</v>
      </c>
      <c r="R434" s="3">
        <v>172.82</v>
      </c>
      <c r="S434" s="3">
        <v>0.05</v>
      </c>
      <c r="T434" s="3">
        <v>985.07</v>
      </c>
      <c r="U434" s="3">
        <v>844.48</v>
      </c>
      <c r="V434" s="3">
        <v>140.59</v>
      </c>
      <c r="W434" s="3" t="s">
        <v>42</v>
      </c>
      <c r="X434" s="3" t="s">
        <v>43</v>
      </c>
      <c r="Y434" s="2" t="str">
        <f t="shared" si="37"/>
        <v>Unique</v>
      </c>
      <c r="AA434" s="2" t="str">
        <f t="shared" si="38"/>
        <v>Clean</v>
      </c>
      <c r="AB434" s="2" t="str">
        <f t="shared" si="39"/>
        <v>valid</v>
      </c>
      <c r="AC434">
        <f t="shared" si="54"/>
        <v>0.05</v>
      </c>
      <c r="AD434">
        <f t="shared" si="55"/>
        <v>985.07400000000007</v>
      </c>
      <c r="AE434">
        <f t="shared" si="56"/>
        <v>140.59400000000005</v>
      </c>
      <c r="AF434">
        <f t="shared" si="57"/>
        <v>0.14272430294576857</v>
      </c>
      <c r="AG434" t="str">
        <f t="shared" si="58"/>
        <v>August</v>
      </c>
      <c r="AH434">
        <f t="shared" si="59"/>
        <v>2024</v>
      </c>
      <c r="AI434" t="str">
        <f t="shared" si="60"/>
        <v>Clean</v>
      </c>
    </row>
    <row r="435" spans="1:35" ht="15.75" customHeight="1">
      <c r="A435" s="3" t="s">
        <v>2128</v>
      </c>
      <c r="B435" s="3" t="s">
        <v>2129</v>
      </c>
      <c r="C435" s="3" t="s">
        <v>2130</v>
      </c>
      <c r="D435" s="3" t="str">
        <f t="shared" si="34"/>
        <v>20-Apr-2024</v>
      </c>
      <c r="E435" s="3" t="str">
        <f t="shared" si="35"/>
        <v>19-Apr-2024</v>
      </c>
      <c r="F435" s="3">
        <f t="shared" si="36"/>
        <v>1</v>
      </c>
      <c r="G435" s="3" t="s">
        <v>2131</v>
      </c>
      <c r="H435" s="3" t="s">
        <v>150</v>
      </c>
      <c r="I435" s="3" t="s">
        <v>116</v>
      </c>
      <c r="J435" s="3" t="s">
        <v>70</v>
      </c>
      <c r="K435" s="3" t="s">
        <v>250</v>
      </c>
      <c r="L435" s="3" t="s">
        <v>251</v>
      </c>
      <c r="M435" s="3" t="s">
        <v>38</v>
      </c>
      <c r="N435" s="3" t="s">
        <v>62</v>
      </c>
      <c r="O435" s="3" t="s">
        <v>2132</v>
      </c>
      <c r="P435" s="3" t="s">
        <v>41</v>
      </c>
      <c r="Q435" s="3">
        <v>4</v>
      </c>
      <c r="R435" s="3">
        <v>1540.22</v>
      </c>
      <c r="S435" s="3">
        <v>0</v>
      </c>
      <c r="T435" s="3">
        <v>6160.88</v>
      </c>
      <c r="U435" s="3">
        <v>4938.7</v>
      </c>
      <c r="V435" s="3">
        <v>1222.18</v>
      </c>
      <c r="W435" s="3" t="s">
        <v>132</v>
      </c>
      <c r="X435" s="3" t="s">
        <v>133</v>
      </c>
      <c r="Y435" s="2" t="str">
        <f t="shared" si="37"/>
        <v>Unique</v>
      </c>
      <c r="AA435" s="2" t="str">
        <f t="shared" si="38"/>
        <v>Clean</v>
      </c>
      <c r="AB435" s="2" t="str">
        <f t="shared" si="39"/>
        <v>valid</v>
      </c>
      <c r="AC435">
        <f t="shared" si="54"/>
        <v>0</v>
      </c>
      <c r="AD435">
        <f t="shared" si="55"/>
        <v>6160.88</v>
      </c>
      <c r="AE435">
        <f t="shared" si="56"/>
        <v>1222.1800000000003</v>
      </c>
      <c r="AF435">
        <f t="shared" si="57"/>
        <v>0.19837750451234243</v>
      </c>
      <c r="AG435" t="str">
        <f t="shared" si="58"/>
        <v>April</v>
      </c>
      <c r="AH435">
        <f t="shared" si="59"/>
        <v>2024</v>
      </c>
      <c r="AI435" t="str">
        <f t="shared" si="60"/>
        <v>Clean</v>
      </c>
    </row>
    <row r="436" spans="1:35" ht="15.75" customHeight="1">
      <c r="A436" s="3" t="s">
        <v>2133</v>
      </c>
      <c r="B436" s="3" t="s">
        <v>2134</v>
      </c>
      <c r="C436" s="3" t="s">
        <v>2135</v>
      </c>
      <c r="D436" s="3" t="str">
        <f t="shared" si="34"/>
        <v>15-Apr-2025</v>
      </c>
      <c r="E436" s="3" t="str">
        <f t="shared" si="35"/>
        <v>04-Nov-2025</v>
      </c>
      <c r="F436" s="3">
        <f t="shared" si="36"/>
        <v>-203</v>
      </c>
      <c r="G436" s="3" t="s">
        <v>2136</v>
      </c>
      <c r="H436" s="3" t="s">
        <v>48</v>
      </c>
      <c r="I436" s="3" t="s">
        <v>123</v>
      </c>
      <c r="J436" s="3" t="s">
        <v>35</v>
      </c>
      <c r="K436" s="3" t="s">
        <v>182</v>
      </c>
      <c r="L436" s="3" t="s">
        <v>183</v>
      </c>
      <c r="M436" s="3" t="s">
        <v>94</v>
      </c>
      <c r="N436" s="3" t="s">
        <v>95</v>
      </c>
      <c r="O436" s="3" t="s">
        <v>2137</v>
      </c>
      <c r="P436" s="3" t="s">
        <v>41</v>
      </c>
      <c r="Q436" s="3">
        <v>5</v>
      </c>
      <c r="R436" s="3">
        <v>652.78</v>
      </c>
      <c r="S436" s="3">
        <v>0</v>
      </c>
      <c r="T436" s="3">
        <v>3263.9</v>
      </c>
      <c r="U436" s="3">
        <v>2068.44</v>
      </c>
      <c r="V436" s="3">
        <v>1195.46</v>
      </c>
      <c r="W436" s="3" t="s">
        <v>42</v>
      </c>
      <c r="X436" s="3" t="s">
        <v>43</v>
      </c>
      <c r="Y436" s="2" t="str">
        <f t="shared" si="37"/>
        <v>Unique</v>
      </c>
      <c r="AA436" s="2" t="str">
        <f t="shared" si="38"/>
        <v>Clean</v>
      </c>
      <c r="AB436" s="2" t="str">
        <f t="shared" si="39"/>
        <v>Invalid</v>
      </c>
      <c r="AC436">
        <f t="shared" si="54"/>
        <v>0</v>
      </c>
      <c r="AD436">
        <f t="shared" si="55"/>
        <v>3263.8999999999996</v>
      </c>
      <c r="AE436">
        <f t="shared" si="56"/>
        <v>1195.4599999999996</v>
      </c>
      <c r="AF436">
        <f t="shared" si="57"/>
        <v>0.3662673488771101</v>
      </c>
      <c r="AG436" t="str">
        <f t="shared" si="58"/>
        <v>November</v>
      </c>
      <c r="AH436">
        <f t="shared" si="59"/>
        <v>2025</v>
      </c>
      <c r="AI436" t="str">
        <f t="shared" si="60"/>
        <v>Clean</v>
      </c>
    </row>
    <row r="437" spans="1:35" ht="15.75" customHeight="1">
      <c r="A437" s="3" t="s">
        <v>2138</v>
      </c>
      <c r="B437" s="3" t="s">
        <v>2139</v>
      </c>
      <c r="C437" s="3" t="s">
        <v>1032</v>
      </c>
      <c r="D437" s="3" t="str">
        <f t="shared" si="34"/>
        <v>20-Apr-2025</v>
      </c>
      <c r="E437" s="3" t="str">
        <f t="shared" si="35"/>
        <v>12-Apr-2025</v>
      </c>
      <c r="F437" s="3">
        <f t="shared" si="36"/>
        <v>8</v>
      </c>
      <c r="G437" s="3" t="s">
        <v>2140</v>
      </c>
      <c r="H437" s="3" t="s">
        <v>375</v>
      </c>
      <c r="I437" s="3" t="s">
        <v>123</v>
      </c>
      <c r="J437" s="3" t="s">
        <v>35</v>
      </c>
      <c r="K437" s="3" t="s">
        <v>515</v>
      </c>
      <c r="L437" s="3" t="s">
        <v>516</v>
      </c>
      <c r="M437" s="3" t="s">
        <v>94</v>
      </c>
      <c r="N437" s="3" t="s">
        <v>391</v>
      </c>
      <c r="O437" s="3" t="s">
        <v>2141</v>
      </c>
      <c r="P437" s="3" t="s">
        <v>75</v>
      </c>
      <c r="Q437" s="3">
        <v>1</v>
      </c>
      <c r="R437" s="3">
        <v>2737.71</v>
      </c>
      <c r="S437" s="3">
        <v>0.15</v>
      </c>
      <c r="T437" s="3">
        <v>2327.0500000000002</v>
      </c>
      <c r="U437" s="3">
        <v>1919.42</v>
      </c>
      <c r="V437" s="3">
        <v>407.63</v>
      </c>
      <c r="W437" s="3" t="s">
        <v>42</v>
      </c>
      <c r="X437" s="3" t="s">
        <v>86</v>
      </c>
      <c r="Y437" s="2" t="str">
        <f t="shared" si="37"/>
        <v>Unique</v>
      </c>
      <c r="AA437" s="2" t="str">
        <f t="shared" si="38"/>
        <v>Clean</v>
      </c>
      <c r="AB437" s="2" t="str">
        <f t="shared" si="39"/>
        <v>valid</v>
      </c>
      <c r="AC437">
        <f t="shared" si="54"/>
        <v>0.15</v>
      </c>
      <c r="AD437">
        <f t="shared" si="55"/>
        <v>2327.0535</v>
      </c>
      <c r="AE437">
        <f t="shared" si="56"/>
        <v>407.63349999999991</v>
      </c>
      <c r="AF437">
        <f t="shared" si="57"/>
        <v>0.17517152055163318</v>
      </c>
      <c r="AG437" t="str">
        <f t="shared" si="58"/>
        <v>April</v>
      </c>
      <c r="AH437">
        <f t="shared" si="59"/>
        <v>2025</v>
      </c>
      <c r="AI437" t="str">
        <f t="shared" si="60"/>
        <v>Warning</v>
      </c>
    </row>
    <row r="438" spans="1:35" ht="15.75" customHeight="1">
      <c r="A438" s="3" t="s">
        <v>2142</v>
      </c>
      <c r="B438" s="3" t="s">
        <v>2143</v>
      </c>
      <c r="C438" s="3" t="s">
        <v>2144</v>
      </c>
      <c r="D438" s="3" t="str">
        <f t="shared" si="34"/>
        <v>21-Jun-2024</v>
      </c>
      <c r="E438" s="3" t="str">
        <f t="shared" si="35"/>
        <v>16-Jun-2024</v>
      </c>
      <c r="F438" s="3">
        <f t="shared" si="36"/>
        <v>5</v>
      </c>
      <c r="G438" s="3" t="s">
        <v>2145</v>
      </c>
      <c r="H438" s="3" t="s">
        <v>101</v>
      </c>
      <c r="I438" s="3" t="s">
        <v>34</v>
      </c>
      <c r="J438" s="3" t="s">
        <v>70</v>
      </c>
      <c r="K438" s="3" t="s">
        <v>250</v>
      </c>
      <c r="L438" s="3" t="s">
        <v>251</v>
      </c>
      <c r="M438" s="3" t="s">
        <v>53</v>
      </c>
      <c r="N438" s="3" t="s">
        <v>73</v>
      </c>
      <c r="O438" s="3" t="s">
        <v>2146</v>
      </c>
      <c r="P438" s="3" t="s">
        <v>56</v>
      </c>
      <c r="Q438" s="3">
        <v>6</v>
      </c>
      <c r="R438" s="3">
        <v>1156.78</v>
      </c>
      <c r="S438" s="3">
        <v>0.05</v>
      </c>
      <c r="T438" s="3">
        <v>6593.65</v>
      </c>
      <c r="U438" s="3">
        <v>4359.3900000000003</v>
      </c>
      <c r="V438" s="3">
        <v>2234.2600000000002</v>
      </c>
      <c r="W438" s="3" t="s">
        <v>42</v>
      </c>
      <c r="X438" s="3" t="s">
        <v>133</v>
      </c>
      <c r="Y438" s="2" t="str">
        <f t="shared" si="37"/>
        <v>Unique</v>
      </c>
      <c r="AA438" s="2" t="str">
        <f t="shared" si="38"/>
        <v>Clean</v>
      </c>
      <c r="AB438" s="2" t="str">
        <f t="shared" si="39"/>
        <v>valid</v>
      </c>
      <c r="AC438">
        <f t="shared" si="54"/>
        <v>0.05</v>
      </c>
      <c r="AD438">
        <f t="shared" si="55"/>
        <v>6593.6459999999997</v>
      </c>
      <c r="AE438">
        <f t="shared" si="56"/>
        <v>2234.2559999999994</v>
      </c>
      <c r="AF438">
        <f t="shared" si="57"/>
        <v>0.33884985636171544</v>
      </c>
      <c r="AG438" t="str">
        <f t="shared" si="58"/>
        <v>June</v>
      </c>
      <c r="AH438">
        <f t="shared" si="59"/>
        <v>2024</v>
      </c>
      <c r="AI438" t="str">
        <f t="shared" si="60"/>
        <v>Clean</v>
      </c>
    </row>
    <row r="439" spans="1:35" ht="15.75" customHeight="1">
      <c r="A439" s="3" t="s">
        <v>2147</v>
      </c>
      <c r="B439" s="3" t="s">
        <v>2148</v>
      </c>
      <c r="C439" s="3" t="s">
        <v>2149</v>
      </c>
      <c r="D439" s="3" t="str">
        <f t="shared" si="34"/>
        <v>18-Feb-2024</v>
      </c>
      <c r="E439" s="3" t="str">
        <f t="shared" si="35"/>
        <v>15-Feb-2024</v>
      </c>
      <c r="F439" s="3">
        <f t="shared" si="36"/>
        <v>3</v>
      </c>
      <c r="G439" s="3" t="s">
        <v>2150</v>
      </c>
      <c r="H439" s="3" t="s">
        <v>115</v>
      </c>
      <c r="I439" s="3" t="s">
        <v>49</v>
      </c>
      <c r="J439" s="3" t="s">
        <v>70</v>
      </c>
      <c r="K439" s="3" t="s">
        <v>250</v>
      </c>
      <c r="L439" s="3" t="s">
        <v>251</v>
      </c>
      <c r="M439" s="3" t="s">
        <v>94</v>
      </c>
      <c r="N439" s="3" t="s">
        <v>95</v>
      </c>
      <c r="O439" s="3" t="s">
        <v>2151</v>
      </c>
      <c r="P439" s="3" t="s">
        <v>56</v>
      </c>
      <c r="Q439" s="3">
        <v>8</v>
      </c>
      <c r="R439" s="3">
        <v>379.82</v>
      </c>
      <c r="S439" s="3">
        <v>0.05</v>
      </c>
      <c r="T439" s="3">
        <v>2886.63</v>
      </c>
      <c r="U439" s="3">
        <v>1588.23</v>
      </c>
      <c r="V439" s="3">
        <v>1298.4000000000001</v>
      </c>
      <c r="W439" s="3" t="s">
        <v>208</v>
      </c>
      <c r="X439" s="3" t="s">
        <v>133</v>
      </c>
      <c r="Y439" s="2" t="str">
        <f t="shared" si="37"/>
        <v>Unique</v>
      </c>
      <c r="AA439" s="2" t="str">
        <f t="shared" si="38"/>
        <v>Clean</v>
      </c>
      <c r="AB439" s="2" t="str">
        <f t="shared" si="39"/>
        <v>valid</v>
      </c>
      <c r="AC439">
        <f t="shared" si="54"/>
        <v>0.05</v>
      </c>
      <c r="AD439">
        <f t="shared" si="55"/>
        <v>2886.6319999999996</v>
      </c>
      <c r="AE439">
        <f t="shared" si="56"/>
        <v>1298.4019999999996</v>
      </c>
      <c r="AF439">
        <f t="shared" si="57"/>
        <v>0.44979824238073984</v>
      </c>
      <c r="AG439" t="str">
        <f t="shared" si="58"/>
        <v>February</v>
      </c>
      <c r="AH439">
        <f t="shared" si="59"/>
        <v>2024</v>
      </c>
      <c r="AI439" t="str">
        <f t="shared" si="60"/>
        <v>Warning</v>
      </c>
    </row>
    <row r="440" spans="1:35" ht="15.75" customHeight="1">
      <c r="A440" s="3" t="s">
        <v>2152</v>
      </c>
      <c r="B440" s="3" t="s">
        <v>1028</v>
      </c>
      <c r="C440" s="3" t="s">
        <v>2153</v>
      </c>
      <c r="D440" s="3" t="str">
        <f t="shared" si="34"/>
        <v>05-May-2025</v>
      </c>
      <c r="E440" s="3" t="str">
        <f t="shared" si="35"/>
        <v>07-May-2025</v>
      </c>
      <c r="F440" s="3">
        <f t="shared" si="36"/>
        <v>-2</v>
      </c>
      <c r="G440" s="3" t="s">
        <v>2154</v>
      </c>
      <c r="H440" s="3" t="s">
        <v>101</v>
      </c>
      <c r="I440" s="3" t="s">
        <v>116</v>
      </c>
      <c r="J440" s="3" t="s">
        <v>50</v>
      </c>
      <c r="K440" s="3" t="s">
        <v>319</v>
      </c>
      <c r="L440" s="3" t="s">
        <v>320</v>
      </c>
      <c r="M440" s="3" t="s">
        <v>94</v>
      </c>
      <c r="N440" s="3" t="s">
        <v>231</v>
      </c>
      <c r="O440" s="3" t="s">
        <v>2155</v>
      </c>
      <c r="P440" s="3" t="s">
        <v>75</v>
      </c>
      <c r="Q440" s="3">
        <v>1</v>
      </c>
      <c r="R440" s="3">
        <v>2266.4699999999998</v>
      </c>
      <c r="S440" s="3">
        <v>0.2</v>
      </c>
      <c r="T440" s="3">
        <v>1813.18</v>
      </c>
      <c r="U440" s="3">
        <v>1363.64</v>
      </c>
      <c r="V440" s="3">
        <v>449.54</v>
      </c>
      <c r="W440" s="3" t="s">
        <v>42</v>
      </c>
      <c r="X440" s="3" t="s">
        <v>43</v>
      </c>
      <c r="Y440" s="2" t="str">
        <f t="shared" si="37"/>
        <v>Unique</v>
      </c>
      <c r="AA440" s="2" t="str">
        <f t="shared" si="38"/>
        <v>Clean</v>
      </c>
      <c r="AB440" s="2" t="str">
        <f t="shared" si="39"/>
        <v>Invalid</v>
      </c>
      <c r="AC440">
        <f t="shared" si="54"/>
        <v>0.2</v>
      </c>
      <c r="AD440">
        <f t="shared" si="55"/>
        <v>1813.1759999999999</v>
      </c>
      <c r="AE440">
        <f t="shared" si="56"/>
        <v>449.53599999999983</v>
      </c>
      <c r="AF440">
        <f t="shared" si="57"/>
        <v>0.24792739370033567</v>
      </c>
      <c r="AG440" t="str">
        <f t="shared" si="58"/>
        <v>May</v>
      </c>
      <c r="AH440">
        <f t="shared" si="59"/>
        <v>2025</v>
      </c>
      <c r="AI440" t="str">
        <f t="shared" si="60"/>
        <v>Clean</v>
      </c>
    </row>
    <row r="441" spans="1:35" ht="15.75" customHeight="1">
      <c r="A441" s="3" t="s">
        <v>2156</v>
      </c>
      <c r="B441" s="3" t="s">
        <v>2157</v>
      </c>
      <c r="C441" s="3" t="s">
        <v>2158</v>
      </c>
      <c r="D441" s="3" t="str">
        <f t="shared" si="34"/>
        <v>03-Jul-2025</v>
      </c>
      <c r="E441" s="3" t="str">
        <f t="shared" si="35"/>
        <v>30-Jun-2025</v>
      </c>
      <c r="F441" s="3">
        <f t="shared" si="36"/>
        <v>3</v>
      </c>
      <c r="G441" s="3" t="s">
        <v>2159</v>
      </c>
      <c r="H441" s="3" t="s">
        <v>170</v>
      </c>
      <c r="I441" s="3" t="s">
        <v>123</v>
      </c>
      <c r="J441" s="3" t="s">
        <v>81</v>
      </c>
      <c r="K441" s="3" t="s">
        <v>257</v>
      </c>
      <c r="L441" s="3" t="s">
        <v>258</v>
      </c>
      <c r="M441" s="3" t="s">
        <v>38</v>
      </c>
      <c r="N441" s="3" t="s">
        <v>164</v>
      </c>
      <c r="O441" s="3" t="s">
        <v>2160</v>
      </c>
      <c r="P441" s="3" t="s">
        <v>56</v>
      </c>
      <c r="Q441" s="3">
        <v>5</v>
      </c>
      <c r="R441" s="3">
        <v>665.25</v>
      </c>
      <c r="S441" s="3">
        <v>0</v>
      </c>
      <c r="T441" s="3">
        <v>3326.25</v>
      </c>
      <c r="U441" s="3">
        <v>2689.36</v>
      </c>
      <c r="V441" s="3">
        <v>636.89</v>
      </c>
      <c r="W441" s="3" t="s">
        <v>132</v>
      </c>
      <c r="X441" s="3" t="s">
        <v>133</v>
      </c>
      <c r="Y441" s="2" t="str">
        <f t="shared" si="37"/>
        <v>Unique</v>
      </c>
      <c r="AA441" s="2" t="str">
        <f t="shared" si="38"/>
        <v>Clean</v>
      </c>
      <c r="AB441" s="2" t="str">
        <f t="shared" si="39"/>
        <v>valid</v>
      </c>
      <c r="AC441">
        <f t="shared" si="54"/>
        <v>0</v>
      </c>
      <c r="AD441">
        <f t="shared" si="55"/>
        <v>3326.25</v>
      </c>
      <c r="AE441">
        <f t="shared" si="56"/>
        <v>636.88999999999987</v>
      </c>
      <c r="AF441">
        <f t="shared" si="57"/>
        <v>0.19147388199924836</v>
      </c>
      <c r="AG441" t="str">
        <f t="shared" si="58"/>
        <v>June</v>
      </c>
      <c r="AH441">
        <f t="shared" si="59"/>
        <v>2025</v>
      </c>
      <c r="AI441" t="str">
        <f t="shared" si="60"/>
        <v>Clean</v>
      </c>
    </row>
    <row r="442" spans="1:35" ht="15.75" customHeight="1">
      <c r="A442" s="3" t="s">
        <v>2161</v>
      </c>
      <c r="B442" s="3" t="s">
        <v>2162</v>
      </c>
      <c r="C442" s="3" t="s">
        <v>2163</v>
      </c>
      <c r="D442" s="3" t="str">
        <f t="shared" si="34"/>
        <v>04-Aug-2024</v>
      </c>
      <c r="E442" s="3" t="str">
        <f t="shared" si="35"/>
        <v>04-Feb-2024</v>
      </c>
      <c r="F442" s="3">
        <f t="shared" si="36"/>
        <v>182</v>
      </c>
      <c r="G442" s="3" t="s">
        <v>385</v>
      </c>
      <c r="H442" s="3" t="s">
        <v>91</v>
      </c>
      <c r="I442" s="3" t="s">
        <v>116</v>
      </c>
      <c r="J442" s="3" t="s">
        <v>50</v>
      </c>
      <c r="K442" s="3" t="s">
        <v>51</v>
      </c>
      <c r="L442" s="3" t="s">
        <v>52</v>
      </c>
      <c r="M442" s="3" t="s">
        <v>94</v>
      </c>
      <c r="N442" s="3" t="s">
        <v>391</v>
      </c>
      <c r="O442" s="3" t="s">
        <v>2164</v>
      </c>
      <c r="P442" s="3" t="s">
        <v>41</v>
      </c>
      <c r="Q442" s="3">
        <v>6</v>
      </c>
      <c r="R442" s="3">
        <v>3722.84</v>
      </c>
      <c r="S442" s="3">
        <v>0.2</v>
      </c>
      <c r="T442" s="3">
        <v>17869.63</v>
      </c>
      <c r="U442" s="3">
        <v>12163.8</v>
      </c>
      <c r="V442" s="3">
        <v>5705.83</v>
      </c>
      <c r="W442" s="3" t="s">
        <v>42</v>
      </c>
      <c r="X442" s="3" t="s">
        <v>43</v>
      </c>
      <c r="Y442" s="2" t="str">
        <f t="shared" si="37"/>
        <v>Unique</v>
      </c>
      <c r="AA442" s="2" t="str">
        <f t="shared" si="38"/>
        <v>Clean</v>
      </c>
      <c r="AB442" s="2" t="str">
        <f t="shared" si="39"/>
        <v>valid</v>
      </c>
      <c r="AC442">
        <f t="shared" si="54"/>
        <v>0.2</v>
      </c>
      <c r="AD442">
        <f t="shared" si="55"/>
        <v>17869.632000000001</v>
      </c>
      <c r="AE442">
        <f t="shared" si="56"/>
        <v>5705.8320000000022</v>
      </c>
      <c r="AF442">
        <f t="shared" si="57"/>
        <v>0.31930327384469931</v>
      </c>
      <c r="AG442" t="str">
        <f t="shared" si="58"/>
        <v>February</v>
      </c>
      <c r="AH442">
        <f t="shared" si="59"/>
        <v>2024</v>
      </c>
      <c r="AI442" t="str">
        <f t="shared" si="60"/>
        <v>Clean</v>
      </c>
    </row>
    <row r="443" spans="1:35" ht="15.75" customHeight="1">
      <c r="A443" s="3" t="s">
        <v>2165</v>
      </c>
      <c r="B443" s="3" t="s">
        <v>2166</v>
      </c>
      <c r="C443" s="3" t="s">
        <v>534</v>
      </c>
      <c r="D443" s="3" t="str">
        <f t="shared" si="34"/>
        <v>03-Oct-2024</v>
      </c>
      <c r="E443" s="3" t="str">
        <f t="shared" si="35"/>
        <v>03-Oct-2024</v>
      </c>
      <c r="F443" s="3">
        <f t="shared" si="36"/>
        <v>0</v>
      </c>
      <c r="G443" s="3" t="s">
        <v>2167</v>
      </c>
      <c r="H443" s="3" t="s">
        <v>33</v>
      </c>
      <c r="I443" s="3" t="s">
        <v>34</v>
      </c>
      <c r="J443" s="3" t="s">
        <v>50</v>
      </c>
      <c r="K443" s="3" t="s">
        <v>194</v>
      </c>
      <c r="L443" s="3" t="s">
        <v>195</v>
      </c>
      <c r="M443" s="3" t="s">
        <v>53</v>
      </c>
      <c r="N443" s="3" t="s">
        <v>212</v>
      </c>
      <c r="O443" s="3" t="s">
        <v>2168</v>
      </c>
      <c r="P443" s="3" t="s">
        <v>75</v>
      </c>
      <c r="Q443" s="3">
        <v>6</v>
      </c>
      <c r="R443" s="3">
        <v>4217.49</v>
      </c>
      <c r="S443" s="3">
        <v>0</v>
      </c>
      <c r="T443" s="3">
        <v>25304.94</v>
      </c>
      <c r="U443" s="3">
        <v>20771.95</v>
      </c>
      <c r="V443" s="3">
        <v>4532.99</v>
      </c>
      <c r="W443" s="3" t="s">
        <v>42</v>
      </c>
      <c r="X443" s="3" t="s">
        <v>86</v>
      </c>
      <c r="Y443" s="2" t="str">
        <f t="shared" si="37"/>
        <v>Unique</v>
      </c>
      <c r="AA443" s="2" t="str">
        <f t="shared" si="38"/>
        <v>Clean</v>
      </c>
      <c r="AB443" s="2" t="str">
        <f t="shared" si="39"/>
        <v>valid</v>
      </c>
      <c r="AC443">
        <f t="shared" si="54"/>
        <v>0</v>
      </c>
      <c r="AD443">
        <f t="shared" si="55"/>
        <v>25304.94</v>
      </c>
      <c r="AE443">
        <f t="shared" si="56"/>
        <v>4532.989999999998</v>
      </c>
      <c r="AF443">
        <f t="shared" si="57"/>
        <v>0.17913458795002077</v>
      </c>
      <c r="AG443" t="str">
        <f t="shared" si="58"/>
        <v>October</v>
      </c>
      <c r="AH443">
        <f t="shared" si="59"/>
        <v>2024</v>
      </c>
      <c r="AI443" t="str">
        <f t="shared" si="60"/>
        <v>Warning</v>
      </c>
    </row>
    <row r="444" spans="1:35" ht="15.75" customHeight="1">
      <c r="A444" s="3" t="s">
        <v>2169</v>
      </c>
      <c r="B444" s="3" t="s">
        <v>2170</v>
      </c>
      <c r="C444" s="3" t="s">
        <v>2171</v>
      </c>
      <c r="D444" s="3" t="str">
        <f t="shared" si="34"/>
        <v>19-Jan-2025</v>
      </c>
      <c r="E444" s="3" t="str">
        <f t="shared" si="35"/>
        <v>12-Jan-2025</v>
      </c>
      <c r="F444" s="3">
        <f t="shared" si="36"/>
        <v>7</v>
      </c>
      <c r="G444" s="3" t="s">
        <v>2172</v>
      </c>
      <c r="H444" s="3" t="s">
        <v>170</v>
      </c>
      <c r="I444" s="3" t="s">
        <v>34</v>
      </c>
      <c r="J444" s="3" t="s">
        <v>50</v>
      </c>
      <c r="K444" s="3" t="s">
        <v>319</v>
      </c>
      <c r="L444" s="3" t="s">
        <v>320</v>
      </c>
      <c r="M444" s="3" t="s">
        <v>53</v>
      </c>
      <c r="N444" s="3" t="s">
        <v>54</v>
      </c>
      <c r="O444" s="3" t="s">
        <v>2173</v>
      </c>
      <c r="P444" s="3" t="s">
        <v>64</v>
      </c>
      <c r="Q444" s="3">
        <v>1</v>
      </c>
      <c r="R444" s="3">
        <v>1842.31</v>
      </c>
      <c r="S444" s="3">
        <v>0</v>
      </c>
      <c r="T444" s="3">
        <v>1842.31</v>
      </c>
      <c r="U444" s="3">
        <v>1019.17</v>
      </c>
      <c r="V444" s="3">
        <v>823.14</v>
      </c>
      <c r="W444" s="3" t="s">
        <v>42</v>
      </c>
      <c r="X444" s="3" t="s">
        <v>43</v>
      </c>
      <c r="Y444" s="2" t="str">
        <f t="shared" si="37"/>
        <v>Unique</v>
      </c>
      <c r="AA444" s="2" t="str">
        <f t="shared" si="38"/>
        <v>Clean</v>
      </c>
      <c r="AB444" s="2" t="str">
        <f t="shared" si="39"/>
        <v>valid</v>
      </c>
      <c r="AC444">
        <f t="shared" si="54"/>
        <v>0</v>
      </c>
      <c r="AD444">
        <f t="shared" si="55"/>
        <v>1842.31</v>
      </c>
      <c r="AE444">
        <f t="shared" si="56"/>
        <v>823.14</v>
      </c>
      <c r="AF444">
        <f t="shared" si="57"/>
        <v>0.44679777019068451</v>
      </c>
      <c r="AG444" t="str">
        <f t="shared" si="58"/>
        <v>January</v>
      </c>
      <c r="AH444">
        <f t="shared" si="59"/>
        <v>2025</v>
      </c>
      <c r="AI444" t="str">
        <f t="shared" si="60"/>
        <v>Clean</v>
      </c>
    </row>
    <row r="445" spans="1:35" ht="15.75" customHeight="1">
      <c r="A445" s="3" t="s">
        <v>2174</v>
      </c>
      <c r="B445" s="3" t="s">
        <v>2175</v>
      </c>
      <c r="C445" s="3" t="s">
        <v>1890</v>
      </c>
      <c r="D445" s="3" t="str">
        <f t="shared" si="34"/>
        <v>07-Apr-2024</v>
      </c>
      <c r="E445" s="3" t="str">
        <f t="shared" si="35"/>
        <v>04-Apr-2024</v>
      </c>
      <c r="F445" s="3">
        <f t="shared" si="36"/>
        <v>3</v>
      </c>
      <c r="G445" s="3" t="s">
        <v>2176</v>
      </c>
      <c r="H445" s="3" t="s">
        <v>188</v>
      </c>
      <c r="I445" s="3" t="s">
        <v>123</v>
      </c>
      <c r="J445" s="3" t="s">
        <v>50</v>
      </c>
      <c r="K445" s="3" t="s">
        <v>51</v>
      </c>
      <c r="L445" s="3" t="s">
        <v>52</v>
      </c>
      <c r="M445" s="3" t="s">
        <v>53</v>
      </c>
      <c r="N445" s="3" t="s">
        <v>73</v>
      </c>
      <c r="O445" s="3" t="s">
        <v>2177</v>
      </c>
      <c r="P445" s="3" t="s">
        <v>64</v>
      </c>
      <c r="Q445" s="3">
        <v>1</v>
      </c>
      <c r="R445" s="3">
        <v>3683.75</v>
      </c>
      <c r="S445" s="3">
        <v>0.1</v>
      </c>
      <c r="T445" s="3">
        <v>3315.38</v>
      </c>
      <c r="U445" s="3">
        <v>2347.6799999999998</v>
      </c>
      <c r="V445" s="3">
        <v>967.7</v>
      </c>
      <c r="W445" s="3" t="s">
        <v>42</v>
      </c>
      <c r="X445" s="3" t="s">
        <v>43</v>
      </c>
      <c r="Y445" s="2" t="str">
        <f t="shared" si="37"/>
        <v>Unique</v>
      </c>
      <c r="AA445" s="2" t="str">
        <f t="shared" si="38"/>
        <v>Clean</v>
      </c>
      <c r="AB445" s="2" t="str">
        <f t="shared" si="39"/>
        <v>valid</v>
      </c>
      <c r="AC445">
        <f t="shared" si="54"/>
        <v>0.1</v>
      </c>
      <c r="AD445">
        <f t="shared" si="55"/>
        <v>3315.375</v>
      </c>
      <c r="AE445">
        <f t="shared" si="56"/>
        <v>967.69500000000016</v>
      </c>
      <c r="AF445">
        <f t="shared" si="57"/>
        <v>0.29188100893564084</v>
      </c>
      <c r="AG445" t="str">
        <f t="shared" si="58"/>
        <v>April</v>
      </c>
      <c r="AH445">
        <f t="shared" si="59"/>
        <v>2024</v>
      </c>
      <c r="AI445" t="str">
        <f t="shared" si="60"/>
        <v>Clean</v>
      </c>
    </row>
    <row r="446" spans="1:35" ht="15.75" customHeight="1">
      <c r="A446" s="3" t="s">
        <v>2178</v>
      </c>
      <c r="B446" s="3" t="s">
        <v>2179</v>
      </c>
      <c r="C446" s="3" t="s">
        <v>1856</v>
      </c>
      <c r="D446" s="3" t="str">
        <f t="shared" si="34"/>
        <v>16-Aug-2025</v>
      </c>
      <c r="E446" s="3" t="str">
        <f t="shared" si="35"/>
        <v>12-Aug-2025</v>
      </c>
      <c r="F446" s="3">
        <f t="shared" si="36"/>
        <v>4</v>
      </c>
      <c r="G446" s="3" t="s">
        <v>2180</v>
      </c>
      <c r="H446" s="3" t="s">
        <v>80</v>
      </c>
      <c r="I446" s="3" t="s">
        <v>34</v>
      </c>
      <c r="J446" s="3" t="s">
        <v>50</v>
      </c>
      <c r="K446" s="3" t="s">
        <v>224</v>
      </c>
      <c r="L446" s="3" t="s">
        <v>225</v>
      </c>
      <c r="M446" s="3" t="s">
        <v>94</v>
      </c>
      <c r="N446" s="3" t="s">
        <v>95</v>
      </c>
      <c r="O446" s="3" t="s">
        <v>2181</v>
      </c>
      <c r="P446" s="3" t="s">
        <v>56</v>
      </c>
      <c r="Q446" s="3">
        <v>9</v>
      </c>
      <c r="R446" s="3">
        <v>2379.2399999999998</v>
      </c>
      <c r="S446" s="3">
        <v>0.05</v>
      </c>
      <c r="T446" s="3">
        <v>20342.5</v>
      </c>
      <c r="U446" s="3">
        <v>12407.51</v>
      </c>
      <c r="V446" s="3">
        <v>7934.99</v>
      </c>
      <c r="W446" s="3" t="s">
        <v>42</v>
      </c>
      <c r="X446" s="3" t="s">
        <v>43</v>
      </c>
      <c r="Y446" s="2" t="str">
        <f t="shared" si="37"/>
        <v>Unique</v>
      </c>
      <c r="AA446" s="2" t="str">
        <f t="shared" si="38"/>
        <v>Clean</v>
      </c>
      <c r="AB446" s="2" t="str">
        <f t="shared" si="39"/>
        <v>valid</v>
      </c>
      <c r="AC446">
        <f t="shared" si="54"/>
        <v>0.05</v>
      </c>
      <c r="AD446">
        <f t="shared" si="55"/>
        <v>20342.501999999997</v>
      </c>
      <c r="AE446">
        <f t="shared" si="56"/>
        <v>7934.9919999999966</v>
      </c>
      <c r="AF446">
        <f t="shared" si="57"/>
        <v>0.39006961877157481</v>
      </c>
      <c r="AG446" t="str">
        <f t="shared" si="58"/>
        <v>August</v>
      </c>
      <c r="AH446">
        <f t="shared" si="59"/>
        <v>2025</v>
      </c>
      <c r="AI446" t="str">
        <f t="shared" si="60"/>
        <v>Clean</v>
      </c>
    </row>
    <row r="447" spans="1:35" ht="15.75" customHeight="1">
      <c r="A447" s="3" t="s">
        <v>2182</v>
      </c>
      <c r="B447" s="3" t="s">
        <v>2183</v>
      </c>
      <c r="C447" s="3" t="s">
        <v>2184</v>
      </c>
      <c r="D447" s="3" t="str">
        <f t="shared" si="34"/>
        <v>05-May-2024</v>
      </c>
      <c r="E447" s="3" t="str">
        <f t="shared" si="35"/>
        <v>05-Sep-2024</v>
      </c>
      <c r="F447" s="3">
        <f t="shared" si="36"/>
        <v>-123</v>
      </c>
      <c r="G447" s="3" t="s">
        <v>2185</v>
      </c>
      <c r="H447" s="3" t="s">
        <v>69</v>
      </c>
      <c r="I447" s="3" t="s">
        <v>34</v>
      </c>
      <c r="J447" s="3" t="s">
        <v>50</v>
      </c>
      <c r="K447" s="3" t="s">
        <v>224</v>
      </c>
      <c r="L447" s="3" t="s">
        <v>225</v>
      </c>
      <c r="M447" s="3" t="s">
        <v>53</v>
      </c>
      <c r="N447" s="3" t="s">
        <v>212</v>
      </c>
      <c r="O447" s="3" t="s">
        <v>2186</v>
      </c>
      <c r="P447" s="3" t="s">
        <v>56</v>
      </c>
      <c r="Q447" s="3">
        <v>2</v>
      </c>
      <c r="R447" s="3">
        <v>2111.23</v>
      </c>
      <c r="S447" s="3">
        <v>0.2</v>
      </c>
      <c r="T447" s="3">
        <v>3377.97</v>
      </c>
      <c r="U447" s="3">
        <v>2496.29</v>
      </c>
      <c r="V447" s="3">
        <v>881.68</v>
      </c>
      <c r="W447" s="3" t="s">
        <v>42</v>
      </c>
      <c r="X447" s="3" t="s">
        <v>43</v>
      </c>
      <c r="Y447" s="2" t="str">
        <f t="shared" si="37"/>
        <v>Unique</v>
      </c>
      <c r="AA447" s="2" t="str">
        <f t="shared" si="38"/>
        <v>Clean</v>
      </c>
      <c r="AB447" s="2" t="str">
        <f t="shared" si="39"/>
        <v>Invalid</v>
      </c>
      <c r="AC447">
        <f t="shared" si="54"/>
        <v>0.2</v>
      </c>
      <c r="AD447">
        <f t="shared" si="55"/>
        <v>3377.9680000000003</v>
      </c>
      <c r="AE447">
        <f t="shared" si="56"/>
        <v>881.67800000000034</v>
      </c>
      <c r="AF447">
        <f t="shared" si="57"/>
        <v>0.26100839321154029</v>
      </c>
      <c r="AG447" t="str">
        <f t="shared" si="58"/>
        <v>September</v>
      </c>
      <c r="AH447">
        <f t="shared" si="59"/>
        <v>2024</v>
      </c>
      <c r="AI447" t="str">
        <f t="shared" si="60"/>
        <v>Clean</v>
      </c>
    </row>
    <row r="448" spans="1:35" ht="15.75" customHeight="1">
      <c r="A448" s="3" t="s">
        <v>2187</v>
      </c>
      <c r="B448" s="3" t="s">
        <v>2188</v>
      </c>
      <c r="C448" s="3" t="s">
        <v>2189</v>
      </c>
      <c r="D448" s="3" t="str">
        <f t="shared" si="34"/>
        <v>19-Sep-2025</v>
      </c>
      <c r="E448" s="3" t="str">
        <f t="shared" si="35"/>
        <v>18-Sep-2025</v>
      </c>
      <c r="F448" s="3">
        <f t="shared" si="36"/>
        <v>1</v>
      </c>
      <c r="G448" s="3" t="s">
        <v>2190</v>
      </c>
      <c r="H448" s="3" t="s">
        <v>176</v>
      </c>
      <c r="I448" s="3" t="s">
        <v>123</v>
      </c>
      <c r="J448" s="3" t="s">
        <v>70</v>
      </c>
      <c r="K448" s="3" t="s">
        <v>108</v>
      </c>
      <c r="L448" s="3" t="s">
        <v>109</v>
      </c>
      <c r="M448" s="3" t="s">
        <v>38</v>
      </c>
      <c r="N448" s="3" t="s">
        <v>164</v>
      </c>
      <c r="O448" s="3" t="s">
        <v>2191</v>
      </c>
      <c r="P448" s="3" t="s">
        <v>56</v>
      </c>
      <c r="Q448" s="3">
        <v>8</v>
      </c>
      <c r="R448" s="3">
        <v>4242.51</v>
      </c>
      <c r="S448" s="3">
        <v>0</v>
      </c>
      <c r="T448" s="3">
        <v>33940.080000000002</v>
      </c>
      <c r="U448" s="3">
        <v>23754.19</v>
      </c>
      <c r="V448" s="3">
        <v>10185.89</v>
      </c>
      <c r="W448" s="3" t="s">
        <v>42</v>
      </c>
      <c r="X448" s="3" t="s">
        <v>43</v>
      </c>
      <c r="Y448" s="2" t="str">
        <f t="shared" si="37"/>
        <v>Unique</v>
      </c>
      <c r="AA448" s="2" t="str">
        <f t="shared" si="38"/>
        <v>Clean</v>
      </c>
      <c r="AB448" s="2" t="str">
        <f t="shared" si="39"/>
        <v>valid</v>
      </c>
      <c r="AC448">
        <f t="shared" si="54"/>
        <v>0</v>
      </c>
      <c r="AD448">
        <f t="shared" si="55"/>
        <v>33940.080000000002</v>
      </c>
      <c r="AE448">
        <f t="shared" si="56"/>
        <v>10185.890000000003</v>
      </c>
      <c r="AF448">
        <f t="shared" si="57"/>
        <v>0.30011390662603044</v>
      </c>
      <c r="AG448" t="str">
        <f t="shared" si="58"/>
        <v>September</v>
      </c>
      <c r="AH448">
        <f t="shared" si="59"/>
        <v>2025</v>
      </c>
      <c r="AI448" t="str">
        <f t="shared" si="60"/>
        <v>Clean</v>
      </c>
    </row>
    <row r="449" spans="1:35" ht="15.75" customHeight="1">
      <c r="A449" s="3" t="s">
        <v>2192</v>
      </c>
      <c r="B449" s="3" t="s">
        <v>949</v>
      </c>
      <c r="C449" s="3" t="s">
        <v>2193</v>
      </c>
      <c r="D449" s="3" t="str">
        <f t="shared" si="34"/>
        <v>10-Aug-2025</v>
      </c>
      <c r="E449" s="3" t="str">
        <f t="shared" si="35"/>
        <v>10-Aug-2025</v>
      </c>
      <c r="F449" s="3">
        <f t="shared" si="36"/>
        <v>0</v>
      </c>
      <c r="G449" s="3" t="s">
        <v>2194</v>
      </c>
      <c r="H449" s="3" t="s">
        <v>188</v>
      </c>
      <c r="I449" s="3" t="s">
        <v>123</v>
      </c>
      <c r="J449" s="3" t="s">
        <v>70</v>
      </c>
      <c r="K449" s="3" t="s">
        <v>71</v>
      </c>
      <c r="L449" s="3" t="s">
        <v>72</v>
      </c>
      <c r="M449" s="3" t="s">
        <v>53</v>
      </c>
      <c r="N449" s="3" t="s">
        <v>212</v>
      </c>
      <c r="O449" s="3" t="s">
        <v>2195</v>
      </c>
      <c r="P449" s="3" t="s">
        <v>75</v>
      </c>
      <c r="Q449" s="3">
        <v>6</v>
      </c>
      <c r="R449" s="3">
        <v>4288.7</v>
      </c>
      <c r="S449" s="3">
        <v>0.15</v>
      </c>
      <c r="T449" s="3">
        <v>21872.37</v>
      </c>
      <c r="U449" s="3">
        <v>13829.5</v>
      </c>
      <c r="V449" s="3">
        <v>8042.87</v>
      </c>
      <c r="W449" s="3" t="s">
        <v>145</v>
      </c>
      <c r="X449" s="3" t="s">
        <v>133</v>
      </c>
      <c r="Y449" s="2" t="str">
        <f t="shared" si="37"/>
        <v>Unique</v>
      </c>
      <c r="AA449" s="2" t="str">
        <f t="shared" si="38"/>
        <v>Clean</v>
      </c>
      <c r="AB449" s="2" t="str">
        <f t="shared" si="39"/>
        <v>valid</v>
      </c>
      <c r="AC449">
        <f t="shared" si="54"/>
        <v>0.15</v>
      </c>
      <c r="AD449">
        <f t="shared" si="55"/>
        <v>21872.369999999995</v>
      </c>
      <c r="AE449">
        <f t="shared" si="56"/>
        <v>8042.8699999999953</v>
      </c>
      <c r="AF449">
        <f t="shared" si="57"/>
        <v>0.36771826738483288</v>
      </c>
      <c r="AG449" t="str">
        <f t="shared" si="58"/>
        <v>August</v>
      </c>
      <c r="AH449">
        <f t="shared" si="59"/>
        <v>2025</v>
      </c>
      <c r="AI449" t="str">
        <f t="shared" si="60"/>
        <v>Clean</v>
      </c>
    </row>
    <row r="450" spans="1:35" ht="15.75" customHeight="1">
      <c r="A450" s="3" t="s">
        <v>2196</v>
      </c>
      <c r="B450" s="3" t="s">
        <v>2197</v>
      </c>
      <c r="C450" s="3" t="s">
        <v>335</v>
      </c>
      <c r="D450" s="3" t="str">
        <f t="shared" si="34"/>
        <v>18-Jan-2024</v>
      </c>
      <c r="E450" s="3" t="str">
        <f t="shared" si="35"/>
        <v>15-Jan-2024</v>
      </c>
      <c r="F450" s="3">
        <f t="shared" si="36"/>
        <v>3</v>
      </c>
      <c r="G450" s="3" t="s">
        <v>2198</v>
      </c>
      <c r="H450" s="3" t="s">
        <v>48</v>
      </c>
      <c r="I450" s="3" t="s">
        <v>49</v>
      </c>
      <c r="J450" s="3" t="s">
        <v>70</v>
      </c>
      <c r="K450" s="3" t="s">
        <v>108</v>
      </c>
      <c r="L450" s="3" t="s">
        <v>109</v>
      </c>
      <c r="M450" s="3" t="s">
        <v>53</v>
      </c>
      <c r="N450" s="3" t="s">
        <v>84</v>
      </c>
      <c r="O450" s="3" t="s">
        <v>2199</v>
      </c>
      <c r="P450" s="3" t="s">
        <v>64</v>
      </c>
      <c r="Q450" s="3">
        <v>2</v>
      </c>
      <c r="R450" s="3">
        <v>201.21</v>
      </c>
      <c r="S450" s="3">
        <v>0.15</v>
      </c>
      <c r="T450" s="3">
        <v>342.06</v>
      </c>
      <c r="U450" s="3">
        <v>244.57</v>
      </c>
      <c r="V450" s="3">
        <v>97.49</v>
      </c>
      <c r="W450" s="3" t="s">
        <v>42</v>
      </c>
      <c r="X450" s="3" t="s">
        <v>43</v>
      </c>
      <c r="Y450" s="2" t="str">
        <f t="shared" si="37"/>
        <v>Unique</v>
      </c>
      <c r="AA450" s="2" t="str">
        <f t="shared" si="38"/>
        <v>Clean</v>
      </c>
      <c r="AB450" s="2" t="str">
        <f t="shared" si="39"/>
        <v>valid</v>
      </c>
      <c r="AC450">
        <f t="shared" si="54"/>
        <v>0.15</v>
      </c>
      <c r="AD450">
        <f t="shared" si="55"/>
        <v>342.05700000000002</v>
      </c>
      <c r="AE450">
        <f t="shared" si="56"/>
        <v>97.487000000000023</v>
      </c>
      <c r="AF450">
        <f t="shared" si="57"/>
        <v>0.28500220723446684</v>
      </c>
      <c r="AG450" t="str">
        <f t="shared" si="58"/>
        <v>January</v>
      </c>
      <c r="AH450">
        <f t="shared" si="59"/>
        <v>2024</v>
      </c>
      <c r="AI450" t="str">
        <f t="shared" si="60"/>
        <v>Clean</v>
      </c>
    </row>
    <row r="451" spans="1:35" ht="15.75" customHeight="1">
      <c r="A451" s="3" t="s">
        <v>2200</v>
      </c>
      <c r="B451" s="3" t="s">
        <v>2201</v>
      </c>
      <c r="C451" s="3" t="s">
        <v>2202</v>
      </c>
      <c r="D451" s="3" t="str">
        <f t="shared" si="34"/>
        <v>13-Jun-2024</v>
      </c>
      <c r="E451" s="3" t="str">
        <f t="shared" si="35"/>
        <v>06-Jun-2024</v>
      </c>
      <c r="F451" s="3">
        <f t="shared" si="36"/>
        <v>7</v>
      </c>
      <c r="G451" s="3" t="s">
        <v>2036</v>
      </c>
      <c r="H451" s="3" t="s">
        <v>115</v>
      </c>
      <c r="I451" s="3" t="s">
        <v>116</v>
      </c>
      <c r="J451" s="3" t="s">
        <v>50</v>
      </c>
      <c r="K451" s="3" t="s">
        <v>224</v>
      </c>
      <c r="L451" s="3" t="s">
        <v>225</v>
      </c>
      <c r="M451" s="3" t="s">
        <v>94</v>
      </c>
      <c r="N451" s="3" t="s">
        <v>391</v>
      </c>
      <c r="O451" s="3" t="s">
        <v>2203</v>
      </c>
      <c r="P451" s="3" t="s">
        <v>41</v>
      </c>
      <c r="Q451" s="3">
        <v>6</v>
      </c>
      <c r="R451" s="3">
        <v>3270.36</v>
      </c>
      <c r="S451" s="3">
        <v>0</v>
      </c>
      <c r="T451" s="3">
        <v>19622.16</v>
      </c>
      <c r="U451" s="3">
        <v>14271.27</v>
      </c>
      <c r="V451" s="3">
        <v>5350.89</v>
      </c>
      <c r="W451" s="3" t="s">
        <v>42</v>
      </c>
      <c r="X451" s="3" t="s">
        <v>43</v>
      </c>
      <c r="Y451" s="2" t="str">
        <f t="shared" si="37"/>
        <v>Unique</v>
      </c>
      <c r="AA451" s="2" t="str">
        <f t="shared" si="38"/>
        <v>Clean</v>
      </c>
      <c r="AB451" s="2" t="str">
        <f t="shared" si="39"/>
        <v>valid</v>
      </c>
      <c r="AC451">
        <f t="shared" ref="AC451:AC514" si="61">IF(S451="",0,IF(S451&gt;1,S451/100,S451))</f>
        <v>0</v>
      </c>
      <c r="AD451">
        <f t="shared" ref="AD451:AD514" si="62">Q451*R451*(1-AC451)</f>
        <v>19622.16</v>
      </c>
      <c r="AE451">
        <f t="shared" ref="AE451:AE514" si="63">AD451-U451</f>
        <v>5350.8899999999994</v>
      </c>
      <c r="AF451">
        <f t="shared" ref="AF451:AF514" si="64">AE451/AD451</f>
        <v>0.27269627808559299</v>
      </c>
      <c r="AG451" t="str">
        <f t="shared" ref="AG451:AG514" si="65">TEXT(E451,"mmmm")</f>
        <v>June</v>
      </c>
      <c r="AH451">
        <f t="shared" ref="AH451:AH514" si="66">YEAR(E451)</f>
        <v>2024</v>
      </c>
      <c r="AI451" t="str">
        <f t="shared" ref="AI451:AI514" si="67">IF(OR(AC451&lt;0,AC451&gt;0.5,F451="Invalid Shipping Record"),"Invalid",
IF(OR(X451="Cancelled",W451="Failed"),"Warning","Clean"))</f>
        <v>Clean</v>
      </c>
    </row>
    <row r="452" spans="1:35" ht="15.75" customHeight="1">
      <c r="A452" s="3" t="s">
        <v>2204</v>
      </c>
      <c r="B452" s="3" t="s">
        <v>2205</v>
      </c>
      <c r="C452" s="3" t="s">
        <v>1576</v>
      </c>
      <c r="D452" s="3" t="str">
        <f t="shared" si="34"/>
        <v>19-Jun-2025</v>
      </c>
      <c r="E452" s="3" t="str">
        <f t="shared" si="35"/>
        <v>06-Dec-2025</v>
      </c>
      <c r="F452" s="3">
        <f t="shared" si="36"/>
        <v>-170</v>
      </c>
      <c r="G452" s="3" t="s">
        <v>2206</v>
      </c>
      <c r="H452" s="3" t="s">
        <v>80</v>
      </c>
      <c r="I452" s="3" t="s">
        <v>116</v>
      </c>
      <c r="J452" s="3" t="s">
        <v>35</v>
      </c>
      <c r="K452" s="3" t="s">
        <v>515</v>
      </c>
      <c r="L452" s="3" t="s">
        <v>516</v>
      </c>
      <c r="M452" s="3" t="s">
        <v>53</v>
      </c>
      <c r="N452" s="3" t="s">
        <v>84</v>
      </c>
      <c r="O452" s="3" t="s">
        <v>2207</v>
      </c>
      <c r="P452" s="3" t="s">
        <v>75</v>
      </c>
      <c r="Q452" s="3">
        <v>9</v>
      </c>
      <c r="R452" s="3">
        <v>2278.5700000000002</v>
      </c>
      <c r="S452" s="3">
        <v>0.25</v>
      </c>
      <c r="T452" s="3">
        <v>15380.35</v>
      </c>
      <c r="U452" s="3">
        <v>9907.3700000000008</v>
      </c>
      <c r="V452" s="3">
        <v>5472.98</v>
      </c>
      <c r="W452" s="3" t="s">
        <v>42</v>
      </c>
      <c r="X452" s="3" t="s">
        <v>43</v>
      </c>
      <c r="Y452" s="2" t="str">
        <f t="shared" si="37"/>
        <v>Unique</v>
      </c>
      <c r="AA452" s="2" t="str">
        <f t="shared" si="38"/>
        <v>Clean</v>
      </c>
      <c r="AB452" s="2" t="str">
        <f t="shared" si="39"/>
        <v>Invalid</v>
      </c>
      <c r="AC452">
        <f t="shared" si="61"/>
        <v>0.25</v>
      </c>
      <c r="AD452">
        <f t="shared" si="62"/>
        <v>15380.3475</v>
      </c>
      <c r="AE452">
        <f t="shared" si="63"/>
        <v>5472.9774999999991</v>
      </c>
      <c r="AF452">
        <f t="shared" si="64"/>
        <v>0.35584225258889624</v>
      </c>
      <c r="AG452" t="str">
        <f t="shared" si="65"/>
        <v>December</v>
      </c>
      <c r="AH452">
        <f t="shared" si="66"/>
        <v>2025</v>
      </c>
      <c r="AI452" t="str">
        <f t="shared" si="67"/>
        <v>Clean</v>
      </c>
    </row>
    <row r="453" spans="1:35" ht="15.75" customHeight="1">
      <c r="A453" s="3" t="s">
        <v>2208</v>
      </c>
      <c r="B453" s="3" t="s">
        <v>2209</v>
      </c>
      <c r="C453" s="3" t="s">
        <v>2210</v>
      </c>
      <c r="D453" s="3" t="str">
        <f t="shared" si="34"/>
        <v>26-Mar-2024</v>
      </c>
      <c r="E453" s="3" t="str">
        <f t="shared" si="35"/>
        <v>24-Mar-2024</v>
      </c>
      <c r="F453" s="3">
        <f t="shared" si="36"/>
        <v>2</v>
      </c>
      <c r="G453" s="3" t="s">
        <v>2211</v>
      </c>
      <c r="H453" s="3" t="s">
        <v>188</v>
      </c>
      <c r="I453" s="3" t="s">
        <v>49</v>
      </c>
      <c r="J453" s="3" t="s">
        <v>35</v>
      </c>
      <c r="K453" s="3" t="s">
        <v>331</v>
      </c>
      <c r="L453" s="3" t="s">
        <v>332</v>
      </c>
      <c r="M453" s="3" t="s">
        <v>38</v>
      </c>
      <c r="N453" s="3" t="s">
        <v>39</v>
      </c>
      <c r="O453" s="3" t="s">
        <v>2212</v>
      </c>
      <c r="P453" s="3" t="s">
        <v>41</v>
      </c>
      <c r="Q453" s="3">
        <v>8</v>
      </c>
      <c r="R453" s="3">
        <v>1917.64</v>
      </c>
      <c r="S453" s="3">
        <v>0.15</v>
      </c>
      <c r="T453" s="3">
        <v>13039.95</v>
      </c>
      <c r="U453" s="3">
        <v>11127.82</v>
      </c>
      <c r="V453" s="3">
        <v>1912.13</v>
      </c>
      <c r="W453" s="3" t="s">
        <v>42</v>
      </c>
      <c r="X453" s="3" t="s">
        <v>86</v>
      </c>
      <c r="Y453" s="2" t="str">
        <f t="shared" si="37"/>
        <v>Unique</v>
      </c>
      <c r="AA453" s="2" t="str">
        <f t="shared" si="38"/>
        <v>Clean</v>
      </c>
      <c r="AB453" s="2" t="str">
        <f t="shared" si="39"/>
        <v>valid</v>
      </c>
      <c r="AC453">
        <f t="shared" si="61"/>
        <v>0.15</v>
      </c>
      <c r="AD453">
        <f t="shared" si="62"/>
        <v>13039.952000000001</v>
      </c>
      <c r="AE453">
        <f t="shared" si="63"/>
        <v>1912.1320000000014</v>
      </c>
      <c r="AF453">
        <f t="shared" si="64"/>
        <v>0.1466364293365498</v>
      </c>
      <c r="AG453" t="str">
        <f t="shared" si="65"/>
        <v>March</v>
      </c>
      <c r="AH453">
        <f t="shared" si="66"/>
        <v>2024</v>
      </c>
      <c r="AI453" t="str">
        <f t="shared" si="67"/>
        <v>Warning</v>
      </c>
    </row>
    <row r="454" spans="1:35" ht="15.75" customHeight="1">
      <c r="A454" s="3" t="s">
        <v>2213</v>
      </c>
      <c r="B454" s="3" t="s">
        <v>2214</v>
      </c>
      <c r="C454" s="3" t="s">
        <v>1374</v>
      </c>
      <c r="D454" s="3" t="str">
        <f t="shared" si="34"/>
        <v>16-May-2024</v>
      </c>
      <c r="E454" s="3" t="str">
        <f t="shared" si="35"/>
        <v>10-May-2024</v>
      </c>
      <c r="F454" s="3">
        <f t="shared" si="36"/>
        <v>6</v>
      </c>
      <c r="G454" s="3" t="s">
        <v>2215</v>
      </c>
      <c r="H454" s="3" t="s">
        <v>218</v>
      </c>
      <c r="I454" s="3" t="s">
        <v>123</v>
      </c>
      <c r="J454" s="3" t="s">
        <v>50</v>
      </c>
      <c r="K454" s="3" t="s">
        <v>319</v>
      </c>
      <c r="L454" s="3" t="s">
        <v>320</v>
      </c>
      <c r="M454" s="3" t="s">
        <v>94</v>
      </c>
      <c r="N454" s="3" t="s">
        <v>95</v>
      </c>
      <c r="O454" s="3" t="s">
        <v>2216</v>
      </c>
      <c r="P454" s="3" t="s">
        <v>41</v>
      </c>
      <c r="Q454" s="3">
        <v>6</v>
      </c>
      <c r="R454" s="3">
        <v>2013.33</v>
      </c>
      <c r="S454" s="3">
        <v>0.2</v>
      </c>
      <c r="T454" s="3">
        <v>9663.98</v>
      </c>
      <c r="U454" s="3">
        <v>5628.93</v>
      </c>
      <c r="V454" s="3">
        <v>4035.05</v>
      </c>
      <c r="W454" s="3" t="s">
        <v>42</v>
      </c>
      <c r="X454" s="3" t="s">
        <v>43</v>
      </c>
      <c r="Y454" s="2" t="str">
        <f t="shared" si="37"/>
        <v>Unique</v>
      </c>
      <c r="AA454" s="2" t="str">
        <f t="shared" si="38"/>
        <v>Clean</v>
      </c>
      <c r="AB454" s="2" t="str">
        <f t="shared" si="39"/>
        <v>valid</v>
      </c>
      <c r="AC454">
        <f t="shared" si="61"/>
        <v>0.2</v>
      </c>
      <c r="AD454">
        <f t="shared" si="62"/>
        <v>9663.9840000000004</v>
      </c>
      <c r="AE454">
        <f t="shared" si="63"/>
        <v>4035.0540000000001</v>
      </c>
      <c r="AF454">
        <f t="shared" si="64"/>
        <v>0.41753525254180884</v>
      </c>
      <c r="AG454" t="str">
        <f t="shared" si="65"/>
        <v>May</v>
      </c>
      <c r="AH454">
        <f t="shared" si="66"/>
        <v>2024</v>
      </c>
      <c r="AI454" t="str">
        <f t="shared" si="67"/>
        <v>Clean</v>
      </c>
    </row>
    <row r="455" spans="1:35" ht="15.75" customHeight="1">
      <c r="A455" s="3" t="s">
        <v>2217</v>
      </c>
      <c r="B455" s="3" t="s">
        <v>2218</v>
      </c>
      <c r="C455" s="3" t="s">
        <v>2219</v>
      </c>
      <c r="D455" s="3" t="str">
        <f t="shared" si="34"/>
        <v>11-May-2025</v>
      </c>
      <c r="E455" s="3" t="str">
        <f t="shared" si="35"/>
        <v>05-Mar-2025</v>
      </c>
      <c r="F455" s="3">
        <f t="shared" si="36"/>
        <v>67</v>
      </c>
      <c r="G455" s="3" t="s">
        <v>2220</v>
      </c>
      <c r="H455" s="3" t="s">
        <v>188</v>
      </c>
      <c r="I455" s="3" t="s">
        <v>49</v>
      </c>
      <c r="J455" s="3" t="s">
        <v>81</v>
      </c>
      <c r="K455" s="3" t="s">
        <v>92</v>
      </c>
      <c r="L455" s="3" t="s">
        <v>93</v>
      </c>
      <c r="M455" s="3" t="s">
        <v>38</v>
      </c>
      <c r="N455" s="3" t="s">
        <v>117</v>
      </c>
      <c r="O455" s="3" t="s">
        <v>2221</v>
      </c>
      <c r="P455" s="3" t="s">
        <v>56</v>
      </c>
      <c r="Q455" s="3">
        <v>5</v>
      </c>
      <c r="R455" s="3">
        <v>1483.52</v>
      </c>
      <c r="S455" s="3">
        <v>0</v>
      </c>
      <c r="T455" s="3">
        <v>7417.6</v>
      </c>
      <c r="U455" s="3">
        <v>4955.8599999999997</v>
      </c>
      <c r="V455" s="3">
        <v>2461.7399999999998</v>
      </c>
      <c r="W455" s="3" t="s">
        <v>42</v>
      </c>
      <c r="X455" s="3" t="s">
        <v>43</v>
      </c>
      <c r="Y455" s="2" t="str">
        <f t="shared" si="37"/>
        <v>Unique</v>
      </c>
      <c r="AA455" s="2" t="str">
        <f t="shared" si="38"/>
        <v>Clean</v>
      </c>
      <c r="AB455" s="2" t="str">
        <f t="shared" si="39"/>
        <v>valid</v>
      </c>
      <c r="AC455">
        <f t="shared" si="61"/>
        <v>0</v>
      </c>
      <c r="AD455">
        <f t="shared" si="62"/>
        <v>7417.6</v>
      </c>
      <c r="AE455">
        <f t="shared" si="63"/>
        <v>2461.7400000000007</v>
      </c>
      <c r="AF455">
        <f t="shared" si="64"/>
        <v>0.3318782355478862</v>
      </c>
      <c r="AG455" t="str">
        <f t="shared" si="65"/>
        <v>March</v>
      </c>
      <c r="AH455">
        <f t="shared" si="66"/>
        <v>2025</v>
      </c>
      <c r="AI455" t="str">
        <f t="shared" si="67"/>
        <v>Clean</v>
      </c>
    </row>
    <row r="456" spans="1:35" ht="15.75" customHeight="1">
      <c r="A456" s="3" t="s">
        <v>2222</v>
      </c>
      <c r="B456" s="3" t="s">
        <v>2223</v>
      </c>
      <c r="C456" s="3" t="s">
        <v>2224</v>
      </c>
      <c r="D456" s="3" t="str">
        <f t="shared" si="34"/>
        <v>28-Mar-2025</v>
      </c>
      <c r="E456" s="3" t="str">
        <f t="shared" si="35"/>
        <v>23-Mar-2025</v>
      </c>
      <c r="F456" s="3">
        <f t="shared" si="36"/>
        <v>5</v>
      </c>
      <c r="G456" s="3" t="s">
        <v>2225</v>
      </c>
      <c r="H456" s="3" t="s">
        <v>91</v>
      </c>
      <c r="I456" s="3" t="s">
        <v>49</v>
      </c>
      <c r="J456" s="3" t="s">
        <v>35</v>
      </c>
      <c r="K456" s="3" t="s">
        <v>36</v>
      </c>
      <c r="L456" s="3" t="s">
        <v>37</v>
      </c>
      <c r="M456" s="3" t="s">
        <v>53</v>
      </c>
      <c r="N456" s="3" t="s">
        <v>73</v>
      </c>
      <c r="O456" s="3" t="s">
        <v>2226</v>
      </c>
      <c r="P456" s="3" t="s">
        <v>75</v>
      </c>
      <c r="Q456" s="3">
        <v>9</v>
      </c>
      <c r="R456" s="3">
        <v>3298</v>
      </c>
      <c r="S456" s="3">
        <v>0.15</v>
      </c>
      <c r="T456" s="3">
        <v>25229.7</v>
      </c>
      <c r="U456" s="3">
        <v>20170.43</v>
      </c>
      <c r="V456" s="3">
        <v>5059.2700000000004</v>
      </c>
      <c r="W456" s="3" t="s">
        <v>42</v>
      </c>
      <c r="X456" s="3" t="s">
        <v>43</v>
      </c>
      <c r="Y456" s="2" t="str">
        <f t="shared" si="37"/>
        <v>Unique</v>
      </c>
      <c r="AA456" s="2" t="str">
        <f t="shared" si="38"/>
        <v>Clean</v>
      </c>
      <c r="AB456" s="2" t="str">
        <f t="shared" si="39"/>
        <v>valid</v>
      </c>
      <c r="AC456">
        <f t="shared" si="61"/>
        <v>0.15</v>
      </c>
      <c r="AD456">
        <f t="shared" si="62"/>
        <v>25229.7</v>
      </c>
      <c r="AE456">
        <f t="shared" si="63"/>
        <v>5059.2700000000004</v>
      </c>
      <c r="AF456">
        <f t="shared" si="64"/>
        <v>0.20052834556098567</v>
      </c>
      <c r="AG456" t="str">
        <f t="shared" si="65"/>
        <v>March</v>
      </c>
      <c r="AH456">
        <f t="shared" si="66"/>
        <v>2025</v>
      </c>
      <c r="AI456" t="str">
        <f t="shared" si="67"/>
        <v>Clean</v>
      </c>
    </row>
    <row r="457" spans="1:35" ht="15.75" customHeight="1">
      <c r="A457" s="3" t="s">
        <v>2227</v>
      </c>
      <c r="B457" s="3" t="s">
        <v>2228</v>
      </c>
      <c r="C457" s="3" t="s">
        <v>2229</v>
      </c>
      <c r="D457" s="3" t="str">
        <f t="shared" si="34"/>
        <v>22-Jul-2024</v>
      </c>
      <c r="E457" s="3" t="str">
        <f t="shared" si="35"/>
        <v>18-Jul-2024</v>
      </c>
      <c r="F457" s="3">
        <f t="shared" si="36"/>
        <v>4</v>
      </c>
      <c r="G457" s="3" t="s">
        <v>2230</v>
      </c>
      <c r="H457" s="3" t="s">
        <v>101</v>
      </c>
      <c r="I457" s="3" t="s">
        <v>49</v>
      </c>
      <c r="J457" s="3" t="s">
        <v>70</v>
      </c>
      <c r="K457" s="3" t="s">
        <v>71</v>
      </c>
      <c r="L457" s="3" t="s">
        <v>72</v>
      </c>
      <c r="M457" s="3" t="s">
        <v>38</v>
      </c>
      <c r="N457" s="3" t="s">
        <v>62</v>
      </c>
      <c r="O457" s="3" t="s">
        <v>2231</v>
      </c>
      <c r="P457" s="3" t="s">
        <v>75</v>
      </c>
      <c r="Q457" s="3">
        <v>4</v>
      </c>
      <c r="R457" s="3">
        <v>808.77</v>
      </c>
      <c r="S457" s="3">
        <v>0</v>
      </c>
      <c r="T457" s="3">
        <v>3235.08</v>
      </c>
      <c r="U457" s="3">
        <v>1848.6</v>
      </c>
      <c r="V457" s="3">
        <v>1386.48</v>
      </c>
      <c r="W457" s="3" t="s">
        <v>42</v>
      </c>
      <c r="X457" s="3" t="s">
        <v>43</v>
      </c>
      <c r="Y457" s="2" t="str">
        <f t="shared" si="37"/>
        <v>Unique</v>
      </c>
      <c r="AA457" s="2" t="str">
        <f t="shared" si="38"/>
        <v>Clean</v>
      </c>
      <c r="AB457" s="2" t="str">
        <f t="shared" si="39"/>
        <v>valid</v>
      </c>
      <c r="AC457">
        <f t="shared" si="61"/>
        <v>0</v>
      </c>
      <c r="AD457">
        <f t="shared" si="62"/>
        <v>3235.08</v>
      </c>
      <c r="AE457">
        <f t="shared" si="63"/>
        <v>1386.48</v>
      </c>
      <c r="AF457">
        <f t="shared" si="64"/>
        <v>0.42857672762342819</v>
      </c>
      <c r="AG457" t="str">
        <f t="shared" si="65"/>
        <v>July</v>
      </c>
      <c r="AH457">
        <f t="shared" si="66"/>
        <v>2024</v>
      </c>
      <c r="AI457" t="str">
        <f t="shared" si="67"/>
        <v>Clean</v>
      </c>
    </row>
    <row r="458" spans="1:35" ht="15.75" customHeight="1">
      <c r="A458" s="3" t="s">
        <v>2232</v>
      </c>
      <c r="B458" s="3" t="s">
        <v>2081</v>
      </c>
      <c r="C458" s="3" t="s">
        <v>2081</v>
      </c>
      <c r="D458" s="3" t="str">
        <f t="shared" si="34"/>
        <v>20-Feb-2024</v>
      </c>
      <c r="E458" s="3" t="str">
        <f t="shared" si="35"/>
        <v>20-Feb-2024</v>
      </c>
      <c r="F458" s="3">
        <f t="shared" si="36"/>
        <v>0</v>
      </c>
      <c r="G458" s="3" t="s">
        <v>2233</v>
      </c>
      <c r="H458" s="3" t="s">
        <v>101</v>
      </c>
      <c r="I458" s="3" t="s">
        <v>116</v>
      </c>
      <c r="J458" s="3" t="s">
        <v>35</v>
      </c>
      <c r="K458" s="3" t="s">
        <v>182</v>
      </c>
      <c r="L458" s="3" t="s">
        <v>183</v>
      </c>
      <c r="M458" s="3" t="s">
        <v>94</v>
      </c>
      <c r="N458" s="3" t="s">
        <v>95</v>
      </c>
      <c r="O458" s="3" t="s">
        <v>2234</v>
      </c>
      <c r="P458" s="3" t="s">
        <v>56</v>
      </c>
      <c r="Q458" s="3">
        <v>5</v>
      </c>
      <c r="R458" s="3">
        <v>2604.91</v>
      </c>
      <c r="S458" s="3">
        <v>0.15</v>
      </c>
      <c r="T458" s="3">
        <v>11070.87</v>
      </c>
      <c r="U458" s="3">
        <v>6623.61</v>
      </c>
      <c r="V458" s="3">
        <v>4447.26</v>
      </c>
      <c r="W458" s="3" t="s">
        <v>42</v>
      </c>
      <c r="X458" s="3" t="s">
        <v>133</v>
      </c>
      <c r="Y458" s="2" t="str">
        <f t="shared" si="37"/>
        <v>Unique</v>
      </c>
      <c r="AA458" s="2" t="str">
        <f t="shared" si="38"/>
        <v>Clean</v>
      </c>
      <c r="AB458" s="2" t="str">
        <f t="shared" si="39"/>
        <v>valid</v>
      </c>
      <c r="AC458">
        <f t="shared" si="61"/>
        <v>0.15</v>
      </c>
      <c r="AD458">
        <f t="shared" si="62"/>
        <v>11070.867499999998</v>
      </c>
      <c r="AE458">
        <f t="shared" si="63"/>
        <v>4447.2574999999988</v>
      </c>
      <c r="AF458">
        <f t="shared" si="64"/>
        <v>0.40170813172499803</v>
      </c>
      <c r="AG458" t="str">
        <f t="shared" si="65"/>
        <v>February</v>
      </c>
      <c r="AH458">
        <f t="shared" si="66"/>
        <v>2024</v>
      </c>
      <c r="AI458" t="str">
        <f t="shared" si="67"/>
        <v>Clean</v>
      </c>
    </row>
    <row r="459" spans="1:35" ht="15.75" customHeight="1">
      <c r="A459" s="3" t="s">
        <v>2235</v>
      </c>
      <c r="B459" s="3" t="s">
        <v>2236</v>
      </c>
      <c r="C459" s="3" t="s">
        <v>2237</v>
      </c>
      <c r="D459" s="3" t="str">
        <f t="shared" si="34"/>
        <v>04-May-2024</v>
      </c>
      <c r="E459" s="3" t="str">
        <f t="shared" si="35"/>
        <v>05-Apr-2024</v>
      </c>
      <c r="F459" s="3">
        <f t="shared" si="36"/>
        <v>29</v>
      </c>
      <c r="G459" s="3" t="s">
        <v>2238</v>
      </c>
      <c r="H459" s="3" t="s">
        <v>48</v>
      </c>
      <c r="I459" s="3" t="s">
        <v>49</v>
      </c>
      <c r="J459" s="3" t="s">
        <v>81</v>
      </c>
      <c r="K459" s="3" t="s">
        <v>257</v>
      </c>
      <c r="L459" s="3" t="s">
        <v>258</v>
      </c>
      <c r="M459" s="3" t="s">
        <v>53</v>
      </c>
      <c r="N459" s="3" t="s">
        <v>54</v>
      </c>
      <c r="O459" s="3" t="s">
        <v>2239</v>
      </c>
      <c r="P459" s="3" t="s">
        <v>75</v>
      </c>
      <c r="Q459" s="3">
        <v>7</v>
      </c>
      <c r="R459" s="3">
        <v>2851.51</v>
      </c>
      <c r="S459" s="3">
        <v>0</v>
      </c>
      <c r="T459" s="3">
        <v>19960.57</v>
      </c>
      <c r="U459" s="3">
        <v>16603.599999999999</v>
      </c>
      <c r="V459" s="3">
        <v>3356.97</v>
      </c>
      <c r="W459" s="3" t="s">
        <v>42</v>
      </c>
      <c r="X459" s="3" t="s">
        <v>43</v>
      </c>
      <c r="Y459" s="2" t="str">
        <f t="shared" si="37"/>
        <v>Unique</v>
      </c>
      <c r="AA459" s="2" t="str">
        <f t="shared" si="38"/>
        <v>Clean</v>
      </c>
      <c r="AB459" s="2" t="str">
        <f t="shared" si="39"/>
        <v>valid</v>
      </c>
      <c r="AC459">
        <f t="shared" si="61"/>
        <v>0</v>
      </c>
      <c r="AD459">
        <f t="shared" si="62"/>
        <v>19960.57</v>
      </c>
      <c r="AE459">
        <f t="shared" si="63"/>
        <v>3356.9700000000012</v>
      </c>
      <c r="AF459">
        <f t="shared" si="64"/>
        <v>0.1681800670020947</v>
      </c>
      <c r="AG459" t="str">
        <f t="shared" si="65"/>
        <v>April</v>
      </c>
      <c r="AH459">
        <f t="shared" si="66"/>
        <v>2024</v>
      </c>
      <c r="AI459" t="str">
        <f t="shared" si="67"/>
        <v>Clean</v>
      </c>
    </row>
    <row r="460" spans="1:35" ht="15.75" customHeight="1">
      <c r="A460" s="3" t="s">
        <v>2240</v>
      </c>
      <c r="B460" s="3" t="s">
        <v>2241</v>
      </c>
      <c r="C460" s="3" t="s">
        <v>867</v>
      </c>
      <c r="D460" s="3" t="str">
        <f t="shared" si="34"/>
        <v>02-Nov-2024</v>
      </c>
      <c r="E460" s="3" t="str">
        <f t="shared" si="35"/>
        <v>10-Feb-2024</v>
      </c>
      <c r="F460" s="3">
        <f t="shared" si="36"/>
        <v>266</v>
      </c>
      <c r="G460" s="3" t="s">
        <v>2242</v>
      </c>
      <c r="H460" s="3" t="s">
        <v>33</v>
      </c>
      <c r="I460" s="3" t="s">
        <v>116</v>
      </c>
      <c r="J460" s="3" t="s">
        <v>35</v>
      </c>
      <c r="K460" s="3" t="s">
        <v>36</v>
      </c>
      <c r="L460" s="3" t="s">
        <v>37</v>
      </c>
      <c r="M460" s="3" t="s">
        <v>94</v>
      </c>
      <c r="N460" s="3" t="s">
        <v>231</v>
      </c>
      <c r="O460" s="3" t="s">
        <v>2243</v>
      </c>
      <c r="P460" s="3" t="s">
        <v>41</v>
      </c>
      <c r="Q460" s="3">
        <v>3</v>
      </c>
      <c r="R460" s="3">
        <v>3183.72</v>
      </c>
      <c r="S460" s="3">
        <v>0.1</v>
      </c>
      <c r="T460" s="3">
        <v>8596.0400000000009</v>
      </c>
      <c r="U460" s="3">
        <v>5378.16</v>
      </c>
      <c r="V460" s="3">
        <v>3217.88</v>
      </c>
      <c r="W460" s="3" t="s">
        <v>42</v>
      </c>
      <c r="X460" s="3" t="s">
        <v>43</v>
      </c>
      <c r="Y460" s="2" t="str">
        <f t="shared" si="37"/>
        <v>Unique</v>
      </c>
      <c r="AA460" s="2" t="str">
        <f t="shared" si="38"/>
        <v>Clean</v>
      </c>
      <c r="AB460" s="2" t="str">
        <f t="shared" si="39"/>
        <v>valid</v>
      </c>
      <c r="AC460">
        <f t="shared" si="61"/>
        <v>0.1</v>
      </c>
      <c r="AD460">
        <f t="shared" si="62"/>
        <v>8596.0439999999999</v>
      </c>
      <c r="AE460">
        <f t="shared" si="63"/>
        <v>3217.884</v>
      </c>
      <c r="AF460">
        <f t="shared" si="64"/>
        <v>0.37434475672762962</v>
      </c>
      <c r="AG460" t="str">
        <f t="shared" si="65"/>
        <v>February</v>
      </c>
      <c r="AH460">
        <f t="shared" si="66"/>
        <v>2024</v>
      </c>
      <c r="AI460" t="str">
        <f t="shared" si="67"/>
        <v>Clean</v>
      </c>
    </row>
    <row r="461" spans="1:35" ht="15.75" customHeight="1">
      <c r="A461" s="3" t="s">
        <v>2244</v>
      </c>
      <c r="B461" s="3" t="s">
        <v>2245</v>
      </c>
      <c r="C461" s="3" t="s">
        <v>2175</v>
      </c>
      <c r="D461" s="3" t="str">
        <f t="shared" si="34"/>
        <v>04-Apr-2024</v>
      </c>
      <c r="E461" s="3" t="str">
        <f t="shared" si="35"/>
        <v>28-Mar-2024</v>
      </c>
      <c r="F461" s="3">
        <f t="shared" si="36"/>
        <v>7</v>
      </c>
      <c r="G461" s="3" t="s">
        <v>2246</v>
      </c>
      <c r="H461" s="3" t="s">
        <v>80</v>
      </c>
      <c r="I461" s="3" t="s">
        <v>123</v>
      </c>
      <c r="J461" s="3" t="s">
        <v>81</v>
      </c>
      <c r="K461" s="3" t="s">
        <v>257</v>
      </c>
      <c r="L461" s="3" t="s">
        <v>258</v>
      </c>
      <c r="M461" s="3" t="s">
        <v>38</v>
      </c>
      <c r="N461" s="3" t="s">
        <v>39</v>
      </c>
      <c r="O461" s="3" t="s">
        <v>2247</v>
      </c>
      <c r="P461" s="3" t="s">
        <v>64</v>
      </c>
      <c r="Q461" s="3">
        <v>3</v>
      </c>
      <c r="R461" s="3">
        <v>1150.92</v>
      </c>
      <c r="S461" s="3">
        <v>0</v>
      </c>
      <c r="T461" s="3">
        <v>3452.76</v>
      </c>
      <c r="U461" s="3">
        <v>2077.96</v>
      </c>
      <c r="V461" s="3">
        <v>1374.8</v>
      </c>
      <c r="W461" s="3" t="s">
        <v>42</v>
      </c>
      <c r="X461" s="3" t="s">
        <v>43</v>
      </c>
      <c r="Y461" s="2" t="str">
        <f t="shared" si="37"/>
        <v>Unique</v>
      </c>
      <c r="AA461" s="2" t="str">
        <f t="shared" si="38"/>
        <v>Clean</v>
      </c>
      <c r="AB461" s="2" t="str">
        <f t="shared" si="39"/>
        <v>valid</v>
      </c>
      <c r="AC461">
        <f t="shared" si="61"/>
        <v>0</v>
      </c>
      <c r="AD461">
        <f t="shared" si="62"/>
        <v>3452.76</v>
      </c>
      <c r="AE461">
        <f t="shared" si="63"/>
        <v>1374.8000000000002</v>
      </c>
      <c r="AF461">
        <f t="shared" si="64"/>
        <v>0.39817421425178701</v>
      </c>
      <c r="AG461" t="str">
        <f t="shared" si="65"/>
        <v>March</v>
      </c>
      <c r="AH461">
        <f t="shared" si="66"/>
        <v>2024</v>
      </c>
      <c r="AI461" t="str">
        <f t="shared" si="67"/>
        <v>Clean</v>
      </c>
    </row>
    <row r="462" spans="1:35" ht="15.75" customHeight="1">
      <c r="A462" s="3" t="s">
        <v>2248</v>
      </c>
      <c r="B462" s="3" t="s">
        <v>2249</v>
      </c>
      <c r="C462" s="3" t="s">
        <v>2250</v>
      </c>
      <c r="D462" s="3" t="str">
        <f t="shared" si="34"/>
        <v>06-Oct-2025</v>
      </c>
      <c r="E462" s="3" t="str">
        <f t="shared" si="35"/>
        <v>30-Sep-2025</v>
      </c>
      <c r="F462" s="3">
        <f t="shared" si="36"/>
        <v>6</v>
      </c>
      <c r="G462" s="3" t="s">
        <v>2251</v>
      </c>
      <c r="H462" s="3" t="s">
        <v>170</v>
      </c>
      <c r="I462" s="3" t="s">
        <v>116</v>
      </c>
      <c r="J462" s="3" t="s">
        <v>280</v>
      </c>
      <c r="K462" s="3" t="s">
        <v>36</v>
      </c>
      <c r="L462" s="3" t="s">
        <v>37</v>
      </c>
      <c r="M462" s="3" t="s">
        <v>94</v>
      </c>
      <c r="N462" s="3" t="s">
        <v>102</v>
      </c>
      <c r="O462" s="3" t="s">
        <v>2252</v>
      </c>
      <c r="P462" s="3" t="s">
        <v>41</v>
      </c>
      <c r="Q462" s="3">
        <v>9</v>
      </c>
      <c r="R462" s="3">
        <v>1359.88</v>
      </c>
      <c r="S462" s="3">
        <v>0.05</v>
      </c>
      <c r="T462" s="3">
        <v>11626.97</v>
      </c>
      <c r="U462" s="3">
        <v>7394.07</v>
      </c>
      <c r="V462" s="3">
        <v>4232.8999999999996</v>
      </c>
      <c r="W462" s="3" t="s">
        <v>42</v>
      </c>
      <c r="X462" s="3" t="s">
        <v>43</v>
      </c>
      <c r="Y462" s="2" t="str">
        <f t="shared" si="37"/>
        <v>Unique</v>
      </c>
      <c r="AA462" s="2" t="str">
        <f t="shared" si="38"/>
        <v>Clean</v>
      </c>
      <c r="AB462" s="2" t="str">
        <f t="shared" si="39"/>
        <v>valid</v>
      </c>
      <c r="AC462">
        <f t="shared" si="61"/>
        <v>0.05</v>
      </c>
      <c r="AD462">
        <f t="shared" si="62"/>
        <v>11626.974000000002</v>
      </c>
      <c r="AE462">
        <f t="shared" si="63"/>
        <v>4232.9040000000023</v>
      </c>
      <c r="AF462">
        <f t="shared" si="64"/>
        <v>0.36405895463428417</v>
      </c>
      <c r="AG462" t="str">
        <f t="shared" si="65"/>
        <v>September</v>
      </c>
      <c r="AH462">
        <f t="shared" si="66"/>
        <v>2025</v>
      </c>
      <c r="AI462" t="str">
        <f t="shared" si="67"/>
        <v>Clean</v>
      </c>
    </row>
    <row r="463" spans="1:35" ht="15.75" customHeight="1">
      <c r="A463" s="3" t="s">
        <v>2253</v>
      </c>
      <c r="B463" s="3" t="s">
        <v>2254</v>
      </c>
      <c r="C463" s="3" t="s">
        <v>1522</v>
      </c>
      <c r="D463" s="3" t="str">
        <f t="shared" si="34"/>
        <v>26-May-2025</v>
      </c>
      <c r="E463" s="3" t="str">
        <f t="shared" si="35"/>
        <v>25-May-2025</v>
      </c>
      <c r="F463" s="3">
        <f t="shared" si="36"/>
        <v>1</v>
      </c>
      <c r="G463" s="3" t="s">
        <v>2255</v>
      </c>
      <c r="H463" s="3" t="s">
        <v>101</v>
      </c>
      <c r="I463" s="3" t="s">
        <v>116</v>
      </c>
      <c r="J463" s="3" t="s">
        <v>70</v>
      </c>
      <c r="K463" s="3" t="s">
        <v>108</v>
      </c>
      <c r="L463" s="3" t="s">
        <v>109</v>
      </c>
      <c r="M463" s="3" t="s">
        <v>38</v>
      </c>
      <c r="N463" s="3" t="s">
        <v>39</v>
      </c>
      <c r="O463" s="3" t="s">
        <v>2256</v>
      </c>
      <c r="P463" s="3" t="s">
        <v>75</v>
      </c>
      <c r="Q463" s="3">
        <v>3</v>
      </c>
      <c r="R463" s="3">
        <v>3378.15</v>
      </c>
      <c r="S463" s="3">
        <v>0.15</v>
      </c>
      <c r="T463" s="3">
        <v>8614.2800000000007</v>
      </c>
      <c r="U463" s="3">
        <v>7052.08</v>
      </c>
      <c r="V463" s="3">
        <v>1562.2</v>
      </c>
      <c r="W463" s="3" t="s">
        <v>42</v>
      </c>
      <c r="X463" s="3" t="s">
        <v>43</v>
      </c>
      <c r="Y463" s="2" t="str">
        <f t="shared" si="37"/>
        <v>Unique</v>
      </c>
      <c r="AA463" s="2" t="str">
        <f t="shared" si="38"/>
        <v>Clean</v>
      </c>
      <c r="AB463" s="2" t="str">
        <f t="shared" si="39"/>
        <v>valid</v>
      </c>
      <c r="AC463">
        <f t="shared" si="61"/>
        <v>0.15</v>
      </c>
      <c r="AD463">
        <f t="shared" si="62"/>
        <v>8614.2825000000012</v>
      </c>
      <c r="AE463">
        <f t="shared" si="63"/>
        <v>1562.2025000000012</v>
      </c>
      <c r="AF463">
        <f t="shared" si="64"/>
        <v>0.18135027496486225</v>
      </c>
      <c r="AG463" t="str">
        <f t="shared" si="65"/>
        <v>May</v>
      </c>
      <c r="AH463">
        <f t="shared" si="66"/>
        <v>2025</v>
      </c>
      <c r="AI463" t="str">
        <f t="shared" si="67"/>
        <v>Clean</v>
      </c>
    </row>
    <row r="464" spans="1:35" ht="15.75" customHeight="1">
      <c r="A464" s="3" t="s">
        <v>2257</v>
      </c>
      <c r="B464" s="3" t="s">
        <v>2001</v>
      </c>
      <c r="C464" s="3" t="s">
        <v>2258</v>
      </c>
      <c r="D464" s="3" t="str">
        <f t="shared" si="34"/>
        <v>25-Sep-2024</v>
      </c>
      <c r="E464" s="3" t="str">
        <f t="shared" si="35"/>
        <v>23-Sep-2024</v>
      </c>
      <c r="F464" s="3">
        <f t="shared" si="36"/>
        <v>2</v>
      </c>
      <c r="G464" s="3" t="s">
        <v>2259</v>
      </c>
      <c r="H464" s="3" t="s">
        <v>170</v>
      </c>
      <c r="I464" s="3" t="s">
        <v>123</v>
      </c>
      <c r="J464" s="3" t="s">
        <v>35</v>
      </c>
      <c r="K464" s="3" t="s">
        <v>515</v>
      </c>
      <c r="L464" s="3" t="s">
        <v>516</v>
      </c>
      <c r="M464" s="3" t="s">
        <v>38</v>
      </c>
      <c r="N464" s="3" t="s">
        <v>206</v>
      </c>
      <c r="O464" s="3" t="s">
        <v>2260</v>
      </c>
      <c r="P464" s="3" t="s">
        <v>64</v>
      </c>
      <c r="Q464" s="3">
        <v>2</v>
      </c>
      <c r="R464" s="3">
        <v>1275.1400000000001</v>
      </c>
      <c r="S464" s="3">
        <v>0.2</v>
      </c>
      <c r="T464" s="3">
        <v>2040.22</v>
      </c>
      <c r="U464" s="3">
        <v>1395.71</v>
      </c>
      <c r="V464" s="3">
        <v>644.51</v>
      </c>
      <c r="W464" s="3" t="s">
        <v>42</v>
      </c>
      <c r="X464" s="3" t="s">
        <v>43</v>
      </c>
      <c r="Y464" s="2" t="str">
        <f t="shared" si="37"/>
        <v>Unique</v>
      </c>
      <c r="AA464" s="2" t="str">
        <f t="shared" si="38"/>
        <v>Clean</v>
      </c>
      <c r="AB464" s="2" t="str">
        <f t="shared" si="39"/>
        <v>valid</v>
      </c>
      <c r="AC464">
        <f t="shared" si="61"/>
        <v>0.2</v>
      </c>
      <c r="AD464">
        <f t="shared" si="62"/>
        <v>2040.2240000000002</v>
      </c>
      <c r="AE464">
        <f t="shared" si="63"/>
        <v>644.51400000000012</v>
      </c>
      <c r="AF464">
        <f t="shared" si="64"/>
        <v>0.31590354784572677</v>
      </c>
      <c r="AG464" t="str">
        <f t="shared" si="65"/>
        <v>September</v>
      </c>
      <c r="AH464">
        <f t="shared" si="66"/>
        <v>2024</v>
      </c>
      <c r="AI464" t="str">
        <f t="shared" si="67"/>
        <v>Clean</v>
      </c>
    </row>
    <row r="465" spans="1:35" ht="15.75" customHeight="1">
      <c r="A465" s="3" t="s">
        <v>2261</v>
      </c>
      <c r="B465" s="3" t="s">
        <v>450</v>
      </c>
      <c r="C465" s="3" t="s">
        <v>2262</v>
      </c>
      <c r="D465" s="3" t="str">
        <f t="shared" si="34"/>
        <v>08-Feb-2025</v>
      </c>
      <c r="E465" s="3" t="str">
        <f t="shared" si="35"/>
        <v>07-Feb-2025</v>
      </c>
      <c r="F465" s="3">
        <f t="shared" si="36"/>
        <v>1</v>
      </c>
      <c r="G465" s="3" t="s">
        <v>2263</v>
      </c>
      <c r="H465" s="3" t="s">
        <v>69</v>
      </c>
      <c r="I465" s="3" t="s">
        <v>116</v>
      </c>
      <c r="J465" s="3" t="s">
        <v>81</v>
      </c>
      <c r="K465" s="3" t="s">
        <v>92</v>
      </c>
      <c r="L465" s="3" t="s">
        <v>93</v>
      </c>
      <c r="M465" s="3" t="s">
        <v>94</v>
      </c>
      <c r="N465" s="3" t="s">
        <v>231</v>
      </c>
      <c r="O465" s="3" t="s">
        <v>2264</v>
      </c>
      <c r="P465" s="3" t="s">
        <v>75</v>
      </c>
      <c r="Q465" s="3">
        <v>4</v>
      </c>
      <c r="R465" s="3">
        <v>889.5</v>
      </c>
      <c r="S465" s="3">
        <v>0.2</v>
      </c>
      <c r="T465" s="3">
        <v>2846.4</v>
      </c>
      <c r="U465" s="3">
        <v>2132.37</v>
      </c>
      <c r="V465" s="3">
        <v>714.03</v>
      </c>
      <c r="W465" s="3" t="s">
        <v>42</v>
      </c>
      <c r="X465" s="3" t="s">
        <v>43</v>
      </c>
      <c r="Y465" s="2" t="str">
        <f t="shared" si="37"/>
        <v>Unique</v>
      </c>
      <c r="AA465" s="2" t="str">
        <f t="shared" si="38"/>
        <v>Clean</v>
      </c>
      <c r="AB465" s="2" t="str">
        <f t="shared" si="39"/>
        <v>valid</v>
      </c>
      <c r="AC465">
        <f t="shared" si="61"/>
        <v>0.2</v>
      </c>
      <c r="AD465">
        <f t="shared" si="62"/>
        <v>2846.4</v>
      </c>
      <c r="AE465">
        <f t="shared" si="63"/>
        <v>714.0300000000002</v>
      </c>
      <c r="AF465">
        <f t="shared" si="64"/>
        <v>0.25085370994940986</v>
      </c>
      <c r="AG465" t="str">
        <f t="shared" si="65"/>
        <v>February</v>
      </c>
      <c r="AH465">
        <f t="shared" si="66"/>
        <v>2025</v>
      </c>
      <c r="AI465" t="str">
        <f t="shared" si="67"/>
        <v>Clean</v>
      </c>
    </row>
    <row r="466" spans="1:35" ht="15.75" customHeight="1">
      <c r="A466" s="3" t="s">
        <v>2265</v>
      </c>
      <c r="B466" s="3" t="s">
        <v>2266</v>
      </c>
      <c r="C466" s="3" t="s">
        <v>2267</v>
      </c>
      <c r="D466" s="3" t="str">
        <f t="shared" si="34"/>
        <v>15-Mar-2025</v>
      </c>
      <c r="E466" s="3" t="str">
        <f t="shared" si="35"/>
        <v>11-Mar-2025</v>
      </c>
      <c r="F466" s="3">
        <f t="shared" si="36"/>
        <v>4</v>
      </c>
      <c r="G466" s="3" t="s">
        <v>2268</v>
      </c>
      <c r="H466" s="3" t="s">
        <v>69</v>
      </c>
      <c r="I466" s="3" t="s">
        <v>116</v>
      </c>
      <c r="J466" s="3" t="s">
        <v>50</v>
      </c>
      <c r="K466" s="3" t="s">
        <v>194</v>
      </c>
      <c r="L466" s="3" t="s">
        <v>195</v>
      </c>
      <c r="M466" s="3" t="s">
        <v>38</v>
      </c>
      <c r="N466" s="3" t="s">
        <v>39</v>
      </c>
      <c r="O466" s="3" t="s">
        <v>2269</v>
      </c>
      <c r="P466" s="3" t="s">
        <v>56</v>
      </c>
      <c r="Q466" s="3">
        <v>3</v>
      </c>
      <c r="R466" s="3">
        <v>3625.08</v>
      </c>
      <c r="S466" s="3">
        <v>0.05</v>
      </c>
      <c r="T466" s="3">
        <v>10331.48</v>
      </c>
      <c r="U466" s="3">
        <v>7131.91</v>
      </c>
      <c r="V466" s="3">
        <v>3199.57</v>
      </c>
      <c r="W466" s="3" t="s">
        <v>145</v>
      </c>
      <c r="X466" s="3" t="s">
        <v>86</v>
      </c>
      <c r="Y466" s="2" t="str">
        <f t="shared" si="37"/>
        <v>Unique</v>
      </c>
      <c r="AA466" s="2" t="str">
        <f t="shared" si="38"/>
        <v>Clean</v>
      </c>
      <c r="AB466" s="2" t="str">
        <f t="shared" si="39"/>
        <v>valid</v>
      </c>
      <c r="AC466">
        <f t="shared" si="61"/>
        <v>0.05</v>
      </c>
      <c r="AD466">
        <f t="shared" si="62"/>
        <v>10331.477999999999</v>
      </c>
      <c r="AE466">
        <f t="shared" si="63"/>
        <v>3199.5679999999993</v>
      </c>
      <c r="AF466">
        <f t="shared" si="64"/>
        <v>0.30969121746181905</v>
      </c>
      <c r="AG466" t="str">
        <f t="shared" si="65"/>
        <v>March</v>
      </c>
      <c r="AH466">
        <f t="shared" si="66"/>
        <v>2025</v>
      </c>
      <c r="AI466" t="str">
        <f t="shared" si="67"/>
        <v>Warning</v>
      </c>
    </row>
    <row r="467" spans="1:35" ht="15.75" customHeight="1">
      <c r="A467" s="3" t="s">
        <v>2270</v>
      </c>
      <c r="B467" s="3" t="s">
        <v>2271</v>
      </c>
      <c r="C467" s="3" t="s">
        <v>2272</v>
      </c>
      <c r="D467" s="3" t="str">
        <f t="shared" si="34"/>
        <v>06-Feb-2024</v>
      </c>
      <c r="E467" s="3" t="str">
        <f t="shared" si="35"/>
        <v>29-Jan-2024</v>
      </c>
      <c r="F467" s="3">
        <f t="shared" si="36"/>
        <v>8</v>
      </c>
      <c r="G467" s="3" t="s">
        <v>2273</v>
      </c>
      <c r="H467" s="3" t="s">
        <v>170</v>
      </c>
      <c r="I467" s="3" t="s">
        <v>49</v>
      </c>
      <c r="J467" s="3" t="s">
        <v>81</v>
      </c>
      <c r="K467" s="3" t="s">
        <v>92</v>
      </c>
      <c r="L467" s="3" t="s">
        <v>93</v>
      </c>
      <c r="M467" s="3" t="s">
        <v>38</v>
      </c>
      <c r="N467" s="3" t="s">
        <v>117</v>
      </c>
      <c r="O467" s="3" t="s">
        <v>2274</v>
      </c>
      <c r="P467" s="3" t="s">
        <v>75</v>
      </c>
      <c r="Q467" s="3">
        <v>2</v>
      </c>
      <c r="R467" s="3">
        <v>1258.9000000000001</v>
      </c>
      <c r="S467" s="3">
        <v>0</v>
      </c>
      <c r="T467" s="3">
        <v>2517.8000000000002</v>
      </c>
      <c r="U467" s="3">
        <v>1478.54</v>
      </c>
      <c r="V467" s="3">
        <v>1039.26</v>
      </c>
      <c r="W467" s="3" t="s">
        <v>42</v>
      </c>
      <c r="X467" s="3" t="s">
        <v>43</v>
      </c>
      <c r="Y467" s="2" t="str">
        <f t="shared" si="37"/>
        <v>Unique</v>
      </c>
      <c r="AA467" s="2" t="str">
        <f t="shared" si="38"/>
        <v>Clean</v>
      </c>
      <c r="AB467" s="2" t="str">
        <f t="shared" si="39"/>
        <v>valid</v>
      </c>
      <c r="AC467">
        <f t="shared" si="61"/>
        <v>0</v>
      </c>
      <c r="AD467">
        <f t="shared" si="62"/>
        <v>2517.8000000000002</v>
      </c>
      <c r="AE467">
        <f t="shared" si="63"/>
        <v>1039.2600000000002</v>
      </c>
      <c r="AF467">
        <f t="shared" si="64"/>
        <v>0.41276511239971408</v>
      </c>
      <c r="AG467" t="str">
        <f t="shared" si="65"/>
        <v>January</v>
      </c>
      <c r="AH467">
        <f t="shared" si="66"/>
        <v>2024</v>
      </c>
      <c r="AI467" t="str">
        <f t="shared" si="67"/>
        <v>Clean</v>
      </c>
    </row>
    <row r="468" spans="1:35" ht="15.75" customHeight="1">
      <c r="A468" s="3" t="s">
        <v>2275</v>
      </c>
      <c r="B468" s="3" t="s">
        <v>2276</v>
      </c>
      <c r="C468" s="3" t="s">
        <v>2277</v>
      </c>
      <c r="D468" s="3" t="str">
        <f t="shared" si="34"/>
        <v>01-Aug-2024</v>
      </c>
      <c r="E468" s="3" t="str">
        <f t="shared" si="35"/>
        <v>04-Jan-2024</v>
      </c>
      <c r="F468" s="3">
        <f t="shared" si="36"/>
        <v>210</v>
      </c>
      <c r="G468" s="3" t="s">
        <v>2278</v>
      </c>
      <c r="H468" s="3" t="s">
        <v>48</v>
      </c>
      <c r="I468" s="3" t="s">
        <v>49</v>
      </c>
      <c r="J468" s="3" t="s">
        <v>50</v>
      </c>
      <c r="K468" s="3" t="s">
        <v>194</v>
      </c>
      <c r="L468" s="3" t="s">
        <v>195</v>
      </c>
      <c r="M468" s="3" t="s">
        <v>94</v>
      </c>
      <c r="N468" s="3" t="s">
        <v>95</v>
      </c>
      <c r="O468" s="3" t="s">
        <v>2279</v>
      </c>
      <c r="P468" s="3" t="s">
        <v>56</v>
      </c>
      <c r="Q468" s="3">
        <v>9</v>
      </c>
      <c r="R468" s="3">
        <v>1591.96</v>
      </c>
      <c r="S468" s="3">
        <v>0.2</v>
      </c>
      <c r="T468" s="3">
        <v>11462.11</v>
      </c>
      <c r="U468" s="3">
        <v>7105.48</v>
      </c>
      <c r="V468" s="3">
        <v>4356.63</v>
      </c>
      <c r="W468" s="3" t="s">
        <v>42</v>
      </c>
      <c r="X468" s="3" t="s">
        <v>43</v>
      </c>
      <c r="Y468" s="2" t="str">
        <f t="shared" si="37"/>
        <v>Unique</v>
      </c>
      <c r="AA468" s="2" t="str">
        <f t="shared" si="38"/>
        <v>Clean</v>
      </c>
      <c r="AB468" s="2" t="str">
        <f t="shared" si="39"/>
        <v>valid</v>
      </c>
      <c r="AC468">
        <f t="shared" si="61"/>
        <v>0.2</v>
      </c>
      <c r="AD468">
        <f t="shared" si="62"/>
        <v>11462.112000000001</v>
      </c>
      <c r="AE468">
        <f t="shared" si="63"/>
        <v>4356.6320000000014</v>
      </c>
      <c r="AF468">
        <f t="shared" si="64"/>
        <v>0.38008981241851425</v>
      </c>
      <c r="AG468" t="str">
        <f t="shared" si="65"/>
        <v>January</v>
      </c>
      <c r="AH468">
        <f t="shared" si="66"/>
        <v>2024</v>
      </c>
      <c r="AI468" t="str">
        <f t="shared" si="67"/>
        <v>Clean</v>
      </c>
    </row>
    <row r="469" spans="1:35" ht="15.75" customHeight="1">
      <c r="A469" s="3" t="s">
        <v>2280</v>
      </c>
      <c r="B469" s="3" t="s">
        <v>2281</v>
      </c>
      <c r="C469" s="3" t="s">
        <v>1625</v>
      </c>
      <c r="D469" s="3" t="str">
        <f t="shared" si="34"/>
        <v>21-Aug-2024</v>
      </c>
      <c r="E469" s="3" t="str">
        <f t="shared" si="35"/>
        <v>20-Aug-2024</v>
      </c>
      <c r="F469" s="3">
        <f t="shared" si="36"/>
        <v>1</v>
      </c>
      <c r="G469" s="3" t="s">
        <v>2282</v>
      </c>
      <c r="H469" s="3" t="s">
        <v>115</v>
      </c>
      <c r="I469" s="3" t="s">
        <v>116</v>
      </c>
      <c r="J469" s="3" t="s">
        <v>50</v>
      </c>
      <c r="K469" s="3" t="s">
        <v>51</v>
      </c>
      <c r="L469" s="3" t="s">
        <v>52</v>
      </c>
      <c r="M469" s="3" t="s">
        <v>94</v>
      </c>
      <c r="N469" s="3" t="s">
        <v>102</v>
      </c>
      <c r="O469" s="3" t="s">
        <v>2283</v>
      </c>
      <c r="P469" s="3" t="s">
        <v>64</v>
      </c>
      <c r="Q469" s="3">
        <v>5</v>
      </c>
      <c r="R469" s="3">
        <v>4288.33</v>
      </c>
      <c r="S469" s="3">
        <v>0.1</v>
      </c>
      <c r="T469" s="3">
        <v>19297.490000000002</v>
      </c>
      <c r="U469" s="3">
        <v>15451.66</v>
      </c>
      <c r="V469" s="3">
        <v>3845.83</v>
      </c>
      <c r="W469" s="3" t="s">
        <v>132</v>
      </c>
      <c r="X469" s="3" t="s">
        <v>86</v>
      </c>
      <c r="Y469" s="2" t="str">
        <f t="shared" si="37"/>
        <v>Unique</v>
      </c>
      <c r="AA469" s="2" t="str">
        <f t="shared" si="38"/>
        <v>Clean</v>
      </c>
      <c r="AB469" s="2" t="str">
        <f t="shared" si="39"/>
        <v>valid</v>
      </c>
      <c r="AC469">
        <f t="shared" si="61"/>
        <v>0.1</v>
      </c>
      <c r="AD469">
        <f t="shared" si="62"/>
        <v>19297.485000000001</v>
      </c>
      <c r="AE469">
        <f t="shared" si="63"/>
        <v>3845.8250000000007</v>
      </c>
      <c r="AF469">
        <f t="shared" si="64"/>
        <v>0.1992915138941681</v>
      </c>
      <c r="AG469" t="str">
        <f t="shared" si="65"/>
        <v>August</v>
      </c>
      <c r="AH469">
        <f t="shared" si="66"/>
        <v>2024</v>
      </c>
      <c r="AI469" t="str">
        <f t="shared" si="67"/>
        <v>Warning</v>
      </c>
    </row>
    <row r="470" spans="1:35" ht="15.75" customHeight="1">
      <c r="A470" s="3" t="s">
        <v>2284</v>
      </c>
      <c r="B470" s="3" t="s">
        <v>2285</v>
      </c>
      <c r="C470" s="3" t="s">
        <v>2286</v>
      </c>
      <c r="D470" s="3" t="str">
        <f t="shared" si="34"/>
        <v>07-Jan-2025</v>
      </c>
      <c r="E470" s="3" t="str">
        <f t="shared" si="35"/>
        <v>09-Jan-2025</v>
      </c>
      <c r="F470" s="3">
        <f t="shared" si="36"/>
        <v>-2</v>
      </c>
      <c r="G470" s="3" t="s">
        <v>2287</v>
      </c>
      <c r="H470" s="3" t="s">
        <v>170</v>
      </c>
      <c r="I470" s="3" t="s">
        <v>123</v>
      </c>
      <c r="J470" s="3" t="s">
        <v>50</v>
      </c>
      <c r="K470" s="3" t="s">
        <v>129</v>
      </c>
      <c r="L470" s="3" t="s">
        <v>130</v>
      </c>
      <c r="M470" s="3" t="s">
        <v>38</v>
      </c>
      <c r="N470" s="3" t="s">
        <v>206</v>
      </c>
      <c r="O470" s="3" t="s">
        <v>2288</v>
      </c>
      <c r="P470" s="3" t="s">
        <v>41</v>
      </c>
      <c r="Q470" s="3">
        <v>3</v>
      </c>
      <c r="R470" s="3">
        <v>2188.33</v>
      </c>
      <c r="S470" s="3">
        <v>0</v>
      </c>
      <c r="T470" s="3">
        <v>6564.99</v>
      </c>
      <c r="U470" s="3">
        <v>5407.24</v>
      </c>
      <c r="V470" s="3">
        <v>1157.75</v>
      </c>
      <c r="W470" s="3" t="s">
        <v>42</v>
      </c>
      <c r="X470" s="3" t="s">
        <v>43</v>
      </c>
      <c r="Y470" s="2" t="str">
        <f t="shared" si="37"/>
        <v>Unique</v>
      </c>
      <c r="AA470" s="2" t="str">
        <f t="shared" si="38"/>
        <v>Clean</v>
      </c>
      <c r="AB470" s="2" t="str">
        <f t="shared" si="39"/>
        <v>Invalid</v>
      </c>
      <c r="AC470">
        <f t="shared" si="61"/>
        <v>0</v>
      </c>
      <c r="AD470">
        <f t="shared" si="62"/>
        <v>6564.99</v>
      </c>
      <c r="AE470">
        <f t="shared" si="63"/>
        <v>1157.75</v>
      </c>
      <c r="AF470">
        <f t="shared" si="64"/>
        <v>0.17635213458055535</v>
      </c>
      <c r="AG470" t="str">
        <f t="shared" si="65"/>
        <v>January</v>
      </c>
      <c r="AH470">
        <f t="shared" si="66"/>
        <v>2025</v>
      </c>
      <c r="AI470" t="str">
        <f t="shared" si="67"/>
        <v>Clean</v>
      </c>
    </row>
    <row r="471" spans="1:35" ht="15.75" customHeight="1">
      <c r="A471" s="3" t="s">
        <v>2289</v>
      </c>
      <c r="B471" s="3" t="s">
        <v>2290</v>
      </c>
      <c r="C471" s="3" t="s">
        <v>2044</v>
      </c>
      <c r="D471" s="3" t="str">
        <f t="shared" si="34"/>
        <v>25-Jan-2024</v>
      </c>
      <c r="E471" s="3" t="str">
        <f t="shared" si="35"/>
        <v>19-Jan-2024</v>
      </c>
      <c r="F471" s="3">
        <f t="shared" si="36"/>
        <v>6</v>
      </c>
      <c r="G471" s="3" t="s">
        <v>2291</v>
      </c>
      <c r="H471" s="3" t="s">
        <v>115</v>
      </c>
      <c r="I471" s="3" t="s">
        <v>116</v>
      </c>
      <c r="J471" s="3" t="s">
        <v>81</v>
      </c>
      <c r="K471" s="3" t="s">
        <v>257</v>
      </c>
      <c r="L471" s="3" t="s">
        <v>258</v>
      </c>
      <c r="M471" s="3" t="s">
        <v>94</v>
      </c>
      <c r="N471" s="3" t="s">
        <v>102</v>
      </c>
      <c r="O471" s="3" t="s">
        <v>2292</v>
      </c>
      <c r="P471" s="3" t="s">
        <v>64</v>
      </c>
      <c r="Q471" s="3">
        <v>3</v>
      </c>
      <c r="R471" s="3">
        <v>1041.6600000000001</v>
      </c>
      <c r="S471" s="3">
        <v>0.1</v>
      </c>
      <c r="T471" s="3">
        <v>2812.48</v>
      </c>
      <c r="U471" s="3">
        <v>2282.12</v>
      </c>
      <c r="V471" s="3">
        <v>530.36</v>
      </c>
      <c r="W471" s="3" t="s">
        <v>42</v>
      </c>
      <c r="X471" s="3" t="s">
        <v>43</v>
      </c>
      <c r="Y471" s="2" t="str">
        <f t="shared" si="37"/>
        <v>Unique</v>
      </c>
      <c r="AA471" s="2" t="str">
        <f t="shared" si="38"/>
        <v>Clean</v>
      </c>
      <c r="AB471" s="2" t="str">
        <f t="shared" si="39"/>
        <v>valid</v>
      </c>
      <c r="AC471">
        <f t="shared" si="61"/>
        <v>0.1</v>
      </c>
      <c r="AD471">
        <f t="shared" si="62"/>
        <v>2812.4820000000004</v>
      </c>
      <c r="AE471">
        <f t="shared" si="63"/>
        <v>530.36200000000053</v>
      </c>
      <c r="AF471">
        <f t="shared" si="64"/>
        <v>0.18857436243147527</v>
      </c>
      <c r="AG471" t="str">
        <f t="shared" si="65"/>
        <v>January</v>
      </c>
      <c r="AH471">
        <f t="shared" si="66"/>
        <v>2024</v>
      </c>
      <c r="AI471" t="str">
        <f t="shared" si="67"/>
        <v>Clean</v>
      </c>
    </row>
    <row r="472" spans="1:35" ht="15.75" customHeight="1">
      <c r="A472" s="3" t="s">
        <v>2293</v>
      </c>
      <c r="B472" s="3" t="s">
        <v>2294</v>
      </c>
      <c r="C472" s="3" t="s">
        <v>1593</v>
      </c>
      <c r="D472" s="3" t="str">
        <f t="shared" si="34"/>
        <v>31-Jul-2024</v>
      </c>
      <c r="E472" s="3" t="str">
        <f t="shared" si="35"/>
        <v>28-Jul-2024</v>
      </c>
      <c r="F472" s="3">
        <f t="shared" si="36"/>
        <v>3</v>
      </c>
      <c r="G472" s="3" t="s">
        <v>2295</v>
      </c>
      <c r="H472" s="3" t="s">
        <v>115</v>
      </c>
      <c r="I472" s="3" t="s">
        <v>34</v>
      </c>
      <c r="J472" s="3" t="s">
        <v>35</v>
      </c>
      <c r="K472" s="3" t="s">
        <v>36</v>
      </c>
      <c r="L472" s="3" t="s">
        <v>37</v>
      </c>
      <c r="M472" s="3" t="s">
        <v>53</v>
      </c>
      <c r="N472" s="3" t="s">
        <v>54</v>
      </c>
      <c r="O472" s="3" t="s">
        <v>2296</v>
      </c>
      <c r="P472" s="3" t="s">
        <v>56</v>
      </c>
      <c r="Q472" s="3">
        <v>2</v>
      </c>
      <c r="R472" s="3">
        <v>4424.78</v>
      </c>
      <c r="S472" s="3">
        <v>0.2</v>
      </c>
      <c r="T472" s="3">
        <v>7079.65</v>
      </c>
      <c r="U472" s="3">
        <v>4465.91</v>
      </c>
      <c r="V472" s="3">
        <v>2613.7399999999998</v>
      </c>
      <c r="W472" s="3" t="s">
        <v>42</v>
      </c>
      <c r="X472" s="3" t="s">
        <v>43</v>
      </c>
      <c r="Y472" s="2" t="str">
        <f t="shared" si="37"/>
        <v>Unique</v>
      </c>
      <c r="AA472" s="2" t="str">
        <f t="shared" si="38"/>
        <v>Clean</v>
      </c>
      <c r="AB472" s="2" t="str">
        <f t="shared" si="39"/>
        <v>valid</v>
      </c>
      <c r="AC472">
        <f t="shared" si="61"/>
        <v>0.2</v>
      </c>
      <c r="AD472">
        <f t="shared" si="62"/>
        <v>7079.6480000000001</v>
      </c>
      <c r="AE472">
        <f t="shared" si="63"/>
        <v>2613.7380000000003</v>
      </c>
      <c r="AF472">
        <f t="shared" si="64"/>
        <v>0.36919038912669105</v>
      </c>
      <c r="AG472" t="str">
        <f t="shared" si="65"/>
        <v>July</v>
      </c>
      <c r="AH472">
        <f t="shared" si="66"/>
        <v>2024</v>
      </c>
      <c r="AI472" t="str">
        <f t="shared" si="67"/>
        <v>Clean</v>
      </c>
    </row>
    <row r="473" spans="1:35" ht="15.75" customHeight="1">
      <c r="A473" s="3" t="s">
        <v>2297</v>
      </c>
      <c r="B473" s="3" t="s">
        <v>2298</v>
      </c>
      <c r="C473" s="3" t="s">
        <v>2299</v>
      </c>
      <c r="D473" s="3" t="str">
        <f t="shared" si="34"/>
        <v>15-Feb-2024</v>
      </c>
      <c r="E473" s="3" t="str">
        <f t="shared" si="35"/>
        <v>11-Feb-2024</v>
      </c>
      <c r="F473" s="3">
        <f t="shared" si="36"/>
        <v>4</v>
      </c>
      <c r="G473" s="3" t="s">
        <v>2300</v>
      </c>
      <c r="H473" s="3" t="s">
        <v>375</v>
      </c>
      <c r="I473" s="3" t="s">
        <v>34</v>
      </c>
      <c r="J473" s="3" t="s">
        <v>70</v>
      </c>
      <c r="K473" s="3" t="s">
        <v>71</v>
      </c>
      <c r="L473" s="3" t="s">
        <v>72</v>
      </c>
      <c r="M473" s="3" t="s">
        <v>38</v>
      </c>
      <c r="N473" s="3" t="s">
        <v>206</v>
      </c>
      <c r="O473" s="3" t="s">
        <v>2301</v>
      </c>
      <c r="P473" s="3" t="s">
        <v>75</v>
      </c>
      <c r="Q473" s="3">
        <v>3</v>
      </c>
      <c r="R473" s="3">
        <v>3019.14</v>
      </c>
      <c r="S473" s="3">
        <v>0.25</v>
      </c>
      <c r="T473" s="3">
        <v>6793.07</v>
      </c>
      <c r="U473" s="3">
        <v>4985.22</v>
      </c>
      <c r="V473" s="3">
        <v>1807.85</v>
      </c>
      <c r="W473" s="3" t="s">
        <v>42</v>
      </c>
      <c r="X473" s="3" t="s">
        <v>43</v>
      </c>
      <c r="Y473" s="2" t="str">
        <f t="shared" si="37"/>
        <v>Unique</v>
      </c>
      <c r="AA473" s="2" t="str">
        <f t="shared" si="38"/>
        <v>Clean</v>
      </c>
      <c r="AB473" s="2" t="str">
        <f t="shared" si="39"/>
        <v>valid</v>
      </c>
      <c r="AC473">
        <f t="shared" si="61"/>
        <v>0.25</v>
      </c>
      <c r="AD473">
        <f t="shared" si="62"/>
        <v>6793.0650000000005</v>
      </c>
      <c r="AE473">
        <f t="shared" si="63"/>
        <v>1807.8450000000003</v>
      </c>
      <c r="AF473">
        <f t="shared" si="64"/>
        <v>0.26613097327936652</v>
      </c>
      <c r="AG473" t="str">
        <f t="shared" si="65"/>
        <v>February</v>
      </c>
      <c r="AH473">
        <f t="shared" si="66"/>
        <v>2024</v>
      </c>
      <c r="AI473" t="str">
        <f t="shared" si="67"/>
        <v>Clean</v>
      </c>
    </row>
    <row r="474" spans="1:35" ht="15.75" customHeight="1">
      <c r="A474" s="3" t="s">
        <v>2302</v>
      </c>
      <c r="B474" s="3" t="s">
        <v>2303</v>
      </c>
      <c r="C474" s="3" t="s">
        <v>1506</v>
      </c>
      <c r="D474" s="3" t="str">
        <f t="shared" si="34"/>
        <v>03-Jul-2024</v>
      </c>
      <c r="E474" s="3" t="str">
        <f t="shared" si="35"/>
        <v>02-Mar-2024</v>
      </c>
      <c r="F474" s="3">
        <f t="shared" si="36"/>
        <v>123</v>
      </c>
      <c r="G474" s="3" t="s">
        <v>2304</v>
      </c>
      <c r="H474" s="3" t="s">
        <v>188</v>
      </c>
      <c r="I474" s="3" t="s">
        <v>116</v>
      </c>
      <c r="J474" s="3" t="s">
        <v>50</v>
      </c>
      <c r="K474" s="3" t="s">
        <v>51</v>
      </c>
      <c r="L474" s="3" t="s">
        <v>52</v>
      </c>
      <c r="M474" s="3" t="s">
        <v>38</v>
      </c>
      <c r="N474" s="3" t="s">
        <v>164</v>
      </c>
      <c r="O474" s="3" t="s">
        <v>2305</v>
      </c>
      <c r="P474" s="3" t="s">
        <v>75</v>
      </c>
      <c r="Q474" s="3">
        <v>7</v>
      </c>
      <c r="R474" s="3">
        <v>263.45999999999998</v>
      </c>
      <c r="S474" s="3">
        <v>0</v>
      </c>
      <c r="T474" s="3">
        <v>1844.22</v>
      </c>
      <c r="U474" s="3">
        <v>1094.21</v>
      </c>
      <c r="V474" s="3">
        <v>750.01</v>
      </c>
      <c r="W474" s="3" t="s">
        <v>42</v>
      </c>
      <c r="X474" s="3" t="s">
        <v>43</v>
      </c>
      <c r="Y474" s="2" t="str">
        <f t="shared" si="37"/>
        <v>Unique</v>
      </c>
      <c r="AA474" s="2" t="str">
        <f t="shared" si="38"/>
        <v>Clean</v>
      </c>
      <c r="AB474" s="2" t="str">
        <f t="shared" si="39"/>
        <v>valid</v>
      </c>
      <c r="AC474">
        <f t="shared" si="61"/>
        <v>0</v>
      </c>
      <c r="AD474">
        <f t="shared" si="62"/>
        <v>1844.2199999999998</v>
      </c>
      <c r="AE474">
        <f t="shared" si="63"/>
        <v>750.00999999999976</v>
      </c>
      <c r="AF474">
        <f t="shared" si="64"/>
        <v>0.40668141544934977</v>
      </c>
      <c r="AG474" t="str">
        <f t="shared" si="65"/>
        <v>March</v>
      </c>
      <c r="AH474">
        <f t="shared" si="66"/>
        <v>2024</v>
      </c>
      <c r="AI474" t="str">
        <f t="shared" si="67"/>
        <v>Clean</v>
      </c>
    </row>
    <row r="475" spans="1:35" ht="15.75" customHeight="1">
      <c r="A475" s="3" t="s">
        <v>2306</v>
      </c>
      <c r="B475" s="3" t="s">
        <v>2307</v>
      </c>
      <c r="C475" s="3" t="s">
        <v>454</v>
      </c>
      <c r="D475" s="3" t="str">
        <f t="shared" si="34"/>
        <v>13-Nov-2024</v>
      </c>
      <c r="E475" s="3" t="str">
        <f t="shared" si="35"/>
        <v>13-Nov-2024</v>
      </c>
      <c r="F475" s="3">
        <f t="shared" si="36"/>
        <v>0</v>
      </c>
      <c r="G475" s="3" t="s">
        <v>2308</v>
      </c>
      <c r="H475" s="3" t="s">
        <v>150</v>
      </c>
      <c r="I475" s="3" t="s">
        <v>34</v>
      </c>
      <c r="J475" s="3" t="s">
        <v>81</v>
      </c>
      <c r="K475" s="3" t="s">
        <v>257</v>
      </c>
      <c r="L475" s="3" t="s">
        <v>258</v>
      </c>
      <c r="M475" s="3" t="s">
        <v>94</v>
      </c>
      <c r="N475" s="3" t="s">
        <v>102</v>
      </c>
      <c r="O475" s="3" t="s">
        <v>2309</v>
      </c>
      <c r="P475" s="3" t="s">
        <v>75</v>
      </c>
      <c r="Q475" s="3">
        <v>6</v>
      </c>
      <c r="R475" s="3">
        <v>191.45</v>
      </c>
      <c r="S475" s="3">
        <v>0.2</v>
      </c>
      <c r="T475" s="3">
        <v>918.96</v>
      </c>
      <c r="U475" s="3">
        <v>554.17999999999995</v>
      </c>
      <c r="V475" s="3">
        <v>364.78</v>
      </c>
      <c r="W475" s="3" t="s">
        <v>42</v>
      </c>
      <c r="X475" s="3" t="s">
        <v>43</v>
      </c>
      <c r="Y475" s="2" t="str">
        <f t="shared" si="37"/>
        <v>Unique</v>
      </c>
      <c r="AA475" s="2" t="str">
        <f t="shared" si="38"/>
        <v>Clean</v>
      </c>
      <c r="AB475" s="2" t="str">
        <f t="shared" si="39"/>
        <v>valid</v>
      </c>
      <c r="AC475">
        <f t="shared" si="61"/>
        <v>0.2</v>
      </c>
      <c r="AD475">
        <f t="shared" si="62"/>
        <v>918.95999999999992</v>
      </c>
      <c r="AE475">
        <f t="shared" si="63"/>
        <v>364.78</v>
      </c>
      <c r="AF475">
        <f t="shared" si="64"/>
        <v>0.39694872464525116</v>
      </c>
      <c r="AG475" t="str">
        <f t="shared" si="65"/>
        <v>November</v>
      </c>
      <c r="AH475">
        <f t="shared" si="66"/>
        <v>2024</v>
      </c>
      <c r="AI475" t="str">
        <f t="shared" si="67"/>
        <v>Clean</v>
      </c>
    </row>
    <row r="476" spans="1:35" ht="15.75" customHeight="1">
      <c r="A476" s="3" t="s">
        <v>2310</v>
      </c>
      <c r="B476" s="3" t="s">
        <v>1221</v>
      </c>
      <c r="C476" s="3" t="s">
        <v>2311</v>
      </c>
      <c r="D476" s="3" t="str">
        <f t="shared" si="34"/>
        <v>10-Jun-2024</v>
      </c>
      <c r="E476" s="3" t="str">
        <f t="shared" si="35"/>
        <v>03-Jun-2024</v>
      </c>
      <c r="F476" s="3">
        <f t="shared" si="36"/>
        <v>7</v>
      </c>
      <c r="G476" s="3" t="s">
        <v>2312</v>
      </c>
      <c r="H476" s="3" t="s">
        <v>218</v>
      </c>
      <c r="I476" s="3" t="s">
        <v>116</v>
      </c>
      <c r="J476" s="3" t="s">
        <v>35</v>
      </c>
      <c r="K476" s="3" t="s">
        <v>162</v>
      </c>
      <c r="L476" s="3" t="s">
        <v>163</v>
      </c>
      <c r="M476" s="3" t="s">
        <v>53</v>
      </c>
      <c r="N476" s="3" t="s">
        <v>73</v>
      </c>
      <c r="O476" s="3" t="s">
        <v>2313</v>
      </c>
      <c r="P476" s="3" t="s">
        <v>75</v>
      </c>
      <c r="Q476" s="3">
        <v>3</v>
      </c>
      <c r="R476" s="3">
        <v>1633.57</v>
      </c>
      <c r="S476" s="3">
        <v>0</v>
      </c>
      <c r="T476" s="3">
        <v>4900.71</v>
      </c>
      <c r="U476" s="3">
        <v>2713.9</v>
      </c>
      <c r="V476" s="3">
        <v>2186.81</v>
      </c>
      <c r="W476" s="3" t="s">
        <v>42</v>
      </c>
      <c r="X476" s="3" t="s">
        <v>43</v>
      </c>
      <c r="Y476" s="2" t="str">
        <f t="shared" si="37"/>
        <v>Unique</v>
      </c>
      <c r="AA476" s="2" t="str">
        <f t="shared" si="38"/>
        <v>Clean</v>
      </c>
      <c r="AB476" s="2" t="str">
        <f t="shared" si="39"/>
        <v>valid</v>
      </c>
      <c r="AC476">
        <f t="shared" si="61"/>
        <v>0</v>
      </c>
      <c r="AD476">
        <f t="shared" si="62"/>
        <v>4900.71</v>
      </c>
      <c r="AE476">
        <f t="shared" si="63"/>
        <v>2186.81</v>
      </c>
      <c r="AF476">
        <f t="shared" si="64"/>
        <v>0.44622309828575857</v>
      </c>
      <c r="AG476" t="str">
        <f t="shared" si="65"/>
        <v>June</v>
      </c>
      <c r="AH476">
        <f t="shared" si="66"/>
        <v>2024</v>
      </c>
      <c r="AI476" t="str">
        <f t="shared" si="67"/>
        <v>Clean</v>
      </c>
    </row>
    <row r="477" spans="1:35" ht="15.75" customHeight="1">
      <c r="A477" s="3" t="s">
        <v>2314</v>
      </c>
      <c r="B477" s="3" t="s">
        <v>2315</v>
      </c>
      <c r="C477" s="3" t="s">
        <v>2316</v>
      </c>
      <c r="D477" s="3" t="str">
        <f t="shared" si="34"/>
        <v>08-Mar-2025</v>
      </c>
      <c r="E477" s="3" t="str">
        <f t="shared" si="35"/>
        <v>03-Jan-2025</v>
      </c>
      <c r="F477" s="3">
        <f t="shared" si="36"/>
        <v>64</v>
      </c>
      <c r="G477" s="3" t="s">
        <v>2317</v>
      </c>
      <c r="H477" s="3" t="s">
        <v>91</v>
      </c>
      <c r="I477" s="3" t="s">
        <v>34</v>
      </c>
      <c r="J477" s="3" t="s">
        <v>50</v>
      </c>
      <c r="K477" s="3" t="s">
        <v>129</v>
      </c>
      <c r="L477" s="3" t="s">
        <v>130</v>
      </c>
      <c r="M477" s="3" t="s">
        <v>53</v>
      </c>
      <c r="N477" s="3" t="s">
        <v>84</v>
      </c>
      <c r="O477" s="3" t="s">
        <v>2318</v>
      </c>
      <c r="P477" s="3" t="s">
        <v>56</v>
      </c>
      <c r="Q477" s="3">
        <v>8</v>
      </c>
      <c r="R477" s="3">
        <v>3378.82</v>
      </c>
      <c r="S477" s="3">
        <v>0.25</v>
      </c>
      <c r="T477" s="3">
        <v>20272.919999999998</v>
      </c>
      <c r="U477" s="3">
        <v>15873.38</v>
      </c>
      <c r="V477" s="3">
        <v>4399.54</v>
      </c>
      <c r="W477" s="3" t="s">
        <v>145</v>
      </c>
      <c r="X477" s="3" t="s">
        <v>133</v>
      </c>
      <c r="Y477" s="2" t="str">
        <f t="shared" si="37"/>
        <v>Unique</v>
      </c>
      <c r="AA477" s="2" t="str">
        <f t="shared" si="38"/>
        <v>Clean</v>
      </c>
      <c r="AB477" s="2" t="str">
        <f t="shared" si="39"/>
        <v>valid</v>
      </c>
      <c r="AC477">
        <f t="shared" si="61"/>
        <v>0.25</v>
      </c>
      <c r="AD477">
        <f t="shared" si="62"/>
        <v>20272.920000000002</v>
      </c>
      <c r="AE477">
        <f t="shared" si="63"/>
        <v>4399.5400000000027</v>
      </c>
      <c r="AF477">
        <f t="shared" si="64"/>
        <v>0.21701560505344086</v>
      </c>
      <c r="AG477" t="str">
        <f t="shared" si="65"/>
        <v>January</v>
      </c>
      <c r="AH477">
        <f t="shared" si="66"/>
        <v>2025</v>
      </c>
      <c r="AI477" t="str">
        <f t="shared" si="67"/>
        <v>Clean</v>
      </c>
    </row>
    <row r="478" spans="1:35" ht="15.75" customHeight="1">
      <c r="A478" s="3" t="s">
        <v>2319</v>
      </c>
      <c r="B478" s="3" t="s">
        <v>2320</v>
      </c>
      <c r="C478" s="3" t="s">
        <v>2321</v>
      </c>
      <c r="D478" s="3" t="str">
        <f t="shared" si="34"/>
        <v>14-May-2024</v>
      </c>
      <c r="E478" s="3" t="str">
        <f t="shared" si="35"/>
        <v>05-Jul-2024</v>
      </c>
      <c r="F478" s="3">
        <f t="shared" si="36"/>
        <v>-52</v>
      </c>
      <c r="G478" s="3" t="s">
        <v>2322</v>
      </c>
      <c r="H478" s="3" t="s">
        <v>176</v>
      </c>
      <c r="I478" s="3" t="s">
        <v>49</v>
      </c>
      <c r="J478" s="3" t="s">
        <v>35</v>
      </c>
      <c r="K478" s="3" t="s">
        <v>36</v>
      </c>
      <c r="L478" s="3" t="s">
        <v>37</v>
      </c>
      <c r="M478" s="3" t="s">
        <v>38</v>
      </c>
      <c r="N478" s="3" t="s">
        <v>164</v>
      </c>
      <c r="O478" s="3" t="s">
        <v>2323</v>
      </c>
      <c r="P478" s="3" t="s">
        <v>64</v>
      </c>
      <c r="Q478" s="3">
        <v>3</v>
      </c>
      <c r="R478" s="3">
        <v>383.58</v>
      </c>
      <c r="S478" s="3">
        <v>0.1</v>
      </c>
      <c r="T478" s="3">
        <v>1035.67</v>
      </c>
      <c r="U478" s="3">
        <v>595.41999999999996</v>
      </c>
      <c r="V478" s="3">
        <v>440.25</v>
      </c>
      <c r="W478" s="3" t="s">
        <v>42</v>
      </c>
      <c r="X478" s="3" t="s">
        <v>43</v>
      </c>
      <c r="Y478" s="2" t="str">
        <f t="shared" si="37"/>
        <v>Unique</v>
      </c>
      <c r="AA478" s="2" t="str">
        <f t="shared" si="38"/>
        <v>Clean</v>
      </c>
      <c r="AB478" s="2" t="str">
        <f t="shared" si="39"/>
        <v>Invalid</v>
      </c>
      <c r="AC478">
        <f t="shared" si="61"/>
        <v>0.1</v>
      </c>
      <c r="AD478">
        <f t="shared" si="62"/>
        <v>1035.6659999999999</v>
      </c>
      <c r="AE478">
        <f t="shared" si="63"/>
        <v>440.24599999999998</v>
      </c>
      <c r="AF478">
        <f t="shared" si="64"/>
        <v>0.42508492120046426</v>
      </c>
      <c r="AG478" t="str">
        <f t="shared" si="65"/>
        <v>July</v>
      </c>
      <c r="AH478">
        <f t="shared" si="66"/>
        <v>2024</v>
      </c>
      <c r="AI478" t="str">
        <f t="shared" si="67"/>
        <v>Clean</v>
      </c>
    </row>
    <row r="479" spans="1:35" ht="15.75" customHeight="1">
      <c r="A479" s="3" t="s">
        <v>2324</v>
      </c>
      <c r="B479" s="3" t="s">
        <v>2325</v>
      </c>
      <c r="C479" s="3" t="s">
        <v>2326</v>
      </c>
      <c r="D479" s="3" t="str">
        <f t="shared" si="34"/>
        <v>28-Aug-2025</v>
      </c>
      <c r="E479" s="3" t="str">
        <f t="shared" si="35"/>
        <v>23-Aug-2025</v>
      </c>
      <c r="F479" s="3">
        <f t="shared" si="36"/>
        <v>5</v>
      </c>
      <c r="G479" s="3" t="s">
        <v>2327</v>
      </c>
      <c r="H479" s="3" t="s">
        <v>91</v>
      </c>
      <c r="I479" s="3" t="s">
        <v>116</v>
      </c>
      <c r="J479" s="3" t="s">
        <v>81</v>
      </c>
      <c r="K479" s="3" t="s">
        <v>243</v>
      </c>
      <c r="L479" s="3" t="s">
        <v>244</v>
      </c>
      <c r="M479" s="3" t="s">
        <v>53</v>
      </c>
      <c r="N479" s="3" t="s">
        <v>84</v>
      </c>
      <c r="O479" s="3" t="s">
        <v>2328</v>
      </c>
      <c r="P479" s="3" t="s">
        <v>75</v>
      </c>
      <c r="Q479" s="3">
        <v>6</v>
      </c>
      <c r="R479" s="3">
        <v>2193.23</v>
      </c>
      <c r="S479" s="3">
        <v>0.1</v>
      </c>
      <c r="T479" s="3">
        <v>11843.44</v>
      </c>
      <c r="U479" s="3">
        <v>9356.8799999999992</v>
      </c>
      <c r="V479" s="3">
        <v>2486.56</v>
      </c>
      <c r="W479" s="3" t="s">
        <v>42</v>
      </c>
      <c r="X479" s="3" t="s">
        <v>86</v>
      </c>
      <c r="Y479" s="2" t="str">
        <f t="shared" si="37"/>
        <v>Unique</v>
      </c>
      <c r="AA479" s="2" t="str">
        <f t="shared" si="38"/>
        <v>Clean</v>
      </c>
      <c r="AB479" s="2" t="str">
        <f t="shared" si="39"/>
        <v>valid</v>
      </c>
      <c r="AC479">
        <f t="shared" si="61"/>
        <v>0.1</v>
      </c>
      <c r="AD479">
        <f t="shared" si="62"/>
        <v>11843.442000000001</v>
      </c>
      <c r="AE479">
        <f t="shared" si="63"/>
        <v>2486.5620000000017</v>
      </c>
      <c r="AF479">
        <f t="shared" si="64"/>
        <v>0.20995264721184953</v>
      </c>
      <c r="AG479" t="str">
        <f t="shared" si="65"/>
        <v>August</v>
      </c>
      <c r="AH479">
        <f t="shared" si="66"/>
        <v>2025</v>
      </c>
      <c r="AI479" t="str">
        <f t="shared" si="67"/>
        <v>Warning</v>
      </c>
    </row>
    <row r="480" spans="1:35" ht="15.75" customHeight="1">
      <c r="A480" s="3" t="s">
        <v>2329</v>
      </c>
      <c r="B480" s="3" t="s">
        <v>2330</v>
      </c>
      <c r="C480" s="3" t="s">
        <v>2331</v>
      </c>
      <c r="D480" s="3" t="str">
        <f t="shared" si="34"/>
        <v>13-Jun-2024</v>
      </c>
      <c r="E480" s="3" t="str">
        <f t="shared" si="35"/>
        <v>06-Sep-2024</v>
      </c>
      <c r="F480" s="3">
        <f t="shared" si="36"/>
        <v>-85</v>
      </c>
      <c r="G480" s="3" t="s">
        <v>2332</v>
      </c>
      <c r="H480" s="3" t="s">
        <v>48</v>
      </c>
      <c r="I480" s="3" t="s">
        <v>123</v>
      </c>
      <c r="J480" s="3" t="s">
        <v>280</v>
      </c>
      <c r="K480" s="3" t="s">
        <v>182</v>
      </c>
      <c r="L480" s="3" t="s">
        <v>183</v>
      </c>
      <c r="M480" s="3" t="s">
        <v>94</v>
      </c>
      <c r="N480" s="3" t="s">
        <v>391</v>
      </c>
      <c r="O480" s="3" t="s">
        <v>2333</v>
      </c>
      <c r="P480" s="3" t="s">
        <v>56</v>
      </c>
      <c r="Q480" s="3">
        <v>7</v>
      </c>
      <c r="R480" s="3">
        <v>4079.71</v>
      </c>
      <c r="S480" s="3">
        <v>0.1</v>
      </c>
      <c r="T480" s="3">
        <v>25702.17</v>
      </c>
      <c r="U480" s="3">
        <v>14571.48</v>
      </c>
      <c r="V480" s="3">
        <v>11130.69</v>
      </c>
      <c r="W480" s="3" t="s">
        <v>132</v>
      </c>
      <c r="X480" s="3" t="s">
        <v>133</v>
      </c>
      <c r="Y480" s="2" t="str">
        <f t="shared" si="37"/>
        <v>Unique</v>
      </c>
      <c r="AA480" s="2" t="str">
        <f t="shared" si="38"/>
        <v>Clean</v>
      </c>
      <c r="AB480" s="2" t="str">
        <f t="shared" si="39"/>
        <v>Invalid</v>
      </c>
      <c r="AC480">
        <f t="shared" si="61"/>
        <v>0.1</v>
      </c>
      <c r="AD480">
        <f t="shared" si="62"/>
        <v>25702.173000000003</v>
      </c>
      <c r="AE480">
        <f t="shared" si="63"/>
        <v>11130.693000000003</v>
      </c>
      <c r="AF480">
        <f t="shared" si="64"/>
        <v>0.43306427826160854</v>
      </c>
      <c r="AG480" t="str">
        <f t="shared" si="65"/>
        <v>September</v>
      </c>
      <c r="AH480">
        <f t="shared" si="66"/>
        <v>2024</v>
      </c>
      <c r="AI480" t="str">
        <f t="shared" si="67"/>
        <v>Clean</v>
      </c>
    </row>
    <row r="481" spans="1:35" ht="15.75" customHeight="1">
      <c r="A481" s="3" t="s">
        <v>2334</v>
      </c>
      <c r="B481" s="3" t="s">
        <v>2335</v>
      </c>
      <c r="C481" s="3" t="s">
        <v>2081</v>
      </c>
      <c r="D481" s="3" t="str">
        <f t="shared" si="34"/>
        <v>20-Feb-2024</v>
      </c>
      <c r="E481" s="3" t="str">
        <f t="shared" si="35"/>
        <v>23-Feb-2024</v>
      </c>
      <c r="F481" s="3">
        <f t="shared" si="36"/>
        <v>-3</v>
      </c>
      <c r="G481" s="3" t="s">
        <v>2336</v>
      </c>
      <c r="H481" s="3" t="s">
        <v>69</v>
      </c>
      <c r="I481" s="3" t="s">
        <v>116</v>
      </c>
      <c r="J481" s="3" t="s">
        <v>50</v>
      </c>
      <c r="K481" s="3" t="s">
        <v>51</v>
      </c>
      <c r="L481" s="3" t="s">
        <v>52</v>
      </c>
      <c r="M481" s="3" t="s">
        <v>53</v>
      </c>
      <c r="N481" s="3" t="s">
        <v>84</v>
      </c>
      <c r="O481" s="3" t="s">
        <v>2337</v>
      </c>
      <c r="P481" s="3" t="s">
        <v>41</v>
      </c>
      <c r="Q481" s="3">
        <v>1</v>
      </c>
      <c r="R481" s="3">
        <v>2202.5500000000002</v>
      </c>
      <c r="S481" s="3">
        <v>0</v>
      </c>
      <c r="T481" s="3">
        <v>1651.91</v>
      </c>
      <c r="U481" s="3">
        <v>1034.57</v>
      </c>
      <c r="V481" s="3">
        <v>617.34</v>
      </c>
      <c r="W481" s="3" t="s">
        <v>42</v>
      </c>
      <c r="X481" s="3" t="s">
        <v>43</v>
      </c>
      <c r="Y481" s="4" t="str">
        <f t="shared" si="37"/>
        <v>Unique</v>
      </c>
      <c r="AA481" s="2" t="str">
        <f t="shared" si="38"/>
        <v>Clean</v>
      </c>
      <c r="AB481" s="2" t="str">
        <f t="shared" si="39"/>
        <v>Invalid</v>
      </c>
      <c r="AC481">
        <f t="shared" si="61"/>
        <v>0</v>
      </c>
      <c r="AD481">
        <f t="shared" si="62"/>
        <v>2202.5500000000002</v>
      </c>
      <c r="AE481">
        <f t="shared" si="63"/>
        <v>1167.9800000000002</v>
      </c>
      <c r="AF481">
        <f t="shared" si="64"/>
        <v>0.53028535107035035</v>
      </c>
      <c r="AG481" t="str">
        <f t="shared" si="65"/>
        <v>February</v>
      </c>
      <c r="AH481">
        <f t="shared" si="66"/>
        <v>2024</v>
      </c>
      <c r="AI481" t="str">
        <f t="shared" si="67"/>
        <v>Clean</v>
      </c>
    </row>
    <row r="482" spans="1:35" ht="15.75" customHeight="1">
      <c r="A482" s="3" t="s">
        <v>2338</v>
      </c>
      <c r="B482" s="3" t="s">
        <v>394</v>
      </c>
      <c r="C482" s="3" t="s">
        <v>2285</v>
      </c>
      <c r="D482" s="3" t="str">
        <f t="shared" si="34"/>
        <v>09-Jan-2025</v>
      </c>
      <c r="E482" s="3" t="str">
        <f t="shared" si="35"/>
        <v>05-Jan-2025</v>
      </c>
      <c r="F482" s="3">
        <f t="shared" si="36"/>
        <v>4</v>
      </c>
      <c r="G482" s="3" t="s">
        <v>2339</v>
      </c>
      <c r="H482" s="3" t="s">
        <v>101</v>
      </c>
      <c r="I482" s="3" t="s">
        <v>49</v>
      </c>
      <c r="J482" s="3" t="s">
        <v>70</v>
      </c>
      <c r="K482" s="3" t="s">
        <v>347</v>
      </c>
      <c r="L482" s="3" t="s">
        <v>348</v>
      </c>
      <c r="M482" s="3" t="s">
        <v>38</v>
      </c>
      <c r="N482" s="3" t="s">
        <v>164</v>
      </c>
      <c r="O482" s="3" t="s">
        <v>2340</v>
      </c>
      <c r="P482" s="3" t="s">
        <v>280</v>
      </c>
      <c r="Q482" s="3">
        <v>5</v>
      </c>
      <c r="R482" s="3">
        <v>905.16</v>
      </c>
      <c r="S482" s="3">
        <v>0</v>
      </c>
      <c r="T482" s="3">
        <v>4525.8</v>
      </c>
      <c r="U482" s="3">
        <v>2714.51</v>
      </c>
      <c r="V482" s="3">
        <v>1811.29</v>
      </c>
      <c r="W482" s="3" t="s">
        <v>42</v>
      </c>
      <c r="X482" s="3" t="s">
        <v>43</v>
      </c>
      <c r="Y482" s="2" t="str">
        <f t="shared" si="37"/>
        <v>Unique</v>
      </c>
      <c r="AA482" s="2" t="str">
        <f t="shared" si="38"/>
        <v>Clean</v>
      </c>
      <c r="AB482" s="2" t="str">
        <f t="shared" si="39"/>
        <v>valid</v>
      </c>
      <c r="AC482">
        <f t="shared" si="61"/>
        <v>0</v>
      </c>
      <c r="AD482">
        <f t="shared" si="62"/>
        <v>4525.8</v>
      </c>
      <c r="AE482">
        <f t="shared" si="63"/>
        <v>1811.29</v>
      </c>
      <c r="AF482">
        <f t="shared" si="64"/>
        <v>0.40021432674886204</v>
      </c>
      <c r="AG482" t="str">
        <f t="shared" si="65"/>
        <v>January</v>
      </c>
      <c r="AH482">
        <f t="shared" si="66"/>
        <v>2025</v>
      </c>
      <c r="AI482" t="str">
        <f t="shared" si="67"/>
        <v>Clean</v>
      </c>
    </row>
    <row r="483" spans="1:35" ht="15.75" customHeight="1">
      <c r="A483" s="3" t="s">
        <v>2341</v>
      </c>
      <c r="B483" s="3" t="s">
        <v>2342</v>
      </c>
      <c r="C483" s="3" t="s">
        <v>2343</v>
      </c>
      <c r="D483" s="3" t="str">
        <f t="shared" si="34"/>
        <v>13-Jun-2025</v>
      </c>
      <c r="E483" s="3" t="str">
        <f t="shared" si="35"/>
        <v>05-Jun-2025</v>
      </c>
      <c r="F483" s="3">
        <f t="shared" si="36"/>
        <v>8</v>
      </c>
      <c r="G483" s="3" t="s">
        <v>2344</v>
      </c>
      <c r="H483" s="3" t="s">
        <v>61</v>
      </c>
      <c r="I483" s="3" t="s">
        <v>34</v>
      </c>
      <c r="J483" s="3" t="s">
        <v>35</v>
      </c>
      <c r="K483" s="3" t="s">
        <v>182</v>
      </c>
      <c r="L483" s="3" t="s">
        <v>183</v>
      </c>
      <c r="M483" s="3" t="s">
        <v>94</v>
      </c>
      <c r="N483" s="3" t="s">
        <v>391</v>
      </c>
      <c r="O483" s="3" t="s">
        <v>2345</v>
      </c>
      <c r="P483" s="3" t="s">
        <v>56</v>
      </c>
      <c r="Q483" s="3">
        <v>4</v>
      </c>
      <c r="R483" s="3">
        <v>2793.88</v>
      </c>
      <c r="S483" s="3" t="s">
        <v>1172</v>
      </c>
      <c r="T483" s="3">
        <v>10616.74</v>
      </c>
      <c r="U483" s="3">
        <v>6353.59</v>
      </c>
      <c r="V483" s="3">
        <v>4263.1499999999996</v>
      </c>
      <c r="W483" s="3" t="s">
        <v>42</v>
      </c>
      <c r="X483" s="3" t="s">
        <v>43</v>
      </c>
      <c r="Y483" s="2" t="str">
        <f t="shared" si="37"/>
        <v>Unique</v>
      </c>
      <c r="AA483" s="2" t="str">
        <f t="shared" si="38"/>
        <v>Invalid</v>
      </c>
      <c r="AB483" s="2" t="str">
        <f t="shared" si="39"/>
        <v>valid</v>
      </c>
      <c r="AC483">
        <f t="shared" si="61"/>
        <v>8.5000000000000006E-3</v>
      </c>
      <c r="AD483">
        <f t="shared" si="62"/>
        <v>11080.528080000002</v>
      </c>
      <c r="AE483">
        <f t="shared" si="63"/>
        <v>4726.9380800000017</v>
      </c>
      <c r="AF483">
        <f t="shared" si="64"/>
        <v>0.42659862832097084</v>
      </c>
      <c r="AG483" t="str">
        <f t="shared" si="65"/>
        <v>June</v>
      </c>
      <c r="AH483">
        <f t="shared" si="66"/>
        <v>2025</v>
      </c>
      <c r="AI483" t="str">
        <f t="shared" si="67"/>
        <v>Clean</v>
      </c>
    </row>
    <row r="484" spans="1:35" ht="15.75" customHeight="1">
      <c r="A484" s="3" t="s">
        <v>2346</v>
      </c>
      <c r="B484" s="3" t="s">
        <v>271</v>
      </c>
      <c r="C484" s="3" t="s">
        <v>271</v>
      </c>
      <c r="D484" s="3" t="str">
        <f t="shared" si="34"/>
        <v>22-Jul-2024</v>
      </c>
      <c r="E484" s="3" t="str">
        <f t="shared" si="35"/>
        <v>22-Jul-2024</v>
      </c>
      <c r="F484" s="3">
        <f t="shared" si="36"/>
        <v>0</v>
      </c>
      <c r="G484" s="3" t="s">
        <v>2347</v>
      </c>
      <c r="H484" s="3" t="s">
        <v>150</v>
      </c>
      <c r="I484" s="3" t="s">
        <v>34</v>
      </c>
      <c r="J484" s="3" t="s">
        <v>70</v>
      </c>
      <c r="K484" s="3" t="s">
        <v>237</v>
      </c>
      <c r="L484" s="3" t="s">
        <v>238</v>
      </c>
      <c r="M484" s="3" t="s">
        <v>94</v>
      </c>
      <c r="N484" s="3" t="s">
        <v>95</v>
      </c>
      <c r="O484" s="3" t="s">
        <v>2348</v>
      </c>
      <c r="P484" s="3" t="s">
        <v>41</v>
      </c>
      <c r="Q484" s="3">
        <v>3</v>
      </c>
      <c r="R484" s="3">
        <v>1286.22</v>
      </c>
      <c r="S484" s="3">
        <v>0.25</v>
      </c>
      <c r="T484" s="3">
        <v>2893.99</v>
      </c>
      <c r="U484" s="3">
        <v>1856.03</v>
      </c>
      <c r="V484" s="3">
        <v>1037.96</v>
      </c>
      <c r="W484" s="3" t="s">
        <v>42</v>
      </c>
      <c r="X484" s="3" t="s">
        <v>43</v>
      </c>
      <c r="Y484" s="2" t="str">
        <f t="shared" si="37"/>
        <v>Unique</v>
      </c>
      <c r="AA484" s="2" t="str">
        <f t="shared" si="38"/>
        <v>Clean</v>
      </c>
      <c r="AB484" s="2" t="str">
        <f t="shared" si="39"/>
        <v>valid</v>
      </c>
      <c r="AC484">
        <f t="shared" si="61"/>
        <v>0.25</v>
      </c>
      <c r="AD484">
        <f t="shared" si="62"/>
        <v>2893.9949999999999</v>
      </c>
      <c r="AE484">
        <f t="shared" si="63"/>
        <v>1037.9649999999999</v>
      </c>
      <c r="AF484">
        <f t="shared" si="64"/>
        <v>0.35866164247001114</v>
      </c>
      <c r="AG484" t="str">
        <f t="shared" si="65"/>
        <v>July</v>
      </c>
      <c r="AH484">
        <f t="shared" si="66"/>
        <v>2024</v>
      </c>
      <c r="AI484" t="str">
        <f t="shared" si="67"/>
        <v>Clean</v>
      </c>
    </row>
    <row r="485" spans="1:35" ht="15.75" customHeight="1">
      <c r="A485" s="3" t="s">
        <v>2349</v>
      </c>
      <c r="B485" s="3" t="s">
        <v>1404</v>
      </c>
      <c r="C485" s="3" t="s">
        <v>2350</v>
      </c>
      <c r="D485" s="3" t="str">
        <f t="shared" si="34"/>
        <v>25-Dec-2024</v>
      </c>
      <c r="E485" s="3" t="str">
        <f t="shared" si="35"/>
        <v>25-Dec-2024</v>
      </c>
      <c r="F485" s="3">
        <f t="shared" si="36"/>
        <v>0</v>
      </c>
      <c r="G485" s="3" t="s">
        <v>2351</v>
      </c>
      <c r="H485" s="3" t="s">
        <v>48</v>
      </c>
      <c r="I485" s="3" t="s">
        <v>116</v>
      </c>
      <c r="J485" s="3" t="s">
        <v>50</v>
      </c>
      <c r="K485" s="3" t="s">
        <v>194</v>
      </c>
      <c r="L485" s="3" t="s">
        <v>195</v>
      </c>
      <c r="M485" s="3" t="s">
        <v>94</v>
      </c>
      <c r="N485" s="3" t="s">
        <v>102</v>
      </c>
      <c r="O485" s="3" t="s">
        <v>2352</v>
      </c>
      <c r="P485" s="3" t="s">
        <v>75</v>
      </c>
      <c r="Q485" s="3">
        <v>1</v>
      </c>
      <c r="R485" s="3">
        <v>829.66</v>
      </c>
      <c r="S485" s="3">
        <v>0.15</v>
      </c>
      <c r="T485" s="3">
        <v>705.21</v>
      </c>
      <c r="U485" s="3">
        <v>438.32</v>
      </c>
      <c r="V485" s="3">
        <v>266.89</v>
      </c>
      <c r="W485" s="3" t="s">
        <v>42</v>
      </c>
      <c r="X485" s="3" t="s">
        <v>43</v>
      </c>
      <c r="Y485" s="2" t="str">
        <f t="shared" si="37"/>
        <v>Unique</v>
      </c>
      <c r="AA485" s="2" t="str">
        <f t="shared" si="38"/>
        <v>Clean</v>
      </c>
      <c r="AB485" s="2" t="str">
        <f t="shared" si="39"/>
        <v>valid</v>
      </c>
      <c r="AC485">
        <f t="shared" si="61"/>
        <v>0.15</v>
      </c>
      <c r="AD485">
        <f t="shared" si="62"/>
        <v>705.2109999999999</v>
      </c>
      <c r="AE485">
        <f t="shared" si="63"/>
        <v>266.89099999999991</v>
      </c>
      <c r="AF485">
        <f t="shared" si="64"/>
        <v>0.37845552607659261</v>
      </c>
      <c r="AG485" t="str">
        <f t="shared" si="65"/>
        <v>December</v>
      </c>
      <c r="AH485">
        <f t="shared" si="66"/>
        <v>2024</v>
      </c>
      <c r="AI485" t="str">
        <f t="shared" si="67"/>
        <v>Clean</v>
      </c>
    </row>
    <row r="486" spans="1:35" ht="15.75" customHeight="1">
      <c r="A486" s="3" t="s">
        <v>2353</v>
      </c>
      <c r="B486" s="3" t="s">
        <v>2354</v>
      </c>
      <c r="C486" s="3" t="s">
        <v>2355</v>
      </c>
      <c r="D486" s="3" t="str">
        <f t="shared" si="34"/>
        <v>31-Dec-2024</v>
      </c>
      <c r="E486" s="3" t="str">
        <f t="shared" si="35"/>
        <v>28-Dec-2024</v>
      </c>
      <c r="F486" s="3">
        <f t="shared" si="36"/>
        <v>3</v>
      </c>
      <c r="G486" s="3" t="s">
        <v>2356</v>
      </c>
      <c r="H486" s="3" t="s">
        <v>48</v>
      </c>
      <c r="I486" s="3" t="s">
        <v>49</v>
      </c>
      <c r="J486" s="3" t="s">
        <v>70</v>
      </c>
      <c r="K486" s="3" t="s">
        <v>108</v>
      </c>
      <c r="L486" s="3" t="s">
        <v>109</v>
      </c>
      <c r="M486" s="3" t="s">
        <v>53</v>
      </c>
      <c r="N486" s="3" t="s">
        <v>73</v>
      </c>
      <c r="O486" s="3" t="s">
        <v>2357</v>
      </c>
      <c r="P486" s="3" t="s">
        <v>64</v>
      </c>
      <c r="Q486" s="3">
        <v>6</v>
      </c>
      <c r="R486" s="3">
        <v>3641.22</v>
      </c>
      <c r="S486" s="3">
        <v>0.25</v>
      </c>
      <c r="T486" s="3">
        <v>16385.490000000002</v>
      </c>
      <c r="U486" s="3">
        <v>13679.24</v>
      </c>
      <c r="V486" s="3">
        <v>2706.25</v>
      </c>
      <c r="W486" s="3" t="s">
        <v>42</v>
      </c>
      <c r="X486" s="3" t="s">
        <v>43</v>
      </c>
      <c r="Y486" s="2" t="str">
        <f t="shared" si="37"/>
        <v>Unique</v>
      </c>
      <c r="AA486" s="2" t="str">
        <f t="shared" si="38"/>
        <v>Clean</v>
      </c>
      <c r="AB486" s="2" t="str">
        <f t="shared" si="39"/>
        <v>valid</v>
      </c>
      <c r="AC486">
        <f t="shared" si="61"/>
        <v>0.25</v>
      </c>
      <c r="AD486">
        <f t="shared" si="62"/>
        <v>16385.489999999998</v>
      </c>
      <c r="AE486">
        <f t="shared" si="63"/>
        <v>2706.2499999999982</v>
      </c>
      <c r="AF486">
        <f t="shared" si="64"/>
        <v>0.16516137143289572</v>
      </c>
      <c r="AG486" t="str">
        <f t="shared" si="65"/>
        <v>December</v>
      </c>
      <c r="AH486">
        <f t="shared" si="66"/>
        <v>2024</v>
      </c>
      <c r="AI486" t="str">
        <f t="shared" si="67"/>
        <v>Clean</v>
      </c>
    </row>
    <row r="487" spans="1:35" ht="15.75" customHeight="1">
      <c r="A487" s="3" t="s">
        <v>2358</v>
      </c>
      <c r="B487" s="3" t="s">
        <v>1834</v>
      </c>
      <c r="C487" s="3" t="s">
        <v>192</v>
      </c>
      <c r="D487" s="3" t="str">
        <f t="shared" si="34"/>
        <v>23-Jan-2025</v>
      </c>
      <c r="E487" s="3" t="str">
        <f t="shared" si="35"/>
        <v>22-Jan-2025</v>
      </c>
      <c r="F487" s="3">
        <f t="shared" si="36"/>
        <v>1</v>
      </c>
      <c r="G487" s="3" t="s">
        <v>2359</v>
      </c>
      <c r="H487" s="3" t="s">
        <v>156</v>
      </c>
      <c r="I487" s="3" t="s">
        <v>116</v>
      </c>
      <c r="J487" s="3" t="s">
        <v>81</v>
      </c>
      <c r="K487" s="3" t="s">
        <v>257</v>
      </c>
      <c r="L487" s="3" t="s">
        <v>258</v>
      </c>
      <c r="M487" s="3" t="s">
        <v>53</v>
      </c>
      <c r="N487" s="3" t="s">
        <v>212</v>
      </c>
      <c r="O487" s="3" t="s">
        <v>2360</v>
      </c>
      <c r="P487" s="3" t="s">
        <v>75</v>
      </c>
      <c r="Q487" s="3">
        <v>4</v>
      </c>
      <c r="R487" s="3">
        <v>2555.19</v>
      </c>
      <c r="S487" s="3">
        <v>0.25</v>
      </c>
      <c r="T487" s="3">
        <v>7665.57</v>
      </c>
      <c r="U487" s="3">
        <v>5595.6</v>
      </c>
      <c r="V487" s="3">
        <v>2069.9699999999998</v>
      </c>
      <c r="W487" s="3" t="s">
        <v>42</v>
      </c>
      <c r="X487" s="3" t="s">
        <v>43</v>
      </c>
      <c r="Y487" s="2" t="str">
        <f t="shared" si="37"/>
        <v>Unique</v>
      </c>
      <c r="AA487" s="2" t="str">
        <f t="shared" si="38"/>
        <v>Clean</v>
      </c>
      <c r="AB487" s="2" t="str">
        <f t="shared" si="39"/>
        <v>valid</v>
      </c>
      <c r="AC487">
        <f t="shared" si="61"/>
        <v>0.25</v>
      </c>
      <c r="AD487">
        <f t="shared" si="62"/>
        <v>7665.57</v>
      </c>
      <c r="AE487">
        <f t="shared" si="63"/>
        <v>2069.9699999999993</v>
      </c>
      <c r="AF487">
        <f t="shared" si="64"/>
        <v>0.27003471366121495</v>
      </c>
      <c r="AG487" t="str">
        <f t="shared" si="65"/>
        <v>January</v>
      </c>
      <c r="AH487">
        <f t="shared" si="66"/>
        <v>2025</v>
      </c>
      <c r="AI487" t="str">
        <f t="shared" si="67"/>
        <v>Clean</v>
      </c>
    </row>
    <row r="488" spans="1:35" ht="15.75" customHeight="1">
      <c r="A488" s="3" t="s">
        <v>2361</v>
      </c>
      <c r="B488" s="3" t="s">
        <v>2362</v>
      </c>
      <c r="C488" s="3" t="s">
        <v>2363</v>
      </c>
      <c r="D488" s="3" t="str">
        <f t="shared" si="34"/>
        <v>26-Jun-2025</v>
      </c>
      <c r="E488" s="3" t="str">
        <f t="shared" si="35"/>
        <v>22-Jun-2025</v>
      </c>
      <c r="F488" s="3">
        <f t="shared" si="36"/>
        <v>4</v>
      </c>
      <c r="G488" s="3" t="s">
        <v>2364</v>
      </c>
      <c r="H488" s="3" t="s">
        <v>156</v>
      </c>
      <c r="I488" s="3" t="s">
        <v>116</v>
      </c>
      <c r="J488" s="3" t="s">
        <v>81</v>
      </c>
      <c r="K488" s="3" t="s">
        <v>257</v>
      </c>
      <c r="L488" s="3" t="s">
        <v>258</v>
      </c>
      <c r="M488" s="3" t="s">
        <v>53</v>
      </c>
      <c r="N488" s="3" t="s">
        <v>54</v>
      </c>
      <c r="O488" s="3" t="s">
        <v>2365</v>
      </c>
      <c r="P488" s="3" t="s">
        <v>75</v>
      </c>
      <c r="Q488" s="3">
        <v>3</v>
      </c>
      <c r="R488" s="3">
        <v>1946.18</v>
      </c>
      <c r="S488" s="3">
        <v>0.2</v>
      </c>
      <c r="T488" s="3">
        <v>4670.83</v>
      </c>
      <c r="U488" s="3">
        <v>3166.49</v>
      </c>
      <c r="V488" s="3">
        <v>1504.34</v>
      </c>
      <c r="W488" s="3" t="s">
        <v>42</v>
      </c>
      <c r="X488" s="3" t="s">
        <v>43</v>
      </c>
      <c r="Y488" s="2" t="str">
        <f t="shared" si="37"/>
        <v>Unique</v>
      </c>
      <c r="AA488" s="2" t="str">
        <f t="shared" si="38"/>
        <v>Clean</v>
      </c>
      <c r="AB488" s="2" t="str">
        <f t="shared" si="39"/>
        <v>valid</v>
      </c>
      <c r="AC488">
        <f t="shared" si="61"/>
        <v>0.2</v>
      </c>
      <c r="AD488">
        <f t="shared" si="62"/>
        <v>4670.8320000000003</v>
      </c>
      <c r="AE488">
        <f t="shared" si="63"/>
        <v>1504.3420000000006</v>
      </c>
      <c r="AF488">
        <f t="shared" si="64"/>
        <v>0.3220715281560117</v>
      </c>
      <c r="AG488" t="str">
        <f t="shared" si="65"/>
        <v>June</v>
      </c>
      <c r="AH488">
        <f t="shared" si="66"/>
        <v>2025</v>
      </c>
      <c r="AI488" t="str">
        <f t="shared" si="67"/>
        <v>Clean</v>
      </c>
    </row>
    <row r="489" spans="1:35" ht="15.75" customHeight="1">
      <c r="A489" s="3" t="s">
        <v>2366</v>
      </c>
      <c r="B489" s="3" t="s">
        <v>1962</v>
      </c>
      <c r="C489" s="3" t="s">
        <v>2367</v>
      </c>
      <c r="D489" s="3" t="str">
        <f t="shared" si="34"/>
        <v>17-Jun-2025</v>
      </c>
      <c r="E489" s="3" t="str">
        <f t="shared" si="35"/>
        <v>10-Jun-2025</v>
      </c>
      <c r="F489" s="3">
        <f t="shared" si="36"/>
        <v>7</v>
      </c>
      <c r="G489" s="3" t="s">
        <v>2368</v>
      </c>
      <c r="H489" s="3" t="s">
        <v>156</v>
      </c>
      <c r="I489" s="3" t="s">
        <v>116</v>
      </c>
      <c r="J489" s="3" t="s">
        <v>70</v>
      </c>
      <c r="K489" s="3" t="s">
        <v>71</v>
      </c>
      <c r="L489" s="3" t="s">
        <v>72</v>
      </c>
      <c r="M489" s="3" t="s">
        <v>53</v>
      </c>
      <c r="N489" s="3" t="s">
        <v>73</v>
      </c>
      <c r="O489" s="3" t="s">
        <v>2369</v>
      </c>
      <c r="P489" s="3" t="s">
        <v>75</v>
      </c>
      <c r="Q489" s="3">
        <v>5</v>
      </c>
      <c r="R489" s="3">
        <v>1231.0999999999999</v>
      </c>
      <c r="S489" s="3">
        <v>0</v>
      </c>
      <c r="T489" s="3">
        <v>6155.5</v>
      </c>
      <c r="U489" s="3">
        <v>4282.09</v>
      </c>
      <c r="V489" s="3">
        <v>1873.41</v>
      </c>
      <c r="W489" s="3" t="s">
        <v>132</v>
      </c>
      <c r="X489" s="3" t="s">
        <v>133</v>
      </c>
      <c r="Y489" s="2" t="str">
        <f t="shared" si="37"/>
        <v>Unique</v>
      </c>
      <c r="AA489" s="2" t="str">
        <f t="shared" si="38"/>
        <v>Clean</v>
      </c>
      <c r="AB489" s="2" t="str">
        <f t="shared" si="39"/>
        <v>valid</v>
      </c>
      <c r="AC489">
        <f t="shared" si="61"/>
        <v>0</v>
      </c>
      <c r="AD489">
        <f t="shared" si="62"/>
        <v>6155.5</v>
      </c>
      <c r="AE489">
        <f t="shared" si="63"/>
        <v>1873.4099999999999</v>
      </c>
      <c r="AF489">
        <f t="shared" si="64"/>
        <v>0.3043473316546178</v>
      </c>
      <c r="AG489" t="str">
        <f t="shared" si="65"/>
        <v>June</v>
      </c>
      <c r="AH489">
        <f t="shared" si="66"/>
        <v>2025</v>
      </c>
      <c r="AI489" t="str">
        <f t="shared" si="67"/>
        <v>Clean</v>
      </c>
    </row>
    <row r="490" spans="1:35" ht="15.75" customHeight="1">
      <c r="A490" s="3" t="s">
        <v>2370</v>
      </c>
      <c r="B490" s="3" t="s">
        <v>2371</v>
      </c>
      <c r="C490" s="3" t="s">
        <v>2372</v>
      </c>
      <c r="D490" s="3" t="str">
        <f t="shared" si="34"/>
        <v>20-Oct-2024</v>
      </c>
      <c r="E490" s="3" t="str">
        <f t="shared" si="35"/>
        <v>14-Oct-2024</v>
      </c>
      <c r="F490" s="3">
        <f t="shared" si="36"/>
        <v>6</v>
      </c>
      <c r="G490" s="3" t="s">
        <v>2373</v>
      </c>
      <c r="H490" s="3" t="s">
        <v>115</v>
      </c>
      <c r="I490" s="3" t="s">
        <v>49</v>
      </c>
      <c r="J490" s="3" t="s">
        <v>35</v>
      </c>
      <c r="K490" s="3" t="s">
        <v>36</v>
      </c>
      <c r="L490" s="3" t="s">
        <v>37</v>
      </c>
      <c r="M490" s="3" t="s">
        <v>53</v>
      </c>
      <c r="N490" s="3" t="s">
        <v>54</v>
      </c>
      <c r="O490" s="3" t="s">
        <v>2374</v>
      </c>
      <c r="P490" s="3" t="s">
        <v>56</v>
      </c>
      <c r="Q490" s="3">
        <v>7</v>
      </c>
      <c r="R490" s="3">
        <v>1547.6</v>
      </c>
      <c r="S490" s="3">
        <v>0.2</v>
      </c>
      <c r="T490" s="3">
        <v>8666.56</v>
      </c>
      <c r="U490" s="3">
        <v>5967.44</v>
      </c>
      <c r="V490" s="3">
        <v>2699.12</v>
      </c>
      <c r="W490" s="3" t="s">
        <v>42</v>
      </c>
      <c r="X490" s="3" t="s">
        <v>43</v>
      </c>
      <c r="Y490" s="2" t="str">
        <f t="shared" si="37"/>
        <v>Unique</v>
      </c>
      <c r="AA490" s="2" t="str">
        <f t="shared" si="38"/>
        <v>Clean</v>
      </c>
      <c r="AB490" s="2" t="str">
        <f t="shared" si="39"/>
        <v>valid</v>
      </c>
      <c r="AC490">
        <f t="shared" si="61"/>
        <v>0.2</v>
      </c>
      <c r="AD490">
        <f t="shared" si="62"/>
        <v>8666.56</v>
      </c>
      <c r="AE490">
        <f t="shared" si="63"/>
        <v>2699.12</v>
      </c>
      <c r="AF490">
        <f t="shared" si="64"/>
        <v>0.31144075619392242</v>
      </c>
      <c r="AG490" t="str">
        <f t="shared" si="65"/>
        <v>October</v>
      </c>
      <c r="AH490">
        <f t="shared" si="66"/>
        <v>2024</v>
      </c>
      <c r="AI490" t="str">
        <f t="shared" si="67"/>
        <v>Clean</v>
      </c>
    </row>
    <row r="491" spans="1:35" ht="15.75" customHeight="1">
      <c r="A491" s="3" t="s">
        <v>2375</v>
      </c>
      <c r="B491" s="3" t="s">
        <v>399</v>
      </c>
      <c r="C491" s="3" t="s">
        <v>2376</v>
      </c>
      <c r="D491" s="3" t="str">
        <f t="shared" si="34"/>
        <v>12-Feb-2024</v>
      </c>
      <c r="E491" s="3" t="str">
        <f t="shared" si="35"/>
        <v>07-Feb-2024</v>
      </c>
      <c r="F491" s="3">
        <f t="shared" si="36"/>
        <v>5</v>
      </c>
      <c r="G491" s="3" t="s">
        <v>2377</v>
      </c>
      <c r="H491" s="3" t="s">
        <v>69</v>
      </c>
      <c r="I491" s="3" t="s">
        <v>123</v>
      </c>
      <c r="J491" s="3" t="s">
        <v>50</v>
      </c>
      <c r="K491" s="3" t="s">
        <v>129</v>
      </c>
      <c r="L491" s="3" t="s">
        <v>130</v>
      </c>
      <c r="M491" s="3" t="s">
        <v>94</v>
      </c>
      <c r="N491" s="3" t="s">
        <v>95</v>
      </c>
      <c r="O491" s="3" t="s">
        <v>2378</v>
      </c>
      <c r="P491" s="3" t="s">
        <v>41</v>
      </c>
      <c r="Q491" s="3">
        <v>1</v>
      </c>
      <c r="R491" s="3">
        <v>452.19</v>
      </c>
      <c r="S491" s="3">
        <v>0.2</v>
      </c>
      <c r="T491" s="3">
        <v>361.75</v>
      </c>
      <c r="U491" s="3">
        <v>262.52999999999997</v>
      </c>
      <c r="V491" s="3">
        <v>99.22</v>
      </c>
      <c r="W491" s="3" t="s">
        <v>42</v>
      </c>
      <c r="X491" s="3" t="s">
        <v>43</v>
      </c>
      <c r="Y491" s="2" t="str">
        <f t="shared" si="37"/>
        <v>Unique</v>
      </c>
      <c r="AA491" s="2" t="str">
        <f t="shared" si="38"/>
        <v>Clean</v>
      </c>
      <c r="AB491" s="2" t="str">
        <f t="shared" si="39"/>
        <v>valid</v>
      </c>
      <c r="AC491">
        <f t="shared" si="61"/>
        <v>0.2</v>
      </c>
      <c r="AD491">
        <f t="shared" si="62"/>
        <v>361.75200000000001</v>
      </c>
      <c r="AE491">
        <f t="shared" si="63"/>
        <v>99.222000000000037</v>
      </c>
      <c r="AF491">
        <f t="shared" si="64"/>
        <v>0.27428182843495003</v>
      </c>
      <c r="AG491" t="str">
        <f t="shared" si="65"/>
        <v>February</v>
      </c>
      <c r="AH491">
        <f t="shared" si="66"/>
        <v>2024</v>
      </c>
      <c r="AI491" t="str">
        <f t="shared" si="67"/>
        <v>Clean</v>
      </c>
    </row>
    <row r="492" spans="1:35" ht="15.75" customHeight="1">
      <c r="A492" s="3" t="s">
        <v>2379</v>
      </c>
      <c r="B492" s="3" t="s">
        <v>2380</v>
      </c>
      <c r="C492" s="3" t="s">
        <v>1885</v>
      </c>
      <c r="D492" s="3" t="str">
        <f t="shared" si="34"/>
        <v>19-Sep-2024</v>
      </c>
      <c r="E492" s="3" t="str">
        <f t="shared" si="35"/>
        <v>16-Sep-2024</v>
      </c>
      <c r="F492" s="3">
        <f t="shared" si="36"/>
        <v>3</v>
      </c>
      <c r="G492" s="3" t="s">
        <v>2381</v>
      </c>
      <c r="H492" s="3" t="s">
        <v>115</v>
      </c>
      <c r="I492" s="3" t="s">
        <v>34</v>
      </c>
      <c r="J492" s="3" t="s">
        <v>81</v>
      </c>
      <c r="K492" s="3" t="s">
        <v>36</v>
      </c>
      <c r="L492" s="3" t="s">
        <v>143</v>
      </c>
      <c r="M492" s="3" t="s">
        <v>38</v>
      </c>
      <c r="N492" s="3" t="s">
        <v>206</v>
      </c>
      <c r="O492" s="3" t="s">
        <v>2382</v>
      </c>
      <c r="P492" s="3" t="s">
        <v>64</v>
      </c>
      <c r="Q492" s="3">
        <v>7</v>
      </c>
      <c r="R492" s="3">
        <v>406.42</v>
      </c>
      <c r="S492" s="3">
        <v>0.15</v>
      </c>
      <c r="T492" s="3">
        <v>2418.1999999999998</v>
      </c>
      <c r="U492" s="3">
        <v>1613.82</v>
      </c>
      <c r="V492" s="3">
        <v>804.38</v>
      </c>
      <c r="W492" s="3" t="s">
        <v>42</v>
      </c>
      <c r="X492" s="3" t="s">
        <v>43</v>
      </c>
      <c r="Y492" s="2" t="str">
        <f t="shared" si="37"/>
        <v>Unique</v>
      </c>
      <c r="AA492" s="2" t="str">
        <f t="shared" si="38"/>
        <v>Clean</v>
      </c>
      <c r="AB492" s="2" t="str">
        <f t="shared" si="39"/>
        <v>valid</v>
      </c>
      <c r="AC492">
        <f t="shared" si="61"/>
        <v>0.15</v>
      </c>
      <c r="AD492">
        <f t="shared" si="62"/>
        <v>2418.1990000000001</v>
      </c>
      <c r="AE492">
        <f t="shared" si="63"/>
        <v>804.37900000000013</v>
      </c>
      <c r="AF492">
        <f t="shared" si="64"/>
        <v>0.33263556886757462</v>
      </c>
      <c r="AG492" t="str">
        <f t="shared" si="65"/>
        <v>September</v>
      </c>
      <c r="AH492">
        <f t="shared" si="66"/>
        <v>2024</v>
      </c>
      <c r="AI492" t="str">
        <f t="shared" si="67"/>
        <v>Clean</v>
      </c>
    </row>
    <row r="493" spans="1:35" ht="15.75" customHeight="1">
      <c r="A493" s="3" t="s">
        <v>2383</v>
      </c>
      <c r="B493" s="3" t="s">
        <v>1972</v>
      </c>
      <c r="C493" s="3" t="s">
        <v>2384</v>
      </c>
      <c r="D493" s="3" t="str">
        <f t="shared" si="34"/>
        <v>30-Apr-2025</v>
      </c>
      <c r="E493" s="3" t="str">
        <f t="shared" si="35"/>
        <v>29-Apr-2025</v>
      </c>
      <c r="F493" s="3">
        <f t="shared" si="36"/>
        <v>1</v>
      </c>
      <c r="G493" s="3" t="s">
        <v>2385</v>
      </c>
      <c r="H493" s="3" t="s">
        <v>48</v>
      </c>
      <c r="I493" s="3" t="s">
        <v>116</v>
      </c>
      <c r="J493" s="3" t="s">
        <v>70</v>
      </c>
      <c r="K493" s="3" t="s">
        <v>250</v>
      </c>
      <c r="L493" s="3" t="s">
        <v>251</v>
      </c>
      <c r="M493" s="3" t="s">
        <v>94</v>
      </c>
      <c r="N493" s="3" t="s">
        <v>95</v>
      </c>
      <c r="O493" s="3" t="s">
        <v>2386</v>
      </c>
      <c r="P493" s="3" t="s">
        <v>75</v>
      </c>
      <c r="Q493" s="3">
        <v>4</v>
      </c>
      <c r="R493" s="3">
        <v>606.58000000000004</v>
      </c>
      <c r="S493" s="3">
        <v>0.2</v>
      </c>
      <c r="T493" s="3">
        <v>1941.06</v>
      </c>
      <c r="U493" s="3">
        <v>1207.42</v>
      </c>
      <c r="V493" s="3">
        <v>733.64</v>
      </c>
      <c r="W493" s="3" t="s">
        <v>42</v>
      </c>
      <c r="X493" s="3" t="s">
        <v>43</v>
      </c>
      <c r="Y493" s="2" t="str">
        <f t="shared" si="37"/>
        <v>Unique</v>
      </c>
      <c r="AA493" s="2" t="str">
        <f t="shared" si="38"/>
        <v>Clean</v>
      </c>
      <c r="AB493" s="2" t="str">
        <f t="shared" si="39"/>
        <v>valid</v>
      </c>
      <c r="AC493">
        <f t="shared" si="61"/>
        <v>0.2</v>
      </c>
      <c r="AD493">
        <f t="shared" si="62"/>
        <v>1941.0560000000003</v>
      </c>
      <c r="AE493">
        <f t="shared" si="63"/>
        <v>733.63600000000019</v>
      </c>
      <c r="AF493">
        <f t="shared" si="64"/>
        <v>0.37795715321969076</v>
      </c>
      <c r="AG493" t="str">
        <f t="shared" si="65"/>
        <v>April</v>
      </c>
      <c r="AH493">
        <f t="shared" si="66"/>
        <v>2025</v>
      </c>
      <c r="AI493" t="str">
        <f t="shared" si="67"/>
        <v>Clean</v>
      </c>
    </row>
    <row r="494" spans="1:35" ht="15.75" customHeight="1">
      <c r="A494" s="3" t="s">
        <v>2387</v>
      </c>
      <c r="B494" s="3" t="s">
        <v>2388</v>
      </c>
      <c r="C494" s="3" t="s">
        <v>2389</v>
      </c>
      <c r="D494" s="3" t="str">
        <f t="shared" si="34"/>
        <v>07-Feb-2025</v>
      </c>
      <c r="E494" s="3" t="str">
        <f t="shared" si="35"/>
        <v>28-Jun-2025</v>
      </c>
      <c r="F494" s="3">
        <f t="shared" si="36"/>
        <v>-141</v>
      </c>
      <c r="G494" s="3" t="s">
        <v>2390</v>
      </c>
      <c r="H494" s="3" t="s">
        <v>80</v>
      </c>
      <c r="I494" s="3" t="s">
        <v>116</v>
      </c>
      <c r="J494" s="3" t="s">
        <v>70</v>
      </c>
      <c r="K494" s="3" t="s">
        <v>108</v>
      </c>
      <c r="L494" s="3" t="s">
        <v>109</v>
      </c>
      <c r="M494" s="3" t="s">
        <v>38</v>
      </c>
      <c r="N494" s="3" t="s">
        <v>164</v>
      </c>
      <c r="O494" s="3" t="s">
        <v>2391</v>
      </c>
      <c r="P494" s="3" t="s">
        <v>41</v>
      </c>
      <c r="Q494" s="3">
        <v>2</v>
      </c>
      <c r="R494" s="3">
        <v>2725.44</v>
      </c>
      <c r="S494" s="3">
        <v>0.25</v>
      </c>
      <c r="T494" s="3">
        <v>4088.16</v>
      </c>
      <c r="U494" s="3">
        <v>3205.68</v>
      </c>
      <c r="V494" s="3">
        <v>882.48</v>
      </c>
      <c r="W494" s="3" t="s">
        <v>42</v>
      </c>
      <c r="X494" s="3" t="s">
        <v>43</v>
      </c>
      <c r="Y494" s="2" t="str">
        <f t="shared" si="37"/>
        <v>Unique</v>
      </c>
      <c r="AA494" s="2" t="str">
        <f t="shared" si="38"/>
        <v>Clean</v>
      </c>
      <c r="AB494" s="2" t="str">
        <f t="shared" si="39"/>
        <v>Invalid</v>
      </c>
      <c r="AC494">
        <f t="shared" si="61"/>
        <v>0.25</v>
      </c>
      <c r="AD494">
        <f t="shared" si="62"/>
        <v>4088.16</v>
      </c>
      <c r="AE494">
        <f t="shared" si="63"/>
        <v>882.48</v>
      </c>
      <c r="AF494">
        <f t="shared" si="64"/>
        <v>0.21586239286133616</v>
      </c>
      <c r="AG494" t="str">
        <f t="shared" si="65"/>
        <v>June</v>
      </c>
      <c r="AH494">
        <f t="shared" si="66"/>
        <v>2025</v>
      </c>
      <c r="AI494" t="str">
        <f t="shared" si="67"/>
        <v>Clean</v>
      </c>
    </row>
    <row r="495" spans="1:35" ht="15.75" customHeight="1">
      <c r="A495" s="3" t="s">
        <v>2392</v>
      </c>
      <c r="B495" s="3" t="s">
        <v>1414</v>
      </c>
      <c r="C495" s="3" t="s">
        <v>2393</v>
      </c>
      <c r="D495" s="3" t="str">
        <f t="shared" si="34"/>
        <v>13-Feb-2025</v>
      </c>
      <c r="E495" s="3" t="str">
        <f t="shared" si="35"/>
        <v>13-Feb-2025</v>
      </c>
      <c r="F495" s="3">
        <f t="shared" si="36"/>
        <v>0</v>
      </c>
      <c r="G495" s="3" t="s">
        <v>2394</v>
      </c>
      <c r="H495" s="3" t="s">
        <v>375</v>
      </c>
      <c r="I495" s="3" t="s">
        <v>116</v>
      </c>
      <c r="J495" s="3" t="s">
        <v>50</v>
      </c>
      <c r="K495" s="3" t="s">
        <v>51</v>
      </c>
      <c r="L495" s="3" t="s">
        <v>52</v>
      </c>
      <c r="M495" s="3" t="s">
        <v>38</v>
      </c>
      <c r="N495" s="3" t="s">
        <v>39</v>
      </c>
      <c r="O495" s="3" t="s">
        <v>2395</v>
      </c>
      <c r="P495" s="3" t="s">
        <v>41</v>
      </c>
      <c r="Q495" s="3">
        <v>7</v>
      </c>
      <c r="R495" s="3">
        <v>2296.6999999999998</v>
      </c>
      <c r="S495" s="3">
        <v>0.05</v>
      </c>
      <c r="T495" s="3">
        <v>15273.05</v>
      </c>
      <c r="U495" s="3">
        <v>11088.76</v>
      </c>
      <c r="V495" s="3">
        <v>4184.29</v>
      </c>
      <c r="W495" s="3" t="s">
        <v>42</v>
      </c>
      <c r="X495" s="3" t="s">
        <v>43</v>
      </c>
      <c r="Y495" s="2" t="str">
        <f t="shared" si="37"/>
        <v>Unique</v>
      </c>
      <c r="AA495" s="2" t="str">
        <f t="shared" si="38"/>
        <v>Clean</v>
      </c>
      <c r="AB495" s="2" t="str">
        <f t="shared" si="39"/>
        <v>valid</v>
      </c>
      <c r="AC495">
        <f t="shared" si="61"/>
        <v>0.05</v>
      </c>
      <c r="AD495">
        <f t="shared" si="62"/>
        <v>15273.054999999997</v>
      </c>
      <c r="AE495">
        <f t="shared" si="63"/>
        <v>4184.2949999999964</v>
      </c>
      <c r="AF495">
        <f t="shared" si="64"/>
        <v>0.27396581757873573</v>
      </c>
      <c r="AG495" t="str">
        <f t="shared" si="65"/>
        <v>February</v>
      </c>
      <c r="AH495">
        <f t="shared" si="66"/>
        <v>2025</v>
      </c>
      <c r="AI495" t="str">
        <f t="shared" si="67"/>
        <v>Clean</v>
      </c>
    </row>
    <row r="496" spans="1:35" ht="15.75" customHeight="1">
      <c r="A496" s="3" t="s">
        <v>2396</v>
      </c>
      <c r="B496" s="3" t="s">
        <v>2397</v>
      </c>
      <c r="C496" s="3" t="s">
        <v>2398</v>
      </c>
      <c r="D496" s="3" t="str">
        <f t="shared" si="34"/>
        <v>22-Nov-2024</v>
      </c>
      <c r="E496" s="3" t="str">
        <f t="shared" si="35"/>
        <v>14-Nov-2024</v>
      </c>
      <c r="F496" s="3">
        <f t="shared" si="36"/>
        <v>8</v>
      </c>
      <c r="G496" s="3" t="s">
        <v>2399</v>
      </c>
      <c r="H496" s="3" t="s">
        <v>61</v>
      </c>
      <c r="I496" s="3" t="s">
        <v>34</v>
      </c>
      <c r="J496" s="3" t="s">
        <v>81</v>
      </c>
      <c r="K496" s="3" t="s">
        <v>92</v>
      </c>
      <c r="L496" s="3" t="s">
        <v>93</v>
      </c>
      <c r="M496" s="3" t="s">
        <v>94</v>
      </c>
      <c r="N496" s="3" t="s">
        <v>231</v>
      </c>
      <c r="O496" s="3" t="s">
        <v>2400</v>
      </c>
      <c r="P496" s="3" t="s">
        <v>75</v>
      </c>
      <c r="Q496" s="3">
        <v>3</v>
      </c>
      <c r="R496" s="3">
        <v>671.68</v>
      </c>
      <c r="S496" s="3">
        <v>-0.13</v>
      </c>
      <c r="T496" s="3">
        <v>1712.78</v>
      </c>
      <c r="U496" s="3">
        <v>1569.38</v>
      </c>
      <c r="V496" s="3">
        <v>360.66</v>
      </c>
      <c r="W496" s="3" t="s">
        <v>208</v>
      </c>
      <c r="X496" s="3" t="s">
        <v>86</v>
      </c>
      <c r="Y496" s="2" t="str">
        <f t="shared" si="37"/>
        <v>Unique</v>
      </c>
      <c r="AA496" s="2" t="str">
        <f t="shared" si="38"/>
        <v>Invalid</v>
      </c>
      <c r="AB496" s="2" t="str">
        <f t="shared" si="39"/>
        <v>valid</v>
      </c>
      <c r="AC496">
        <f t="shared" si="61"/>
        <v>-0.13</v>
      </c>
      <c r="AD496">
        <f t="shared" si="62"/>
        <v>2276.9951999999998</v>
      </c>
      <c r="AE496">
        <f t="shared" si="63"/>
        <v>707.61519999999973</v>
      </c>
      <c r="AF496">
        <f t="shared" si="64"/>
        <v>0.31076710218800629</v>
      </c>
      <c r="AG496" t="str">
        <f t="shared" si="65"/>
        <v>November</v>
      </c>
      <c r="AH496">
        <f t="shared" si="66"/>
        <v>2024</v>
      </c>
      <c r="AI496" t="str">
        <f t="shared" si="67"/>
        <v>Invalid</v>
      </c>
    </row>
    <row r="497" spans="1:35" ht="15.75" customHeight="1">
      <c r="A497" s="3" t="s">
        <v>2401</v>
      </c>
      <c r="B497" s="3" t="s">
        <v>2183</v>
      </c>
      <c r="C497" s="3" t="s">
        <v>2402</v>
      </c>
      <c r="D497" s="3" t="str">
        <f t="shared" si="34"/>
        <v>15-May-2024</v>
      </c>
      <c r="E497" s="3" t="str">
        <f t="shared" si="35"/>
        <v>05-Sep-2024</v>
      </c>
      <c r="F497" s="3">
        <f t="shared" si="36"/>
        <v>-113</v>
      </c>
      <c r="G497" s="3" t="s">
        <v>2403</v>
      </c>
      <c r="H497" s="3" t="s">
        <v>48</v>
      </c>
      <c r="I497" s="3" t="s">
        <v>49</v>
      </c>
      <c r="J497" s="3" t="s">
        <v>50</v>
      </c>
      <c r="K497" s="3" t="s">
        <v>224</v>
      </c>
      <c r="L497" s="3" t="s">
        <v>225</v>
      </c>
      <c r="M497" s="3" t="s">
        <v>94</v>
      </c>
      <c r="N497" s="3" t="s">
        <v>231</v>
      </c>
      <c r="O497" s="3" t="s">
        <v>2404</v>
      </c>
      <c r="P497" s="3" t="s">
        <v>41</v>
      </c>
      <c r="Q497" s="3">
        <v>4</v>
      </c>
      <c r="R497" s="3">
        <v>995.98</v>
      </c>
      <c r="S497" s="3">
        <v>0.05</v>
      </c>
      <c r="T497" s="3">
        <v>3784.72</v>
      </c>
      <c r="U497" s="3">
        <v>2419.2399999999998</v>
      </c>
      <c r="V497" s="3">
        <v>1365.48</v>
      </c>
      <c r="W497" s="3" t="s">
        <v>132</v>
      </c>
      <c r="X497" s="3" t="s">
        <v>133</v>
      </c>
      <c r="Y497" s="2" t="str">
        <f t="shared" si="37"/>
        <v>Unique</v>
      </c>
      <c r="AA497" s="2" t="str">
        <f t="shared" si="38"/>
        <v>Clean</v>
      </c>
      <c r="AB497" s="2" t="str">
        <f t="shared" si="39"/>
        <v>Invalid</v>
      </c>
      <c r="AC497">
        <f t="shared" si="61"/>
        <v>0.05</v>
      </c>
      <c r="AD497">
        <f t="shared" si="62"/>
        <v>3784.7239999999997</v>
      </c>
      <c r="AE497">
        <f t="shared" si="63"/>
        <v>1365.4839999999999</v>
      </c>
      <c r="AF497">
        <f t="shared" si="64"/>
        <v>0.36078826355633858</v>
      </c>
      <c r="AG497" t="str">
        <f t="shared" si="65"/>
        <v>September</v>
      </c>
      <c r="AH497">
        <f t="shared" si="66"/>
        <v>2024</v>
      </c>
      <c r="AI497" t="str">
        <f t="shared" si="67"/>
        <v>Clean</v>
      </c>
    </row>
    <row r="498" spans="1:35" ht="15.75" customHeight="1">
      <c r="A498" s="3" t="s">
        <v>2405</v>
      </c>
      <c r="B498" s="3" t="s">
        <v>2406</v>
      </c>
      <c r="C498" s="3" t="s">
        <v>2407</v>
      </c>
      <c r="D498" s="3" t="str">
        <f t="shared" si="34"/>
        <v>06-Jul-2025</v>
      </c>
      <c r="E498" s="3" t="str">
        <f t="shared" si="35"/>
        <v>04-Jul-2025</v>
      </c>
      <c r="F498" s="3">
        <f t="shared" si="36"/>
        <v>2</v>
      </c>
      <c r="G498" s="3" t="s">
        <v>2408</v>
      </c>
      <c r="H498" s="3" t="s">
        <v>375</v>
      </c>
      <c r="I498" s="3" t="s">
        <v>49</v>
      </c>
      <c r="J498" s="3" t="s">
        <v>50</v>
      </c>
      <c r="K498" s="3" t="s">
        <v>319</v>
      </c>
      <c r="L498" s="3" t="s">
        <v>320</v>
      </c>
      <c r="M498" s="3" t="s">
        <v>53</v>
      </c>
      <c r="N498" s="3" t="s">
        <v>84</v>
      </c>
      <c r="O498" s="3" t="s">
        <v>2409</v>
      </c>
      <c r="P498" s="3" t="s">
        <v>41</v>
      </c>
      <c r="Q498" s="3">
        <v>2</v>
      </c>
      <c r="R498" s="3">
        <v>3686.42</v>
      </c>
      <c r="S498" s="3">
        <v>0.1</v>
      </c>
      <c r="T498" s="3">
        <v>6635.56</v>
      </c>
      <c r="U498" s="3">
        <v>3652.91</v>
      </c>
      <c r="V498" s="3">
        <v>2982.65</v>
      </c>
      <c r="W498" s="3" t="s">
        <v>42</v>
      </c>
      <c r="X498" s="3" t="s">
        <v>43</v>
      </c>
      <c r="Y498" s="2" t="str">
        <f t="shared" si="37"/>
        <v>Unique</v>
      </c>
      <c r="AA498" s="2" t="str">
        <f t="shared" si="38"/>
        <v>Clean</v>
      </c>
      <c r="AB498" s="2" t="str">
        <f t="shared" si="39"/>
        <v>valid</v>
      </c>
      <c r="AC498">
        <f t="shared" si="61"/>
        <v>0.1</v>
      </c>
      <c r="AD498">
        <f t="shared" si="62"/>
        <v>6635.5560000000005</v>
      </c>
      <c r="AE498">
        <f t="shared" si="63"/>
        <v>2982.6460000000006</v>
      </c>
      <c r="AF498">
        <f t="shared" si="64"/>
        <v>0.44949451108543131</v>
      </c>
      <c r="AG498" t="str">
        <f t="shared" si="65"/>
        <v>July</v>
      </c>
      <c r="AH498">
        <f t="shared" si="66"/>
        <v>2025</v>
      </c>
      <c r="AI498" t="str">
        <f t="shared" si="67"/>
        <v>Clean</v>
      </c>
    </row>
    <row r="499" spans="1:35" ht="15.75" customHeight="1">
      <c r="A499" s="3" t="s">
        <v>2410</v>
      </c>
      <c r="B499" s="3" t="s">
        <v>2411</v>
      </c>
      <c r="C499" s="3" t="s">
        <v>2411</v>
      </c>
      <c r="D499" s="3" t="str">
        <f t="shared" si="34"/>
        <v>29-Aug-2024</v>
      </c>
      <c r="E499" s="3" t="str">
        <f t="shared" si="35"/>
        <v>29-Aug-2024</v>
      </c>
      <c r="F499" s="3">
        <f t="shared" si="36"/>
        <v>0</v>
      </c>
      <c r="G499" s="3" t="s">
        <v>2412</v>
      </c>
      <c r="H499" s="3" t="s">
        <v>176</v>
      </c>
      <c r="I499" s="3" t="s">
        <v>49</v>
      </c>
      <c r="J499" s="3" t="s">
        <v>35</v>
      </c>
      <c r="K499" s="3" t="s">
        <v>182</v>
      </c>
      <c r="L499" s="3" t="s">
        <v>183</v>
      </c>
      <c r="M499" s="3" t="s">
        <v>94</v>
      </c>
      <c r="N499" s="3" t="s">
        <v>95</v>
      </c>
      <c r="O499" s="3" t="s">
        <v>2413</v>
      </c>
      <c r="P499" s="3" t="s">
        <v>41</v>
      </c>
      <c r="Q499" s="3">
        <v>1</v>
      </c>
      <c r="R499" s="3">
        <v>3106.88</v>
      </c>
      <c r="S499" s="3">
        <v>0.2</v>
      </c>
      <c r="T499" s="3">
        <v>2485.5</v>
      </c>
      <c r="U499" s="3">
        <v>2028.43</v>
      </c>
      <c r="V499" s="3">
        <v>457.07</v>
      </c>
      <c r="W499" s="3" t="s">
        <v>42</v>
      </c>
      <c r="X499" s="3" t="s">
        <v>86</v>
      </c>
      <c r="Y499" s="2" t="str">
        <f t="shared" si="37"/>
        <v>Unique</v>
      </c>
      <c r="AA499" s="2" t="str">
        <f t="shared" si="38"/>
        <v>Clean</v>
      </c>
      <c r="AB499" s="2" t="str">
        <f t="shared" si="39"/>
        <v>valid</v>
      </c>
      <c r="AC499">
        <f t="shared" si="61"/>
        <v>0.2</v>
      </c>
      <c r="AD499">
        <f t="shared" si="62"/>
        <v>2485.5040000000004</v>
      </c>
      <c r="AE499">
        <f t="shared" si="63"/>
        <v>457.0740000000003</v>
      </c>
      <c r="AF499">
        <f t="shared" si="64"/>
        <v>0.18389590199814615</v>
      </c>
      <c r="AG499" t="str">
        <f t="shared" si="65"/>
        <v>August</v>
      </c>
      <c r="AH499">
        <f t="shared" si="66"/>
        <v>2024</v>
      </c>
      <c r="AI499" t="str">
        <f t="shared" si="67"/>
        <v>Warning</v>
      </c>
    </row>
    <row r="500" spans="1:35" ht="15.75" customHeight="1">
      <c r="A500" s="3" t="s">
        <v>2414</v>
      </c>
      <c r="B500" s="3" t="s">
        <v>2415</v>
      </c>
      <c r="C500" s="3" t="s">
        <v>2416</v>
      </c>
      <c r="D500" s="3" t="str">
        <f t="shared" si="34"/>
        <v>10-Sep-2025</v>
      </c>
      <c r="E500" s="3" t="str">
        <f t="shared" si="35"/>
        <v>07-Sep-2025</v>
      </c>
      <c r="F500" s="3">
        <f t="shared" si="36"/>
        <v>3</v>
      </c>
      <c r="G500" s="3" t="s">
        <v>2417</v>
      </c>
      <c r="H500" s="3" t="s">
        <v>33</v>
      </c>
      <c r="I500" s="3" t="s">
        <v>34</v>
      </c>
      <c r="J500" s="3" t="s">
        <v>35</v>
      </c>
      <c r="K500" s="3" t="s">
        <v>162</v>
      </c>
      <c r="L500" s="3" t="s">
        <v>163</v>
      </c>
      <c r="M500" s="3" t="s">
        <v>53</v>
      </c>
      <c r="N500" s="3" t="s">
        <v>84</v>
      </c>
      <c r="O500" s="3" t="s">
        <v>2418</v>
      </c>
      <c r="P500" s="3" t="s">
        <v>56</v>
      </c>
      <c r="Q500" s="3">
        <v>2</v>
      </c>
      <c r="R500" s="3">
        <v>447.55</v>
      </c>
      <c r="S500" s="3">
        <v>0.05</v>
      </c>
      <c r="T500" s="3">
        <v>850.35</v>
      </c>
      <c r="U500" s="3">
        <v>600.98</v>
      </c>
      <c r="V500" s="3">
        <v>249.37</v>
      </c>
      <c r="W500" s="3" t="s">
        <v>132</v>
      </c>
      <c r="X500" s="3" t="s">
        <v>86</v>
      </c>
      <c r="Y500" s="2" t="str">
        <f t="shared" si="37"/>
        <v>Unique</v>
      </c>
      <c r="AA500" s="2" t="str">
        <f t="shared" si="38"/>
        <v>Clean</v>
      </c>
      <c r="AB500" s="2" t="str">
        <f t="shared" si="39"/>
        <v>valid</v>
      </c>
      <c r="AC500">
        <f t="shared" si="61"/>
        <v>0.05</v>
      </c>
      <c r="AD500">
        <f t="shared" si="62"/>
        <v>850.34500000000003</v>
      </c>
      <c r="AE500">
        <f t="shared" si="63"/>
        <v>249.36500000000001</v>
      </c>
      <c r="AF500">
        <f t="shared" si="64"/>
        <v>0.29325156260106194</v>
      </c>
      <c r="AG500" t="str">
        <f t="shared" si="65"/>
        <v>September</v>
      </c>
      <c r="AH500">
        <f t="shared" si="66"/>
        <v>2025</v>
      </c>
      <c r="AI500" t="str">
        <f t="shared" si="67"/>
        <v>Warning</v>
      </c>
    </row>
    <row r="501" spans="1:35" ht="15.75" customHeight="1">
      <c r="A501" s="3" t="s">
        <v>2419</v>
      </c>
      <c r="B501" s="3" t="s">
        <v>2420</v>
      </c>
      <c r="C501" s="3" t="s">
        <v>1445</v>
      </c>
      <c r="D501" s="3" t="str">
        <f t="shared" si="34"/>
        <v>26-Dec-2024</v>
      </c>
      <c r="E501" s="3" t="str">
        <f t="shared" si="35"/>
        <v>22-Dec-2024</v>
      </c>
      <c r="F501" s="3">
        <f t="shared" si="36"/>
        <v>4</v>
      </c>
      <c r="G501" s="3" t="s">
        <v>2421</v>
      </c>
      <c r="H501" s="3" t="s">
        <v>156</v>
      </c>
      <c r="I501" s="3" t="s">
        <v>123</v>
      </c>
      <c r="J501" s="3" t="s">
        <v>35</v>
      </c>
      <c r="K501" s="3" t="s">
        <v>182</v>
      </c>
      <c r="L501" s="3" t="s">
        <v>183</v>
      </c>
      <c r="M501" s="3" t="s">
        <v>53</v>
      </c>
      <c r="N501" s="3" t="s">
        <v>84</v>
      </c>
      <c r="O501" s="3" t="s">
        <v>2422</v>
      </c>
      <c r="P501" s="3" t="s">
        <v>75</v>
      </c>
      <c r="Q501" s="3">
        <v>9</v>
      </c>
      <c r="R501" s="3">
        <v>1110.8699999999999</v>
      </c>
      <c r="S501" s="3">
        <v>0</v>
      </c>
      <c r="T501" s="3">
        <v>7498.37</v>
      </c>
      <c r="U501" s="3">
        <v>6059.07</v>
      </c>
      <c r="V501" s="3">
        <v>1439.3</v>
      </c>
      <c r="W501" s="3" t="s">
        <v>42</v>
      </c>
      <c r="X501" s="3" t="s">
        <v>86</v>
      </c>
      <c r="Y501" s="4" t="str">
        <f t="shared" si="37"/>
        <v>Unique</v>
      </c>
      <c r="AA501" s="2" t="str">
        <f t="shared" si="38"/>
        <v>Clean</v>
      </c>
      <c r="AB501" s="2" t="str">
        <f t="shared" si="39"/>
        <v>valid</v>
      </c>
      <c r="AC501">
        <f t="shared" si="61"/>
        <v>0</v>
      </c>
      <c r="AD501">
        <f t="shared" si="62"/>
        <v>9997.8299999999981</v>
      </c>
      <c r="AE501">
        <f t="shared" si="63"/>
        <v>3938.7599999999984</v>
      </c>
      <c r="AF501">
        <f t="shared" si="64"/>
        <v>0.3939614896432525</v>
      </c>
      <c r="AG501" t="str">
        <f t="shared" si="65"/>
        <v>December</v>
      </c>
      <c r="AH501">
        <f t="shared" si="66"/>
        <v>2024</v>
      </c>
      <c r="AI501" t="str">
        <f t="shared" si="67"/>
        <v>Warning</v>
      </c>
    </row>
    <row r="502" spans="1:35" ht="15.75" customHeight="1">
      <c r="A502" s="3" t="s">
        <v>2423</v>
      </c>
      <c r="B502" s="3" t="s">
        <v>1132</v>
      </c>
      <c r="C502" s="3" t="s">
        <v>2424</v>
      </c>
      <c r="D502" s="3" t="str">
        <f t="shared" si="34"/>
        <v>22-May-2024</v>
      </c>
      <c r="E502" s="3" t="str">
        <f t="shared" si="35"/>
        <v>17-May-2024</v>
      </c>
      <c r="F502" s="3">
        <f t="shared" si="36"/>
        <v>5</v>
      </c>
      <c r="G502" s="3" t="s">
        <v>2425</v>
      </c>
      <c r="H502" s="3" t="s">
        <v>176</v>
      </c>
      <c r="I502" s="3" t="s">
        <v>34</v>
      </c>
      <c r="J502" s="3" t="s">
        <v>70</v>
      </c>
      <c r="K502" s="3" t="s">
        <v>250</v>
      </c>
      <c r="L502" s="3" t="s">
        <v>251</v>
      </c>
      <c r="M502" s="3" t="s">
        <v>94</v>
      </c>
      <c r="N502" s="3" t="s">
        <v>231</v>
      </c>
      <c r="O502" s="3" t="s">
        <v>2426</v>
      </c>
      <c r="P502" s="3" t="s">
        <v>56</v>
      </c>
      <c r="Q502" s="3">
        <v>9</v>
      </c>
      <c r="R502" s="3">
        <v>3795.99</v>
      </c>
      <c r="S502" s="3" t="s">
        <v>1172</v>
      </c>
      <c r="T502" s="3">
        <v>34163.910000000003</v>
      </c>
      <c r="U502" s="3">
        <v>28577.15</v>
      </c>
      <c r="V502" s="3">
        <v>5586.76</v>
      </c>
      <c r="W502" s="3" t="s">
        <v>42</v>
      </c>
      <c r="X502" s="3" t="s">
        <v>43</v>
      </c>
      <c r="Y502" s="2" t="str">
        <f t="shared" si="37"/>
        <v>Unique</v>
      </c>
      <c r="AA502" s="2" t="str">
        <f t="shared" si="38"/>
        <v>Invalid</v>
      </c>
      <c r="AB502" s="2" t="str">
        <f t="shared" si="39"/>
        <v>valid</v>
      </c>
      <c r="AC502">
        <f t="shared" si="61"/>
        <v>8.5000000000000006E-3</v>
      </c>
      <c r="AD502">
        <f t="shared" si="62"/>
        <v>33873.516765</v>
      </c>
      <c r="AE502">
        <f t="shared" si="63"/>
        <v>5296.3667649999988</v>
      </c>
      <c r="AF502">
        <f t="shared" si="64"/>
        <v>0.15635715658766494</v>
      </c>
      <c r="AG502" t="str">
        <f t="shared" si="65"/>
        <v>May</v>
      </c>
      <c r="AH502">
        <f t="shared" si="66"/>
        <v>2024</v>
      </c>
      <c r="AI502" t="str">
        <f t="shared" si="67"/>
        <v>Clean</v>
      </c>
    </row>
    <row r="503" spans="1:35" ht="15.75" customHeight="1">
      <c r="A503" s="3" t="s">
        <v>2427</v>
      </c>
      <c r="B503" s="3" t="s">
        <v>2428</v>
      </c>
      <c r="C503" s="3" t="s">
        <v>2429</v>
      </c>
      <c r="D503" s="3" t="str">
        <f t="shared" si="34"/>
        <v>17-Aug-2024</v>
      </c>
      <c r="E503" s="3" t="str">
        <f t="shared" si="35"/>
        <v>11-Aug-2024</v>
      </c>
      <c r="F503" s="3">
        <f t="shared" si="36"/>
        <v>6</v>
      </c>
      <c r="G503" s="3" t="s">
        <v>1237</v>
      </c>
      <c r="H503" s="3" t="s">
        <v>101</v>
      </c>
      <c r="I503" s="3" t="s">
        <v>34</v>
      </c>
      <c r="J503" s="3" t="s">
        <v>50</v>
      </c>
      <c r="K503" s="3" t="s">
        <v>319</v>
      </c>
      <c r="L503" s="3" t="s">
        <v>320</v>
      </c>
      <c r="M503" s="3" t="s">
        <v>38</v>
      </c>
      <c r="N503" s="3" t="s">
        <v>62</v>
      </c>
      <c r="O503" s="3" t="s">
        <v>2430</v>
      </c>
      <c r="P503" s="3" t="s">
        <v>41</v>
      </c>
      <c r="Q503" s="3">
        <v>6</v>
      </c>
      <c r="R503" s="3">
        <v>3497.54</v>
      </c>
      <c r="S503" s="3">
        <v>0.15</v>
      </c>
      <c r="T503" s="3">
        <v>17837.45</v>
      </c>
      <c r="U503" s="3">
        <v>13627.02</v>
      </c>
      <c r="V503" s="3">
        <v>4210.43</v>
      </c>
      <c r="W503" s="3" t="s">
        <v>42</v>
      </c>
      <c r="X503" s="3" t="s">
        <v>43</v>
      </c>
      <c r="Y503" s="2" t="str">
        <f t="shared" si="37"/>
        <v>Unique</v>
      </c>
      <c r="AA503" s="2" t="str">
        <f t="shared" si="38"/>
        <v>Clean</v>
      </c>
      <c r="AB503" s="2" t="str">
        <f t="shared" si="39"/>
        <v>valid</v>
      </c>
      <c r="AC503">
        <f t="shared" si="61"/>
        <v>0.15</v>
      </c>
      <c r="AD503">
        <f t="shared" si="62"/>
        <v>17837.453999999998</v>
      </c>
      <c r="AE503">
        <f t="shared" si="63"/>
        <v>4210.4339999999975</v>
      </c>
      <c r="AF503">
        <f t="shared" si="64"/>
        <v>0.23604456106796395</v>
      </c>
      <c r="AG503" t="str">
        <f t="shared" si="65"/>
        <v>August</v>
      </c>
      <c r="AH503">
        <f t="shared" si="66"/>
        <v>2024</v>
      </c>
      <c r="AI503" t="str">
        <f t="shared" si="67"/>
        <v>Clean</v>
      </c>
    </row>
    <row r="504" spans="1:35" ht="15.75" customHeight="1">
      <c r="A504" s="3" t="s">
        <v>2431</v>
      </c>
      <c r="B504" s="3" t="s">
        <v>2432</v>
      </c>
      <c r="C504" s="3" t="s">
        <v>2433</v>
      </c>
      <c r="D504" s="3" t="str">
        <f t="shared" si="34"/>
        <v>09-Apr-2024</v>
      </c>
      <c r="E504" s="3" t="str">
        <f t="shared" si="35"/>
        <v>04-Jan-2024</v>
      </c>
      <c r="F504" s="3">
        <f t="shared" si="36"/>
        <v>96</v>
      </c>
      <c r="G504" s="3" t="s">
        <v>2434</v>
      </c>
      <c r="H504" s="3" t="s">
        <v>150</v>
      </c>
      <c r="I504" s="3" t="s">
        <v>49</v>
      </c>
      <c r="J504" s="3" t="s">
        <v>50</v>
      </c>
      <c r="K504" s="3" t="s">
        <v>51</v>
      </c>
      <c r="L504" s="3" t="s">
        <v>52</v>
      </c>
      <c r="M504" s="3" t="s">
        <v>94</v>
      </c>
      <c r="N504" s="3" t="s">
        <v>102</v>
      </c>
      <c r="O504" s="3" t="s">
        <v>2435</v>
      </c>
      <c r="P504" s="3" t="s">
        <v>41</v>
      </c>
      <c r="Q504" s="3">
        <v>6</v>
      </c>
      <c r="R504" s="3">
        <v>826.93</v>
      </c>
      <c r="S504" s="3">
        <v>0.1</v>
      </c>
      <c r="T504" s="3">
        <v>4465.42</v>
      </c>
      <c r="U504" s="3">
        <v>3377.1</v>
      </c>
      <c r="V504" s="3">
        <v>1088.32</v>
      </c>
      <c r="W504" s="3" t="s">
        <v>42</v>
      </c>
      <c r="X504" s="3" t="s">
        <v>43</v>
      </c>
      <c r="Y504" s="2" t="str">
        <f t="shared" si="37"/>
        <v>Unique</v>
      </c>
      <c r="AA504" s="2" t="str">
        <f t="shared" si="38"/>
        <v>Clean</v>
      </c>
      <c r="AB504" s="2" t="str">
        <f t="shared" si="39"/>
        <v>valid</v>
      </c>
      <c r="AC504">
        <f t="shared" si="61"/>
        <v>0.1</v>
      </c>
      <c r="AD504">
        <f t="shared" si="62"/>
        <v>4465.4220000000005</v>
      </c>
      <c r="AE504">
        <f t="shared" si="63"/>
        <v>1088.3220000000006</v>
      </c>
      <c r="AF504">
        <f t="shared" si="64"/>
        <v>0.24372209390288319</v>
      </c>
      <c r="AG504" t="str">
        <f t="shared" si="65"/>
        <v>January</v>
      </c>
      <c r="AH504">
        <f t="shared" si="66"/>
        <v>2024</v>
      </c>
      <c r="AI504" t="str">
        <f t="shared" si="67"/>
        <v>Clean</v>
      </c>
    </row>
    <row r="505" spans="1:35" ht="15.75" customHeight="1">
      <c r="A505" s="3" t="s">
        <v>2436</v>
      </c>
      <c r="B505" s="3" t="s">
        <v>2437</v>
      </c>
      <c r="C505" s="3" t="s">
        <v>2438</v>
      </c>
      <c r="D505" s="3" t="str">
        <f t="shared" si="34"/>
        <v>05-Oct-2024</v>
      </c>
      <c r="E505" s="3" t="str">
        <f t="shared" si="35"/>
        <v>28-Sep-2024</v>
      </c>
      <c r="F505" s="3">
        <f t="shared" si="36"/>
        <v>7</v>
      </c>
      <c r="G505" s="3" t="s">
        <v>2439</v>
      </c>
      <c r="H505" s="3" t="s">
        <v>170</v>
      </c>
      <c r="I505" s="3" t="s">
        <v>34</v>
      </c>
      <c r="J505" s="3" t="s">
        <v>70</v>
      </c>
      <c r="K505" s="3" t="s">
        <v>347</v>
      </c>
      <c r="L505" s="3" t="s">
        <v>348</v>
      </c>
      <c r="M505" s="3" t="s">
        <v>94</v>
      </c>
      <c r="N505" s="3" t="s">
        <v>231</v>
      </c>
      <c r="O505" s="3" t="s">
        <v>2440</v>
      </c>
      <c r="P505" s="3" t="s">
        <v>75</v>
      </c>
      <c r="Q505" s="3">
        <v>7</v>
      </c>
      <c r="R505" s="3">
        <v>1681.6</v>
      </c>
      <c r="S505" s="3">
        <v>0.1</v>
      </c>
      <c r="T505" s="3">
        <v>10594.08</v>
      </c>
      <c r="U505" s="3">
        <v>7160.31</v>
      </c>
      <c r="V505" s="3">
        <v>3433.77</v>
      </c>
      <c r="W505" s="3" t="s">
        <v>42</v>
      </c>
      <c r="X505" s="3" t="s">
        <v>43</v>
      </c>
      <c r="Y505" s="2" t="str">
        <f t="shared" si="37"/>
        <v>Unique</v>
      </c>
      <c r="AA505" s="2" t="str">
        <f t="shared" si="38"/>
        <v>Clean</v>
      </c>
      <c r="AB505" s="2" t="str">
        <f t="shared" si="39"/>
        <v>valid</v>
      </c>
      <c r="AC505">
        <f t="shared" si="61"/>
        <v>0.1</v>
      </c>
      <c r="AD505">
        <f t="shared" si="62"/>
        <v>10594.08</v>
      </c>
      <c r="AE505">
        <f t="shared" si="63"/>
        <v>3433.7699999999995</v>
      </c>
      <c r="AF505">
        <f t="shared" si="64"/>
        <v>0.32412158488514337</v>
      </c>
      <c r="AG505" t="str">
        <f t="shared" si="65"/>
        <v>September</v>
      </c>
      <c r="AH505">
        <f t="shared" si="66"/>
        <v>2024</v>
      </c>
      <c r="AI505" t="str">
        <f t="shared" si="67"/>
        <v>Clean</v>
      </c>
    </row>
    <row r="506" spans="1:35" ht="15.75" customHeight="1">
      <c r="A506" s="3" t="s">
        <v>2441</v>
      </c>
      <c r="B506" s="3" t="s">
        <v>2442</v>
      </c>
      <c r="C506" s="3" t="s">
        <v>2443</v>
      </c>
      <c r="D506" s="3" t="str">
        <f t="shared" si="34"/>
        <v>17-Feb-2025</v>
      </c>
      <c r="E506" s="3" t="str">
        <f t="shared" si="35"/>
        <v>12-Feb-2025</v>
      </c>
      <c r="F506" s="3">
        <f t="shared" si="36"/>
        <v>5</v>
      </c>
      <c r="G506" s="3" t="s">
        <v>2444</v>
      </c>
      <c r="H506" s="3" t="s">
        <v>69</v>
      </c>
      <c r="I506" s="3" t="s">
        <v>116</v>
      </c>
      <c r="J506" s="3" t="s">
        <v>81</v>
      </c>
      <c r="K506" s="3" t="s">
        <v>243</v>
      </c>
      <c r="L506" s="3" t="s">
        <v>244</v>
      </c>
      <c r="M506" s="3" t="s">
        <v>38</v>
      </c>
      <c r="N506" s="3" t="s">
        <v>62</v>
      </c>
      <c r="O506" s="3" t="s">
        <v>2445</v>
      </c>
      <c r="P506" s="3" t="s">
        <v>75</v>
      </c>
      <c r="Q506" s="3">
        <v>4</v>
      </c>
      <c r="R506" s="3">
        <v>4328.12</v>
      </c>
      <c r="S506" s="3">
        <v>0</v>
      </c>
      <c r="T506" s="3">
        <v>17312.48</v>
      </c>
      <c r="U506" s="3">
        <v>14424.22</v>
      </c>
      <c r="V506" s="3">
        <v>2888.26</v>
      </c>
      <c r="W506" s="3" t="s">
        <v>42</v>
      </c>
      <c r="X506" s="3" t="s">
        <v>43</v>
      </c>
      <c r="Y506" s="2" t="str">
        <f t="shared" si="37"/>
        <v>Unique</v>
      </c>
      <c r="AA506" s="2" t="str">
        <f t="shared" si="38"/>
        <v>Clean</v>
      </c>
      <c r="AB506" s="2" t="str">
        <f t="shared" si="39"/>
        <v>valid</v>
      </c>
      <c r="AC506">
        <f t="shared" si="61"/>
        <v>0</v>
      </c>
      <c r="AD506">
        <f t="shared" si="62"/>
        <v>17312.48</v>
      </c>
      <c r="AE506">
        <f t="shared" si="63"/>
        <v>2888.26</v>
      </c>
      <c r="AF506">
        <f t="shared" si="64"/>
        <v>0.16683109525613893</v>
      </c>
      <c r="AG506" t="str">
        <f t="shared" si="65"/>
        <v>February</v>
      </c>
      <c r="AH506">
        <f t="shared" si="66"/>
        <v>2025</v>
      </c>
      <c r="AI506" t="str">
        <f t="shared" si="67"/>
        <v>Clean</v>
      </c>
    </row>
    <row r="507" spans="1:35" ht="15.75" customHeight="1">
      <c r="A507" s="3" t="s">
        <v>2446</v>
      </c>
      <c r="B507" s="3" t="s">
        <v>2447</v>
      </c>
      <c r="C507" s="3" t="s">
        <v>1379</v>
      </c>
      <c r="D507" s="3" t="str">
        <f t="shared" si="34"/>
        <v>14-Nov-2024</v>
      </c>
      <c r="E507" s="3" t="str">
        <f t="shared" si="35"/>
        <v>09-Nov-2024</v>
      </c>
      <c r="F507" s="3">
        <f t="shared" si="36"/>
        <v>5</v>
      </c>
      <c r="G507" s="3" t="s">
        <v>2448</v>
      </c>
      <c r="H507" s="3" t="s">
        <v>101</v>
      </c>
      <c r="I507" s="3" t="s">
        <v>116</v>
      </c>
      <c r="J507" s="3" t="s">
        <v>81</v>
      </c>
      <c r="K507" s="3" t="s">
        <v>92</v>
      </c>
      <c r="L507" s="3" t="s">
        <v>93</v>
      </c>
      <c r="M507" s="3" t="s">
        <v>38</v>
      </c>
      <c r="N507" s="3" t="s">
        <v>62</v>
      </c>
      <c r="O507" s="3" t="s">
        <v>2449</v>
      </c>
      <c r="P507" s="3" t="s">
        <v>64</v>
      </c>
      <c r="Q507" s="3">
        <v>9</v>
      </c>
      <c r="R507" s="3">
        <v>2438.29</v>
      </c>
      <c r="S507" s="3">
        <v>0.2</v>
      </c>
      <c r="T507" s="3">
        <v>17555.689999999999</v>
      </c>
      <c r="U507" s="3">
        <v>13293.2</v>
      </c>
      <c r="V507" s="3">
        <v>4262.49</v>
      </c>
      <c r="W507" s="3" t="s">
        <v>42</v>
      </c>
      <c r="X507" s="3" t="s">
        <v>86</v>
      </c>
      <c r="Y507" s="2" t="str">
        <f t="shared" si="37"/>
        <v>Unique</v>
      </c>
      <c r="AA507" s="2" t="str">
        <f t="shared" si="38"/>
        <v>Clean</v>
      </c>
      <c r="AB507" s="2" t="str">
        <f t="shared" si="39"/>
        <v>valid</v>
      </c>
      <c r="AC507">
        <f t="shared" si="61"/>
        <v>0.2</v>
      </c>
      <c r="AD507">
        <f t="shared" si="62"/>
        <v>17555.688000000002</v>
      </c>
      <c r="AE507">
        <f t="shared" si="63"/>
        <v>4262.4880000000012</v>
      </c>
      <c r="AF507">
        <f t="shared" si="64"/>
        <v>0.24279811762432785</v>
      </c>
      <c r="AG507" t="str">
        <f t="shared" si="65"/>
        <v>November</v>
      </c>
      <c r="AH507">
        <f t="shared" si="66"/>
        <v>2024</v>
      </c>
      <c r="AI507" t="str">
        <f t="shared" si="67"/>
        <v>Warning</v>
      </c>
    </row>
    <row r="508" spans="1:35" ht="15.75" customHeight="1">
      <c r="A508" s="3" t="s">
        <v>2450</v>
      </c>
      <c r="B508" s="3" t="s">
        <v>2451</v>
      </c>
      <c r="C508" s="3" t="s">
        <v>2452</v>
      </c>
      <c r="D508" s="3" t="str">
        <f t="shared" si="34"/>
        <v>15-Dec-2024</v>
      </c>
      <c r="E508" s="3" t="str">
        <f t="shared" si="35"/>
        <v>15-Dec-2024</v>
      </c>
      <c r="F508" s="3">
        <f t="shared" si="36"/>
        <v>0</v>
      </c>
      <c r="G508" s="3" t="s">
        <v>2453</v>
      </c>
      <c r="H508" s="3" t="s">
        <v>170</v>
      </c>
      <c r="I508" s="3" t="s">
        <v>49</v>
      </c>
      <c r="J508" s="3" t="s">
        <v>35</v>
      </c>
      <c r="K508" s="3" t="s">
        <v>162</v>
      </c>
      <c r="L508" s="3" t="s">
        <v>163</v>
      </c>
      <c r="M508" s="3" t="s">
        <v>53</v>
      </c>
      <c r="N508" s="3" t="s">
        <v>73</v>
      </c>
      <c r="O508" s="3" t="s">
        <v>2454</v>
      </c>
      <c r="P508" s="3" t="s">
        <v>64</v>
      </c>
      <c r="Q508" s="3">
        <v>2</v>
      </c>
      <c r="R508" s="3">
        <v>669.8</v>
      </c>
      <c r="S508" s="3">
        <v>0.1</v>
      </c>
      <c r="T508" s="3">
        <v>1205.6400000000001</v>
      </c>
      <c r="U508" s="3">
        <v>842.07</v>
      </c>
      <c r="V508" s="3">
        <v>363.57</v>
      </c>
      <c r="W508" s="3" t="s">
        <v>132</v>
      </c>
      <c r="X508" s="3" t="s">
        <v>133</v>
      </c>
      <c r="Y508" s="2" t="str">
        <f t="shared" si="37"/>
        <v>Unique</v>
      </c>
      <c r="AA508" s="2" t="str">
        <f t="shared" si="38"/>
        <v>Clean</v>
      </c>
      <c r="AB508" s="2" t="str">
        <f t="shared" si="39"/>
        <v>valid</v>
      </c>
      <c r="AC508">
        <f t="shared" si="61"/>
        <v>0.1</v>
      </c>
      <c r="AD508">
        <f t="shared" si="62"/>
        <v>1205.6399999999999</v>
      </c>
      <c r="AE508">
        <f t="shared" si="63"/>
        <v>363.56999999999982</v>
      </c>
      <c r="AF508">
        <f t="shared" si="64"/>
        <v>0.30155767890912699</v>
      </c>
      <c r="AG508" t="str">
        <f t="shared" si="65"/>
        <v>December</v>
      </c>
      <c r="AH508">
        <f t="shared" si="66"/>
        <v>2024</v>
      </c>
      <c r="AI508" t="str">
        <f t="shared" si="67"/>
        <v>Clean</v>
      </c>
    </row>
    <row r="509" spans="1:35" ht="15.75" customHeight="1">
      <c r="A509" s="3" t="s">
        <v>2455</v>
      </c>
      <c r="B509" s="3" t="s">
        <v>2135</v>
      </c>
      <c r="C509" s="3" t="s">
        <v>2101</v>
      </c>
      <c r="D509" s="3" t="str">
        <f t="shared" si="34"/>
        <v>22-Apr-2025</v>
      </c>
      <c r="E509" s="3" t="str">
        <f t="shared" si="35"/>
        <v>15-Apr-2025</v>
      </c>
      <c r="F509" s="3">
        <f t="shared" si="36"/>
        <v>7</v>
      </c>
      <c r="G509" s="3" t="s">
        <v>2456</v>
      </c>
      <c r="H509" s="3" t="s">
        <v>61</v>
      </c>
      <c r="I509" s="3" t="s">
        <v>49</v>
      </c>
      <c r="J509" s="3" t="s">
        <v>35</v>
      </c>
      <c r="K509" s="3" t="s">
        <v>331</v>
      </c>
      <c r="L509" s="3" t="s">
        <v>332</v>
      </c>
      <c r="M509" s="3" t="s">
        <v>38</v>
      </c>
      <c r="N509" s="3" t="s">
        <v>206</v>
      </c>
      <c r="O509" s="3" t="s">
        <v>2457</v>
      </c>
      <c r="P509" s="3" t="s">
        <v>56</v>
      </c>
      <c r="Q509" s="3">
        <v>4</v>
      </c>
      <c r="R509" s="3">
        <v>2990.42</v>
      </c>
      <c r="S509" s="3">
        <v>0.25</v>
      </c>
      <c r="T509" s="3">
        <v>8971.26</v>
      </c>
      <c r="U509" s="3">
        <v>6814.35</v>
      </c>
      <c r="V509" s="3">
        <v>2156.91</v>
      </c>
      <c r="W509" s="3" t="s">
        <v>42</v>
      </c>
      <c r="X509" s="3" t="s">
        <v>43</v>
      </c>
      <c r="Y509" s="2" t="str">
        <f t="shared" si="37"/>
        <v>Unique</v>
      </c>
      <c r="AA509" s="2" t="str">
        <f t="shared" si="38"/>
        <v>Clean</v>
      </c>
      <c r="AB509" s="2" t="str">
        <f t="shared" si="39"/>
        <v>valid</v>
      </c>
      <c r="AC509">
        <f t="shared" si="61"/>
        <v>0.25</v>
      </c>
      <c r="AD509">
        <f t="shared" si="62"/>
        <v>8971.26</v>
      </c>
      <c r="AE509">
        <f t="shared" si="63"/>
        <v>2156.91</v>
      </c>
      <c r="AF509">
        <f t="shared" si="64"/>
        <v>0.24042442198754688</v>
      </c>
      <c r="AG509" t="str">
        <f t="shared" si="65"/>
        <v>April</v>
      </c>
      <c r="AH509">
        <f t="shared" si="66"/>
        <v>2025</v>
      </c>
      <c r="AI509" t="str">
        <f t="shared" si="67"/>
        <v>Clean</v>
      </c>
    </row>
    <row r="510" spans="1:35" ht="15.75" customHeight="1">
      <c r="A510" s="3" t="s">
        <v>2458</v>
      </c>
      <c r="B510" s="3" t="s">
        <v>2459</v>
      </c>
      <c r="C510" s="3" t="s">
        <v>1418</v>
      </c>
      <c r="D510" s="3" t="str">
        <f t="shared" si="34"/>
        <v>07-Apr-2024</v>
      </c>
      <c r="E510" s="3" t="str">
        <f t="shared" si="35"/>
        <v>31-Mar-2024</v>
      </c>
      <c r="F510" s="3">
        <f t="shared" si="36"/>
        <v>7</v>
      </c>
      <c r="G510" s="3" t="s">
        <v>2460</v>
      </c>
      <c r="H510" s="3" t="s">
        <v>61</v>
      </c>
      <c r="I510" s="3" t="s">
        <v>49</v>
      </c>
      <c r="J510" s="3" t="s">
        <v>35</v>
      </c>
      <c r="K510" s="3" t="s">
        <v>331</v>
      </c>
      <c r="L510" s="3" t="s">
        <v>332</v>
      </c>
      <c r="M510" s="3" t="s">
        <v>94</v>
      </c>
      <c r="N510" s="3" t="s">
        <v>391</v>
      </c>
      <c r="O510" s="3" t="s">
        <v>2461</v>
      </c>
      <c r="P510" s="3" t="s">
        <v>41</v>
      </c>
      <c r="Q510" s="3">
        <v>4</v>
      </c>
      <c r="R510" s="3">
        <v>1831</v>
      </c>
      <c r="S510" s="3">
        <v>0</v>
      </c>
      <c r="T510" s="3">
        <v>7324</v>
      </c>
      <c r="U510" s="3">
        <v>4179.63</v>
      </c>
      <c r="V510" s="3">
        <v>3144.37</v>
      </c>
      <c r="W510" s="3" t="s">
        <v>42</v>
      </c>
      <c r="X510" s="3" t="s">
        <v>43</v>
      </c>
      <c r="Y510" s="2" t="str">
        <f t="shared" si="37"/>
        <v>Unique</v>
      </c>
      <c r="AA510" s="2" t="str">
        <f t="shared" si="38"/>
        <v>Clean</v>
      </c>
      <c r="AB510" s="2" t="str">
        <f t="shared" si="39"/>
        <v>valid</v>
      </c>
      <c r="AC510">
        <f t="shared" si="61"/>
        <v>0</v>
      </c>
      <c r="AD510">
        <f t="shared" si="62"/>
        <v>7324</v>
      </c>
      <c r="AE510">
        <f t="shared" si="63"/>
        <v>3144.37</v>
      </c>
      <c r="AF510">
        <f t="shared" si="64"/>
        <v>0.42932413981430911</v>
      </c>
      <c r="AG510" t="str">
        <f t="shared" si="65"/>
        <v>March</v>
      </c>
      <c r="AH510">
        <f t="shared" si="66"/>
        <v>2024</v>
      </c>
      <c r="AI510" t="str">
        <f t="shared" si="67"/>
        <v>Clean</v>
      </c>
    </row>
    <row r="511" spans="1:35" ht="15.75" customHeight="1">
      <c r="A511" s="3" t="s">
        <v>2462</v>
      </c>
      <c r="B511" s="3" t="s">
        <v>2463</v>
      </c>
      <c r="C511" s="3" t="s">
        <v>2464</v>
      </c>
      <c r="D511" s="3" t="str">
        <f t="shared" si="34"/>
        <v>14-May-2025</v>
      </c>
      <c r="E511" s="3" t="str">
        <f t="shared" si="35"/>
        <v>12-May-2025</v>
      </c>
      <c r="F511" s="3">
        <f t="shared" si="36"/>
        <v>2</v>
      </c>
      <c r="G511" s="3" t="s">
        <v>2465</v>
      </c>
      <c r="H511" s="3" t="s">
        <v>101</v>
      </c>
      <c r="I511" s="3" t="s">
        <v>34</v>
      </c>
      <c r="J511" s="3" t="s">
        <v>81</v>
      </c>
      <c r="K511" s="3" t="s">
        <v>243</v>
      </c>
      <c r="L511" s="3" t="s">
        <v>244</v>
      </c>
      <c r="M511" s="3" t="s">
        <v>94</v>
      </c>
      <c r="N511" s="3" t="s">
        <v>391</v>
      </c>
      <c r="O511" s="3" t="s">
        <v>2466</v>
      </c>
      <c r="P511" s="3" t="s">
        <v>56</v>
      </c>
      <c r="Q511" s="3">
        <v>8</v>
      </c>
      <c r="R511" s="3">
        <v>3631.44</v>
      </c>
      <c r="S511" s="3">
        <v>0.2</v>
      </c>
      <c r="T511" s="3">
        <v>23241.22</v>
      </c>
      <c r="U511" s="3">
        <v>17220.900000000001</v>
      </c>
      <c r="V511" s="3">
        <v>6020.32</v>
      </c>
      <c r="W511" s="3" t="s">
        <v>42</v>
      </c>
      <c r="X511" s="3" t="s">
        <v>43</v>
      </c>
      <c r="Y511" s="2" t="str">
        <f t="shared" si="37"/>
        <v>Unique</v>
      </c>
      <c r="AA511" s="2" t="str">
        <f t="shared" si="38"/>
        <v>Clean</v>
      </c>
      <c r="AB511" s="2" t="str">
        <f t="shared" si="39"/>
        <v>valid</v>
      </c>
      <c r="AC511">
        <f t="shared" si="61"/>
        <v>0.2</v>
      </c>
      <c r="AD511">
        <f t="shared" si="62"/>
        <v>23241.216</v>
      </c>
      <c r="AE511">
        <f t="shared" si="63"/>
        <v>6020.3159999999989</v>
      </c>
      <c r="AF511">
        <f t="shared" si="64"/>
        <v>0.25903618812371948</v>
      </c>
      <c r="AG511" t="str">
        <f t="shared" si="65"/>
        <v>May</v>
      </c>
      <c r="AH511">
        <f t="shared" si="66"/>
        <v>2025</v>
      </c>
      <c r="AI511" t="str">
        <f t="shared" si="67"/>
        <v>Clean</v>
      </c>
    </row>
    <row r="512" spans="1:35" ht="15.75" customHeight="1">
      <c r="A512" s="3" t="s">
        <v>2467</v>
      </c>
      <c r="B512" s="3" t="s">
        <v>654</v>
      </c>
      <c r="C512" s="3" t="s">
        <v>2468</v>
      </c>
      <c r="D512" s="3" t="str">
        <f t="shared" ref="D512:D766" si="68">IFERROR(TEXT(DATEVALUE(C512),"dd-mmm-yyyy"),IFERROR(TEXT(DATE(VALUE(RIGHT(C512,4)),VALUE(LEFT(C512,2)),VALUE(MID(C512,4,2))),"dd-mmm-yyyy"),IFERROR(TEXT(DATE(VALUE(LEFT(C512,4)),VALUE(MID(C512,6,2)),VALUE(RIGHT(C512,2))),"dd-mmm-yyyy"),C512)))</f>
        <v>21-Oct-2024</v>
      </c>
      <c r="E512" s="3" t="str">
        <f t="shared" ref="E512:E766" si="69">IFERROR(TEXT(DATEVALUE(B512),"dd-mmm-yyyy"),IFERROR(TEXT(DATE(VALUE(RIGHT(B512,4)),VALUE(LEFT(B512,2)),VALUE(MID(B512,4,2))),"dd-mmm-yyyy"),IFERROR(TEXT(DATE(VALUE(LEFT(B512,4)),VALUE(MID(B512,6,2)),VALUE(RIGHT(B512,2))),"dd-mmm-yyyy"),B512)))</f>
        <v>18-Oct-2024</v>
      </c>
      <c r="F512" s="3">
        <f t="shared" ref="F512:F766" si="70">D512-E512</f>
        <v>3</v>
      </c>
      <c r="G512" s="3" t="s">
        <v>2469</v>
      </c>
      <c r="H512" s="3" t="s">
        <v>2470</v>
      </c>
      <c r="I512" s="3" t="s">
        <v>34</v>
      </c>
      <c r="J512" s="3" t="s">
        <v>70</v>
      </c>
      <c r="K512" s="3" t="s">
        <v>237</v>
      </c>
      <c r="L512" s="3" t="s">
        <v>238</v>
      </c>
      <c r="M512" s="3" t="s">
        <v>38</v>
      </c>
      <c r="N512" s="3" t="s">
        <v>164</v>
      </c>
      <c r="O512" s="3" t="s">
        <v>2471</v>
      </c>
      <c r="P512" s="3" t="s">
        <v>41</v>
      </c>
      <c r="Q512" s="3">
        <v>2</v>
      </c>
      <c r="R512" s="3">
        <v>4238.51</v>
      </c>
      <c r="S512" s="3">
        <v>0</v>
      </c>
      <c r="T512" s="3">
        <v>8477.02</v>
      </c>
      <c r="U512" s="3">
        <v>6884.96</v>
      </c>
      <c r="V512" s="3">
        <v>1592.06</v>
      </c>
      <c r="W512" s="3" t="s">
        <v>42</v>
      </c>
      <c r="X512" s="3" t="s">
        <v>43</v>
      </c>
      <c r="Y512" s="2" t="str">
        <f t="shared" ref="Y512:Y766" si="71">IF(COUNTIF($A$2:$A$933,A512)&gt;1,"Duplicate Order ID","Unique")</f>
        <v>Unique</v>
      </c>
      <c r="AA512" s="2" t="str">
        <f t="shared" ref="AA512:AA766" si="72">IF(S512&lt;0,"Invalid",IF(S512&gt;0.5,"Invalid","Clean"))</f>
        <v>Clean</v>
      </c>
      <c r="AB512" s="2" t="str">
        <f t="shared" ref="AB512:AB766" si="73">IF(F512&lt;0,"Invalid","valid")</f>
        <v>valid</v>
      </c>
      <c r="AC512">
        <f t="shared" si="61"/>
        <v>0</v>
      </c>
      <c r="AD512">
        <f t="shared" si="62"/>
        <v>8477.02</v>
      </c>
      <c r="AE512">
        <f t="shared" si="63"/>
        <v>1592.0600000000004</v>
      </c>
      <c r="AF512">
        <f t="shared" si="64"/>
        <v>0.18780892341884298</v>
      </c>
      <c r="AG512" t="str">
        <f t="shared" si="65"/>
        <v>October</v>
      </c>
      <c r="AH512">
        <f t="shared" si="66"/>
        <v>2024</v>
      </c>
      <c r="AI512" t="str">
        <f t="shared" si="67"/>
        <v>Clean</v>
      </c>
    </row>
    <row r="513" spans="1:35" ht="15.75" customHeight="1">
      <c r="A513" s="3" t="s">
        <v>2472</v>
      </c>
      <c r="B513" s="3" t="s">
        <v>2473</v>
      </c>
      <c r="C513" s="3" t="s">
        <v>2474</v>
      </c>
      <c r="D513" s="3" t="str">
        <f t="shared" si="68"/>
        <v>26-Oct-2024</v>
      </c>
      <c r="E513" s="3" t="str">
        <f t="shared" si="69"/>
        <v>23-Oct-2024</v>
      </c>
      <c r="F513" s="3">
        <f t="shared" si="70"/>
        <v>3</v>
      </c>
      <c r="G513" s="3" t="s">
        <v>2475</v>
      </c>
      <c r="H513" s="3" t="s">
        <v>176</v>
      </c>
      <c r="I513" s="3" t="s">
        <v>34</v>
      </c>
      <c r="J513" s="3" t="s">
        <v>81</v>
      </c>
      <c r="K513" s="3" t="s">
        <v>92</v>
      </c>
      <c r="L513" s="3" t="s">
        <v>93</v>
      </c>
      <c r="M513" s="3" t="s">
        <v>53</v>
      </c>
      <c r="N513" s="3" t="s">
        <v>212</v>
      </c>
      <c r="O513" s="3" t="s">
        <v>2476</v>
      </c>
      <c r="P513" s="3" t="s">
        <v>75</v>
      </c>
      <c r="Q513" s="3">
        <v>9</v>
      </c>
      <c r="R513" s="3">
        <v>544.27</v>
      </c>
      <c r="S513" s="3">
        <v>0.25</v>
      </c>
      <c r="T513" s="3">
        <v>3673.82</v>
      </c>
      <c r="U513" s="3">
        <v>2088.15</v>
      </c>
      <c r="V513" s="3">
        <v>1585.67</v>
      </c>
      <c r="W513" s="3" t="s">
        <v>42</v>
      </c>
      <c r="X513" s="3" t="s">
        <v>43</v>
      </c>
      <c r="Y513" s="2" t="str">
        <f t="shared" si="71"/>
        <v>Unique</v>
      </c>
      <c r="AA513" s="2" t="str">
        <f t="shared" si="72"/>
        <v>Clean</v>
      </c>
      <c r="AB513" s="2" t="str">
        <f t="shared" si="73"/>
        <v>valid</v>
      </c>
      <c r="AC513">
        <f t="shared" si="61"/>
        <v>0.25</v>
      </c>
      <c r="AD513">
        <f t="shared" si="62"/>
        <v>3673.8225000000002</v>
      </c>
      <c r="AE513">
        <f t="shared" si="63"/>
        <v>1585.6725000000001</v>
      </c>
      <c r="AF513">
        <f t="shared" si="64"/>
        <v>0.43161380278987349</v>
      </c>
      <c r="AG513" t="str">
        <f t="shared" si="65"/>
        <v>October</v>
      </c>
      <c r="AH513">
        <f t="shared" si="66"/>
        <v>2024</v>
      </c>
      <c r="AI513" t="str">
        <f t="shared" si="67"/>
        <v>Clean</v>
      </c>
    </row>
    <row r="514" spans="1:35" ht="15.75" customHeight="1">
      <c r="A514" s="3" t="s">
        <v>2477</v>
      </c>
      <c r="B514" s="3" t="s">
        <v>794</v>
      </c>
      <c r="C514" s="3" t="s">
        <v>2478</v>
      </c>
      <c r="D514" s="3" t="str">
        <f t="shared" si="68"/>
        <v>03-Mar-2025</v>
      </c>
      <c r="E514" s="3" t="str">
        <f t="shared" si="69"/>
        <v>03-Feb-2025</v>
      </c>
      <c r="F514" s="3">
        <f t="shared" si="70"/>
        <v>28</v>
      </c>
      <c r="G514" s="3" t="s">
        <v>1896</v>
      </c>
      <c r="H514" s="3" t="s">
        <v>61</v>
      </c>
      <c r="I514" s="3" t="s">
        <v>116</v>
      </c>
      <c r="J514" s="3" t="s">
        <v>70</v>
      </c>
      <c r="K514" s="3" t="s">
        <v>250</v>
      </c>
      <c r="L514" s="3" t="s">
        <v>251</v>
      </c>
      <c r="M514" s="3" t="s">
        <v>38</v>
      </c>
      <c r="N514" s="3" t="s">
        <v>117</v>
      </c>
      <c r="O514" s="3" t="s">
        <v>2479</v>
      </c>
      <c r="P514" s="3" t="s">
        <v>41</v>
      </c>
      <c r="Q514" s="3">
        <v>2</v>
      </c>
      <c r="R514" s="3">
        <v>4031.45</v>
      </c>
      <c r="S514" s="3">
        <v>0.25</v>
      </c>
      <c r="T514" s="3">
        <v>6047.17</v>
      </c>
      <c r="U514" s="3">
        <v>3368.79</v>
      </c>
      <c r="V514" s="3">
        <v>2678.38</v>
      </c>
      <c r="W514" s="3" t="s">
        <v>42</v>
      </c>
      <c r="X514" s="3" t="s">
        <v>43</v>
      </c>
      <c r="Y514" s="2" t="str">
        <f t="shared" si="71"/>
        <v>Unique</v>
      </c>
      <c r="AA514" s="2" t="str">
        <f t="shared" si="72"/>
        <v>Clean</v>
      </c>
      <c r="AB514" s="2" t="str">
        <f t="shared" si="73"/>
        <v>valid</v>
      </c>
      <c r="AC514">
        <f t="shared" si="61"/>
        <v>0.25</v>
      </c>
      <c r="AD514">
        <f t="shared" si="62"/>
        <v>6047.1749999999993</v>
      </c>
      <c r="AE514">
        <f t="shared" si="63"/>
        <v>2678.3849999999993</v>
      </c>
      <c r="AF514">
        <f t="shared" si="64"/>
        <v>0.44291508018206843</v>
      </c>
      <c r="AG514" t="str">
        <f t="shared" si="65"/>
        <v>February</v>
      </c>
      <c r="AH514">
        <f t="shared" si="66"/>
        <v>2025</v>
      </c>
      <c r="AI514" t="str">
        <f t="shared" si="67"/>
        <v>Clean</v>
      </c>
    </row>
    <row r="515" spans="1:35" ht="15.75" customHeight="1">
      <c r="A515" s="3" t="s">
        <v>2480</v>
      </c>
      <c r="B515" s="3" t="s">
        <v>1002</v>
      </c>
      <c r="C515" s="3" t="s">
        <v>2389</v>
      </c>
      <c r="D515" s="3" t="str">
        <f t="shared" si="68"/>
        <v>07-Feb-2025</v>
      </c>
      <c r="E515" s="3" t="str">
        <f t="shared" si="69"/>
        <v>27-Jun-2025</v>
      </c>
      <c r="F515" s="3">
        <f t="shared" si="70"/>
        <v>-140</v>
      </c>
      <c r="G515" s="3" t="s">
        <v>2481</v>
      </c>
      <c r="H515" s="3" t="s">
        <v>170</v>
      </c>
      <c r="I515" s="3" t="s">
        <v>116</v>
      </c>
      <c r="J515" s="3" t="s">
        <v>70</v>
      </c>
      <c r="K515" s="3" t="s">
        <v>250</v>
      </c>
      <c r="L515" s="3" t="s">
        <v>251</v>
      </c>
      <c r="M515" s="3" t="s">
        <v>94</v>
      </c>
      <c r="N515" s="3" t="s">
        <v>95</v>
      </c>
      <c r="O515" s="3" t="s">
        <v>2482</v>
      </c>
      <c r="P515" s="3" t="s">
        <v>64</v>
      </c>
      <c r="Q515" s="3">
        <v>6</v>
      </c>
      <c r="R515" s="3">
        <v>1099.49</v>
      </c>
      <c r="S515" s="3">
        <v>0.1</v>
      </c>
      <c r="T515" s="3">
        <v>6212.38</v>
      </c>
      <c r="U515" s="3">
        <v>4088.46</v>
      </c>
      <c r="V515" s="3">
        <v>1848.79</v>
      </c>
      <c r="W515" s="3" t="s">
        <v>42</v>
      </c>
      <c r="X515" s="3" t="s">
        <v>43</v>
      </c>
      <c r="Y515" s="2" t="str">
        <f t="shared" si="71"/>
        <v>Unique</v>
      </c>
      <c r="AA515" s="2" t="str">
        <f t="shared" si="72"/>
        <v>Clean</v>
      </c>
      <c r="AB515" s="2" t="str">
        <f t="shared" si="73"/>
        <v>Invalid</v>
      </c>
      <c r="AC515">
        <f t="shared" ref="AC515:AC578" si="74">IF(S515="",0,IF(S515&gt;1,S515/100,S515))</f>
        <v>0.1</v>
      </c>
      <c r="AD515">
        <f t="shared" ref="AD515:AD578" si="75">Q515*R515*(1-AC515)</f>
        <v>5937.246000000001</v>
      </c>
      <c r="AE515">
        <f t="shared" ref="AE515:AE578" si="76">AD515-U515</f>
        <v>1848.786000000001</v>
      </c>
      <c r="AF515">
        <f t="shared" ref="AF515:AF578" si="77">AE515/AD515</f>
        <v>0.31138780505304997</v>
      </c>
      <c r="AG515" t="str">
        <f t="shared" ref="AG515:AG578" si="78">TEXT(E515,"mmmm")</f>
        <v>June</v>
      </c>
      <c r="AH515">
        <f t="shared" ref="AH515:AH578" si="79">YEAR(E515)</f>
        <v>2025</v>
      </c>
      <c r="AI515" t="str">
        <f t="shared" ref="AI515:AI578" si="80">IF(OR(AC515&lt;0,AC515&gt;0.5,F515="Invalid Shipping Record"),"Invalid",
IF(OR(X515="Cancelled",W515="Failed"),"Warning","Clean"))</f>
        <v>Clean</v>
      </c>
    </row>
    <row r="516" spans="1:35" ht="15.75" customHeight="1">
      <c r="A516" s="3" t="s">
        <v>2483</v>
      </c>
      <c r="B516" s="3" t="s">
        <v>2484</v>
      </c>
      <c r="C516" s="3" t="s">
        <v>2398</v>
      </c>
      <c r="D516" s="3" t="str">
        <f t="shared" si="68"/>
        <v>22-Nov-2024</v>
      </c>
      <c r="E516" s="3" t="str">
        <f t="shared" si="69"/>
        <v>18-Nov-2024</v>
      </c>
      <c r="F516" s="3">
        <f t="shared" si="70"/>
        <v>4</v>
      </c>
      <c r="G516" s="3" t="s">
        <v>2485</v>
      </c>
      <c r="H516" s="3" t="s">
        <v>33</v>
      </c>
      <c r="I516" s="3" t="s">
        <v>123</v>
      </c>
      <c r="J516" s="3" t="s">
        <v>70</v>
      </c>
      <c r="K516" s="3" t="s">
        <v>250</v>
      </c>
      <c r="L516" s="3" t="s">
        <v>251</v>
      </c>
      <c r="M516" s="3" t="s">
        <v>94</v>
      </c>
      <c r="N516" s="3" t="s">
        <v>95</v>
      </c>
      <c r="O516" s="3" t="s">
        <v>2486</v>
      </c>
      <c r="P516" s="3" t="s">
        <v>75</v>
      </c>
      <c r="Q516" s="3">
        <v>6</v>
      </c>
      <c r="R516" s="3">
        <v>3872.94</v>
      </c>
      <c r="S516" s="3">
        <v>0.1</v>
      </c>
      <c r="T516" s="3">
        <v>20913.88</v>
      </c>
      <c r="U516" s="3">
        <v>11684.68</v>
      </c>
      <c r="V516" s="3">
        <v>9229.2000000000007</v>
      </c>
      <c r="W516" s="3" t="s">
        <v>42</v>
      </c>
      <c r="X516" s="3" t="s">
        <v>43</v>
      </c>
      <c r="Y516" s="2" t="str">
        <f t="shared" si="71"/>
        <v>Unique</v>
      </c>
      <c r="AA516" s="2" t="str">
        <f t="shared" si="72"/>
        <v>Clean</v>
      </c>
      <c r="AB516" s="2" t="str">
        <f t="shared" si="73"/>
        <v>valid</v>
      </c>
      <c r="AC516">
        <f t="shared" si="74"/>
        <v>0.1</v>
      </c>
      <c r="AD516">
        <f t="shared" si="75"/>
        <v>20913.876</v>
      </c>
      <c r="AE516">
        <f t="shared" si="76"/>
        <v>9229.1959999999999</v>
      </c>
      <c r="AF516">
        <f t="shared" si="77"/>
        <v>0.44129533903710627</v>
      </c>
      <c r="AG516" t="str">
        <f t="shared" si="78"/>
        <v>November</v>
      </c>
      <c r="AH516">
        <f t="shared" si="79"/>
        <v>2024</v>
      </c>
      <c r="AI516" t="str">
        <f t="shared" si="80"/>
        <v>Clean</v>
      </c>
    </row>
    <row r="517" spans="1:35" ht="15.75" customHeight="1">
      <c r="A517" s="3" t="s">
        <v>2487</v>
      </c>
      <c r="B517" s="3" t="s">
        <v>2134</v>
      </c>
      <c r="C517" s="3" t="s">
        <v>2488</v>
      </c>
      <c r="D517" s="3" t="str">
        <f t="shared" si="68"/>
        <v>11-Apr-2025</v>
      </c>
      <c r="E517" s="3" t="str">
        <f t="shared" si="69"/>
        <v>04-Nov-2025</v>
      </c>
      <c r="F517" s="3">
        <f t="shared" si="70"/>
        <v>-207</v>
      </c>
      <c r="G517" s="3" t="s">
        <v>2489</v>
      </c>
      <c r="H517" s="3" t="s">
        <v>156</v>
      </c>
      <c r="I517" s="3" t="s">
        <v>116</v>
      </c>
      <c r="J517" s="3" t="s">
        <v>35</v>
      </c>
      <c r="K517" s="3" t="s">
        <v>515</v>
      </c>
      <c r="L517" s="3" t="s">
        <v>516</v>
      </c>
      <c r="M517" s="3" t="s">
        <v>38</v>
      </c>
      <c r="N517" s="3" t="s">
        <v>39</v>
      </c>
      <c r="O517" s="3" t="s">
        <v>2490</v>
      </c>
      <c r="P517" s="3" t="s">
        <v>75</v>
      </c>
      <c r="Q517" s="3">
        <v>1</v>
      </c>
      <c r="R517" s="3">
        <v>4458.49</v>
      </c>
      <c r="S517" s="3">
        <v>-7.0000000000000007E-2</v>
      </c>
      <c r="T517" s="3">
        <v>3566.79</v>
      </c>
      <c r="U517" s="3">
        <v>2083.41</v>
      </c>
      <c r="V517" s="3">
        <v>1483.38</v>
      </c>
      <c r="W517" s="3" t="s">
        <v>42</v>
      </c>
      <c r="X517" s="3" t="s">
        <v>43</v>
      </c>
      <c r="Y517" s="2" t="str">
        <f t="shared" si="71"/>
        <v>Unique</v>
      </c>
      <c r="AA517" s="2" t="str">
        <f t="shared" si="72"/>
        <v>Invalid</v>
      </c>
      <c r="AB517" s="2" t="str">
        <f t="shared" si="73"/>
        <v>Invalid</v>
      </c>
      <c r="AC517">
        <f t="shared" si="74"/>
        <v>-7.0000000000000007E-2</v>
      </c>
      <c r="AD517">
        <f t="shared" si="75"/>
        <v>4770.5843000000004</v>
      </c>
      <c r="AE517">
        <f t="shared" si="76"/>
        <v>2687.1743000000006</v>
      </c>
      <c r="AF517">
        <f t="shared" si="77"/>
        <v>0.56327991101635089</v>
      </c>
      <c r="AG517" t="str">
        <f t="shared" si="78"/>
        <v>November</v>
      </c>
      <c r="AH517">
        <f t="shared" si="79"/>
        <v>2025</v>
      </c>
      <c r="AI517" t="str">
        <f t="shared" si="80"/>
        <v>Invalid</v>
      </c>
    </row>
    <row r="518" spans="1:35" ht="15.75" customHeight="1">
      <c r="A518" s="3" t="s">
        <v>2491</v>
      </c>
      <c r="B518" s="3" t="s">
        <v>2492</v>
      </c>
      <c r="C518" s="3" t="s">
        <v>2493</v>
      </c>
      <c r="D518" s="3" t="str">
        <f t="shared" si="68"/>
        <v>04-Oct-2024</v>
      </c>
      <c r="E518" s="3" t="str">
        <f t="shared" si="69"/>
        <v>28-Sep-2024</v>
      </c>
      <c r="F518" s="3">
        <f t="shared" si="70"/>
        <v>6</v>
      </c>
      <c r="G518" s="3" t="s">
        <v>2494</v>
      </c>
      <c r="H518" s="3" t="s">
        <v>375</v>
      </c>
      <c r="I518" s="3" t="s">
        <v>123</v>
      </c>
      <c r="J518" s="3" t="s">
        <v>35</v>
      </c>
      <c r="K518" s="3" t="s">
        <v>515</v>
      </c>
      <c r="L518" s="3" t="s">
        <v>516</v>
      </c>
      <c r="M518" s="3" t="s">
        <v>94</v>
      </c>
      <c r="N518" s="3" t="s">
        <v>102</v>
      </c>
      <c r="O518" s="3" t="s">
        <v>2495</v>
      </c>
      <c r="P518" s="3" t="s">
        <v>75</v>
      </c>
      <c r="Q518" s="3">
        <v>1</v>
      </c>
      <c r="R518" s="3">
        <v>2233.1799999999998</v>
      </c>
      <c r="S518" s="3">
        <v>0</v>
      </c>
      <c r="T518" s="3">
        <v>2233.1799999999998</v>
      </c>
      <c r="U518" s="3">
        <v>1585.82</v>
      </c>
      <c r="V518" s="3">
        <v>647.36</v>
      </c>
      <c r="W518" s="3" t="s">
        <v>208</v>
      </c>
      <c r="X518" s="3" t="s">
        <v>133</v>
      </c>
      <c r="Y518" s="2" t="str">
        <f t="shared" si="71"/>
        <v>Unique</v>
      </c>
      <c r="AA518" s="2" t="str">
        <f t="shared" si="72"/>
        <v>Clean</v>
      </c>
      <c r="AB518" s="2" t="str">
        <f t="shared" si="73"/>
        <v>valid</v>
      </c>
      <c r="AC518">
        <f t="shared" si="74"/>
        <v>0</v>
      </c>
      <c r="AD518">
        <f t="shared" si="75"/>
        <v>2233.1799999999998</v>
      </c>
      <c r="AE518">
        <f t="shared" si="76"/>
        <v>647.3599999999999</v>
      </c>
      <c r="AF518">
        <f t="shared" si="77"/>
        <v>0.28988258895386843</v>
      </c>
      <c r="AG518" t="str">
        <f t="shared" si="78"/>
        <v>September</v>
      </c>
      <c r="AH518">
        <f t="shared" si="79"/>
        <v>2024</v>
      </c>
      <c r="AI518" t="str">
        <f t="shared" si="80"/>
        <v>Warning</v>
      </c>
    </row>
    <row r="519" spans="1:35" ht="15.75" customHeight="1">
      <c r="A519" s="3" t="s">
        <v>2496</v>
      </c>
      <c r="B519" s="3" t="s">
        <v>2497</v>
      </c>
      <c r="C519" s="3" t="s">
        <v>1681</v>
      </c>
      <c r="D519" s="3" t="str">
        <f t="shared" si="68"/>
        <v>27-May-2025</v>
      </c>
      <c r="E519" s="3" t="str">
        <f t="shared" si="69"/>
        <v>25-May-2025</v>
      </c>
      <c r="F519" s="3">
        <f t="shared" si="70"/>
        <v>2</v>
      </c>
      <c r="G519" s="3" t="s">
        <v>2498</v>
      </c>
      <c r="H519" s="3" t="s">
        <v>156</v>
      </c>
      <c r="I519" s="3" t="s">
        <v>34</v>
      </c>
      <c r="J519" s="3" t="s">
        <v>50</v>
      </c>
      <c r="K519" s="3" t="s">
        <v>51</v>
      </c>
      <c r="L519" s="3" t="s">
        <v>52</v>
      </c>
      <c r="M519" s="3" t="s">
        <v>53</v>
      </c>
      <c r="N519" s="3" t="s">
        <v>73</v>
      </c>
      <c r="O519" s="3" t="s">
        <v>2499</v>
      </c>
      <c r="P519" s="3" t="s">
        <v>41</v>
      </c>
      <c r="Q519" s="3">
        <v>7</v>
      </c>
      <c r="R519" s="3">
        <v>2123.2800000000002</v>
      </c>
      <c r="S519" s="3">
        <v>0.2</v>
      </c>
      <c r="T519" s="3">
        <v>11890.37</v>
      </c>
      <c r="U519" s="3">
        <v>9234.5300000000007</v>
      </c>
      <c r="V519" s="3">
        <v>2655.84</v>
      </c>
      <c r="W519" s="3" t="s">
        <v>132</v>
      </c>
      <c r="X519" s="3" t="s">
        <v>133</v>
      </c>
      <c r="Y519" s="2" t="str">
        <f t="shared" si="71"/>
        <v>Unique</v>
      </c>
      <c r="AA519" s="2" t="str">
        <f t="shared" si="72"/>
        <v>Clean</v>
      </c>
      <c r="AB519" s="2" t="str">
        <f t="shared" si="73"/>
        <v>valid</v>
      </c>
      <c r="AC519">
        <f t="shared" si="74"/>
        <v>0.2</v>
      </c>
      <c r="AD519">
        <f t="shared" si="75"/>
        <v>11890.368000000002</v>
      </c>
      <c r="AE519">
        <f t="shared" si="76"/>
        <v>2655.8380000000016</v>
      </c>
      <c r="AF519">
        <f t="shared" si="77"/>
        <v>0.22336045444514427</v>
      </c>
      <c r="AG519" t="str">
        <f t="shared" si="78"/>
        <v>May</v>
      </c>
      <c r="AH519">
        <f t="shared" si="79"/>
        <v>2025</v>
      </c>
      <c r="AI519" t="str">
        <f t="shared" si="80"/>
        <v>Clean</v>
      </c>
    </row>
    <row r="520" spans="1:35" ht="15.75" customHeight="1">
      <c r="A520" s="3" t="s">
        <v>2500</v>
      </c>
      <c r="B520" s="3" t="s">
        <v>2384</v>
      </c>
      <c r="C520" s="3" t="s">
        <v>2501</v>
      </c>
      <c r="D520" s="3" t="str">
        <f t="shared" si="68"/>
        <v>26-Apr-2025</v>
      </c>
      <c r="E520" s="3" t="str">
        <f t="shared" si="69"/>
        <v>30-Apr-2025</v>
      </c>
      <c r="F520" s="3">
        <f t="shared" si="70"/>
        <v>-4</v>
      </c>
      <c r="G520" s="3" t="s">
        <v>2502</v>
      </c>
      <c r="H520" s="3" t="s">
        <v>218</v>
      </c>
      <c r="I520" s="3" t="s">
        <v>116</v>
      </c>
      <c r="J520" s="3" t="s">
        <v>50</v>
      </c>
      <c r="K520" s="3" t="s">
        <v>51</v>
      </c>
      <c r="L520" s="3" t="s">
        <v>52</v>
      </c>
      <c r="M520" s="3" t="s">
        <v>53</v>
      </c>
      <c r="N520" s="3" t="s">
        <v>54</v>
      </c>
      <c r="O520" s="3" t="s">
        <v>2503</v>
      </c>
      <c r="P520" s="3" t="s">
        <v>64</v>
      </c>
      <c r="Q520" s="3">
        <v>7</v>
      </c>
      <c r="R520" s="3">
        <v>1604.13</v>
      </c>
      <c r="S520" s="3">
        <v>0.25</v>
      </c>
      <c r="T520" s="3">
        <v>8421.68</v>
      </c>
      <c r="U520" s="3">
        <v>6534.47</v>
      </c>
      <c r="V520" s="3">
        <v>1887.21</v>
      </c>
      <c r="W520" s="3" t="s">
        <v>42</v>
      </c>
      <c r="X520" s="3" t="s">
        <v>86</v>
      </c>
      <c r="Y520" s="2" t="str">
        <f t="shared" si="71"/>
        <v>Unique</v>
      </c>
      <c r="AA520" s="2" t="str">
        <f t="shared" si="72"/>
        <v>Clean</v>
      </c>
      <c r="AB520" s="2" t="str">
        <f t="shared" si="73"/>
        <v>Invalid</v>
      </c>
      <c r="AC520">
        <f t="shared" si="74"/>
        <v>0.25</v>
      </c>
      <c r="AD520">
        <f t="shared" si="75"/>
        <v>8421.682499999999</v>
      </c>
      <c r="AE520">
        <f t="shared" si="76"/>
        <v>1887.2124999999987</v>
      </c>
      <c r="AF520">
        <f t="shared" si="77"/>
        <v>0.22408972316398759</v>
      </c>
      <c r="AG520" t="str">
        <f t="shared" si="78"/>
        <v>April</v>
      </c>
      <c r="AH520">
        <f t="shared" si="79"/>
        <v>2025</v>
      </c>
      <c r="AI520" t="str">
        <f t="shared" si="80"/>
        <v>Warning</v>
      </c>
    </row>
    <row r="521" spans="1:35" ht="15.75" customHeight="1">
      <c r="A521" s="3" t="s">
        <v>2504</v>
      </c>
      <c r="B521" s="3" t="s">
        <v>389</v>
      </c>
      <c r="C521" s="3" t="s">
        <v>2505</v>
      </c>
      <c r="D521" s="3" t="str">
        <f t="shared" si="68"/>
        <v>07-Jul-2025</v>
      </c>
      <c r="E521" s="3" t="str">
        <f t="shared" si="69"/>
        <v>03-Jul-2025</v>
      </c>
      <c r="F521" s="3">
        <f t="shared" si="70"/>
        <v>4</v>
      </c>
      <c r="G521" s="3" t="s">
        <v>2506</v>
      </c>
      <c r="H521" s="3" t="s">
        <v>150</v>
      </c>
      <c r="I521" s="3" t="s">
        <v>34</v>
      </c>
      <c r="J521" s="3" t="s">
        <v>35</v>
      </c>
      <c r="K521" s="3" t="s">
        <v>182</v>
      </c>
      <c r="L521" s="3" t="s">
        <v>183</v>
      </c>
      <c r="M521" s="3" t="s">
        <v>53</v>
      </c>
      <c r="N521" s="3" t="s">
        <v>54</v>
      </c>
      <c r="O521" s="3" t="s">
        <v>2507</v>
      </c>
      <c r="P521" s="3" t="s">
        <v>75</v>
      </c>
      <c r="Q521" s="3">
        <v>4</v>
      </c>
      <c r="R521" s="3">
        <v>4365.21</v>
      </c>
      <c r="S521" s="3">
        <v>0.2</v>
      </c>
      <c r="T521" s="3">
        <v>13968.67</v>
      </c>
      <c r="U521" s="3">
        <v>8857.58</v>
      </c>
      <c r="V521" s="3">
        <v>5111.09</v>
      </c>
      <c r="W521" s="3" t="s">
        <v>145</v>
      </c>
      <c r="X521" s="3" t="s">
        <v>86</v>
      </c>
      <c r="Y521" s="2" t="str">
        <f t="shared" si="71"/>
        <v>Unique</v>
      </c>
      <c r="AA521" s="2" t="str">
        <f t="shared" si="72"/>
        <v>Clean</v>
      </c>
      <c r="AB521" s="2" t="str">
        <f t="shared" si="73"/>
        <v>valid</v>
      </c>
      <c r="AC521">
        <f t="shared" si="74"/>
        <v>0.2</v>
      </c>
      <c r="AD521">
        <f t="shared" si="75"/>
        <v>13968.672</v>
      </c>
      <c r="AE521">
        <f t="shared" si="76"/>
        <v>5111.0920000000006</v>
      </c>
      <c r="AF521">
        <f t="shared" si="77"/>
        <v>0.36589677243477409</v>
      </c>
      <c r="AG521" t="str">
        <f t="shared" si="78"/>
        <v>July</v>
      </c>
      <c r="AH521">
        <f t="shared" si="79"/>
        <v>2025</v>
      </c>
      <c r="AI521" t="str">
        <f t="shared" si="80"/>
        <v>Warning</v>
      </c>
    </row>
    <row r="522" spans="1:35" ht="15.75" customHeight="1">
      <c r="A522" s="3" t="s">
        <v>2508</v>
      </c>
      <c r="B522" s="3" t="s">
        <v>1112</v>
      </c>
      <c r="C522" s="3" t="s">
        <v>2509</v>
      </c>
      <c r="D522" s="3" t="str">
        <f t="shared" si="68"/>
        <v>23-Jul-2024</v>
      </c>
      <c r="E522" s="3" t="str">
        <f t="shared" si="69"/>
        <v>16-Jul-2024</v>
      </c>
      <c r="F522" s="3">
        <f t="shared" si="70"/>
        <v>7</v>
      </c>
      <c r="G522" s="3" t="s">
        <v>2510</v>
      </c>
      <c r="H522" s="3" t="s">
        <v>170</v>
      </c>
      <c r="I522" s="3" t="s">
        <v>123</v>
      </c>
      <c r="J522" s="3" t="s">
        <v>70</v>
      </c>
      <c r="K522" s="3" t="s">
        <v>237</v>
      </c>
      <c r="L522" s="3" t="s">
        <v>238</v>
      </c>
      <c r="M522" s="3" t="s">
        <v>94</v>
      </c>
      <c r="N522" s="3" t="s">
        <v>391</v>
      </c>
      <c r="O522" s="3" t="s">
        <v>2511</v>
      </c>
      <c r="P522" s="3" t="s">
        <v>56</v>
      </c>
      <c r="Q522" s="3">
        <v>1</v>
      </c>
      <c r="R522" s="3">
        <v>1695.91</v>
      </c>
      <c r="S522" s="3">
        <v>0.05</v>
      </c>
      <c r="T522" s="3">
        <v>1611.11</v>
      </c>
      <c r="U522" s="3">
        <v>895.15</v>
      </c>
      <c r="V522" s="3">
        <v>715.96</v>
      </c>
      <c r="W522" s="3" t="s">
        <v>42</v>
      </c>
      <c r="X522" s="3" t="s">
        <v>43</v>
      </c>
      <c r="Y522" s="2" t="str">
        <f t="shared" si="71"/>
        <v>Unique</v>
      </c>
      <c r="AA522" s="2" t="str">
        <f t="shared" si="72"/>
        <v>Clean</v>
      </c>
      <c r="AB522" s="2" t="str">
        <f t="shared" si="73"/>
        <v>valid</v>
      </c>
      <c r="AC522">
        <f t="shared" si="74"/>
        <v>0.05</v>
      </c>
      <c r="AD522">
        <f t="shared" si="75"/>
        <v>1611.1144999999999</v>
      </c>
      <c r="AE522">
        <f t="shared" si="76"/>
        <v>715.96449999999993</v>
      </c>
      <c r="AF522">
        <f t="shared" si="77"/>
        <v>0.44439082386757739</v>
      </c>
      <c r="AG522" t="str">
        <f t="shared" si="78"/>
        <v>July</v>
      </c>
      <c r="AH522">
        <f t="shared" si="79"/>
        <v>2024</v>
      </c>
      <c r="AI522" t="str">
        <f t="shared" si="80"/>
        <v>Clean</v>
      </c>
    </row>
    <row r="523" spans="1:35" ht="15.75" customHeight="1">
      <c r="A523" s="3" t="s">
        <v>2512</v>
      </c>
      <c r="B523" s="3" t="s">
        <v>2513</v>
      </c>
      <c r="C523" s="3" t="s">
        <v>2514</v>
      </c>
      <c r="D523" s="3" t="str">
        <f t="shared" si="68"/>
        <v>01-Apr-2025</v>
      </c>
      <c r="E523" s="3" t="str">
        <f t="shared" si="69"/>
        <v>25-Mar-2025</v>
      </c>
      <c r="F523" s="3">
        <f t="shared" si="70"/>
        <v>7</v>
      </c>
      <c r="G523" s="3" t="s">
        <v>2515</v>
      </c>
      <c r="H523" s="3" t="s">
        <v>218</v>
      </c>
      <c r="I523" s="3" t="s">
        <v>34</v>
      </c>
      <c r="J523" s="3" t="s">
        <v>35</v>
      </c>
      <c r="K523" s="3" t="s">
        <v>162</v>
      </c>
      <c r="L523" s="3" t="s">
        <v>163</v>
      </c>
      <c r="M523" s="3" t="s">
        <v>38</v>
      </c>
      <c r="N523" s="3" t="s">
        <v>117</v>
      </c>
      <c r="O523" s="3" t="s">
        <v>2516</v>
      </c>
      <c r="P523" s="3" t="s">
        <v>41</v>
      </c>
      <c r="Q523" s="3">
        <v>6</v>
      </c>
      <c r="R523" s="3">
        <v>2192.11</v>
      </c>
      <c r="S523" s="3">
        <v>0.05</v>
      </c>
      <c r="T523" s="3">
        <v>12495.03</v>
      </c>
      <c r="U523" s="3">
        <v>9184.52</v>
      </c>
      <c r="V523" s="3">
        <v>3310.51</v>
      </c>
      <c r="W523" s="3" t="s">
        <v>42</v>
      </c>
      <c r="X523" s="3" t="s">
        <v>43</v>
      </c>
      <c r="Y523" s="2" t="str">
        <f t="shared" si="71"/>
        <v>Unique</v>
      </c>
      <c r="AA523" s="2" t="str">
        <f t="shared" si="72"/>
        <v>Clean</v>
      </c>
      <c r="AB523" s="2" t="str">
        <f t="shared" si="73"/>
        <v>valid</v>
      </c>
      <c r="AC523">
        <f t="shared" si="74"/>
        <v>0.05</v>
      </c>
      <c r="AD523">
        <f t="shared" si="75"/>
        <v>12495.027</v>
      </c>
      <c r="AE523">
        <f t="shared" si="76"/>
        <v>3310.5069999999996</v>
      </c>
      <c r="AF523">
        <f t="shared" si="77"/>
        <v>0.26494596610315446</v>
      </c>
      <c r="AG523" t="str">
        <f t="shared" si="78"/>
        <v>March</v>
      </c>
      <c r="AH523">
        <f t="shared" si="79"/>
        <v>2025</v>
      </c>
      <c r="AI523" t="str">
        <f t="shared" si="80"/>
        <v>Clean</v>
      </c>
    </row>
    <row r="524" spans="1:35" ht="15.75" customHeight="1">
      <c r="A524" s="3" t="s">
        <v>2517</v>
      </c>
      <c r="B524" s="3" t="s">
        <v>2518</v>
      </c>
      <c r="C524" s="3" t="s">
        <v>2316</v>
      </c>
      <c r="D524" s="3" t="str">
        <f t="shared" si="68"/>
        <v>08-Mar-2025</v>
      </c>
      <c r="E524" s="3" t="str">
        <f t="shared" si="69"/>
        <v>28-Feb-2025</v>
      </c>
      <c r="F524" s="3">
        <f t="shared" si="70"/>
        <v>8</v>
      </c>
      <c r="G524" s="3" t="s">
        <v>2519</v>
      </c>
      <c r="H524" s="3" t="s">
        <v>101</v>
      </c>
      <c r="I524" s="3" t="s">
        <v>49</v>
      </c>
      <c r="J524" s="3" t="s">
        <v>50</v>
      </c>
      <c r="K524" s="3" t="s">
        <v>319</v>
      </c>
      <c r="L524" s="3" t="s">
        <v>320</v>
      </c>
      <c r="M524" s="3" t="s">
        <v>94</v>
      </c>
      <c r="N524" s="3" t="s">
        <v>231</v>
      </c>
      <c r="O524" s="3" t="s">
        <v>2520</v>
      </c>
      <c r="P524" s="3" t="s">
        <v>64</v>
      </c>
      <c r="Q524" s="3">
        <v>9</v>
      </c>
      <c r="R524" s="3">
        <v>3670.54</v>
      </c>
      <c r="S524" s="3">
        <v>0</v>
      </c>
      <c r="T524" s="3">
        <v>33034.86</v>
      </c>
      <c r="U524" s="3">
        <v>24539.83</v>
      </c>
      <c r="V524" s="3">
        <v>8495.0300000000007</v>
      </c>
      <c r="W524" s="3" t="s">
        <v>42</v>
      </c>
      <c r="X524" s="3" t="s">
        <v>43</v>
      </c>
      <c r="Y524" s="2" t="str">
        <f t="shared" si="71"/>
        <v>Unique</v>
      </c>
      <c r="AA524" s="2" t="str">
        <f t="shared" si="72"/>
        <v>Clean</v>
      </c>
      <c r="AB524" s="2" t="str">
        <f t="shared" si="73"/>
        <v>valid</v>
      </c>
      <c r="AC524">
        <f t="shared" si="74"/>
        <v>0</v>
      </c>
      <c r="AD524">
        <f t="shared" si="75"/>
        <v>33034.86</v>
      </c>
      <c r="AE524">
        <f t="shared" si="76"/>
        <v>8495.0299999999988</v>
      </c>
      <c r="AF524">
        <f t="shared" si="77"/>
        <v>0.25715350390466307</v>
      </c>
      <c r="AG524" t="str">
        <f t="shared" si="78"/>
        <v>February</v>
      </c>
      <c r="AH524">
        <f t="shared" si="79"/>
        <v>2025</v>
      </c>
      <c r="AI524" t="str">
        <f t="shared" si="80"/>
        <v>Clean</v>
      </c>
    </row>
    <row r="525" spans="1:35" ht="15.75" customHeight="1">
      <c r="A525" s="3" t="s">
        <v>2521</v>
      </c>
      <c r="B525" s="3" t="s">
        <v>2522</v>
      </c>
      <c r="C525" s="3" t="s">
        <v>2523</v>
      </c>
      <c r="D525" s="3" t="str">
        <f t="shared" si="68"/>
        <v>03-Apr-2024</v>
      </c>
      <c r="E525" s="3" t="str">
        <f t="shared" si="69"/>
        <v>02-Apr-2024</v>
      </c>
      <c r="F525" s="3">
        <f t="shared" si="70"/>
        <v>1</v>
      </c>
      <c r="G525" s="3" t="s">
        <v>2524</v>
      </c>
      <c r="H525" s="3" t="s">
        <v>375</v>
      </c>
      <c r="I525" s="3" t="s">
        <v>123</v>
      </c>
      <c r="J525" s="3" t="s">
        <v>81</v>
      </c>
      <c r="K525" s="3" t="s">
        <v>257</v>
      </c>
      <c r="L525" s="3" t="s">
        <v>258</v>
      </c>
      <c r="M525" s="3" t="s">
        <v>38</v>
      </c>
      <c r="N525" s="3" t="s">
        <v>39</v>
      </c>
      <c r="O525" s="3" t="s">
        <v>2525</v>
      </c>
      <c r="P525" s="3" t="s">
        <v>41</v>
      </c>
      <c r="Q525" s="3">
        <v>2</v>
      </c>
      <c r="R525" s="3">
        <v>2902.63</v>
      </c>
      <c r="S525" s="3">
        <v>0</v>
      </c>
      <c r="T525" s="3">
        <v>5805.26</v>
      </c>
      <c r="U525" s="3">
        <v>4654.3599999999997</v>
      </c>
      <c r="V525" s="3">
        <v>1150.9000000000001</v>
      </c>
      <c r="W525" s="3" t="s">
        <v>42</v>
      </c>
      <c r="X525" s="3" t="s">
        <v>133</v>
      </c>
      <c r="Y525" s="2" t="str">
        <f t="shared" si="71"/>
        <v>Unique</v>
      </c>
      <c r="AA525" s="2" t="str">
        <f t="shared" si="72"/>
        <v>Clean</v>
      </c>
      <c r="AB525" s="2" t="str">
        <f t="shared" si="73"/>
        <v>valid</v>
      </c>
      <c r="AC525">
        <f t="shared" si="74"/>
        <v>0</v>
      </c>
      <c r="AD525">
        <f t="shared" si="75"/>
        <v>5805.26</v>
      </c>
      <c r="AE525">
        <f t="shared" si="76"/>
        <v>1150.9000000000005</v>
      </c>
      <c r="AF525">
        <f t="shared" si="77"/>
        <v>0.19825124111581574</v>
      </c>
      <c r="AG525" t="str">
        <f t="shared" si="78"/>
        <v>April</v>
      </c>
      <c r="AH525">
        <f t="shared" si="79"/>
        <v>2024</v>
      </c>
      <c r="AI525" t="str">
        <f t="shared" si="80"/>
        <v>Clean</v>
      </c>
    </row>
    <row r="526" spans="1:35" ht="15.75" customHeight="1">
      <c r="A526" s="3" t="s">
        <v>2526</v>
      </c>
      <c r="B526" s="3" t="s">
        <v>2527</v>
      </c>
      <c r="C526" s="3" t="s">
        <v>2528</v>
      </c>
      <c r="D526" s="3" t="str">
        <f t="shared" si="68"/>
        <v>01-Dec-2024</v>
      </c>
      <c r="E526" s="3" t="str">
        <f t="shared" si="69"/>
        <v>30-Nov-2024</v>
      </c>
      <c r="F526" s="3">
        <f t="shared" si="70"/>
        <v>1</v>
      </c>
      <c r="G526" s="3" t="s">
        <v>2529</v>
      </c>
      <c r="H526" s="3" t="s">
        <v>80</v>
      </c>
      <c r="I526" s="3" t="s">
        <v>116</v>
      </c>
      <c r="J526" s="3" t="s">
        <v>81</v>
      </c>
      <c r="K526" s="3" t="s">
        <v>243</v>
      </c>
      <c r="L526" s="3" t="s">
        <v>244</v>
      </c>
      <c r="M526" s="3" t="s">
        <v>53</v>
      </c>
      <c r="N526" s="3" t="s">
        <v>84</v>
      </c>
      <c r="O526" s="3" t="s">
        <v>2530</v>
      </c>
      <c r="P526" s="3" t="s">
        <v>64</v>
      </c>
      <c r="Q526" s="3">
        <v>9</v>
      </c>
      <c r="R526" s="3">
        <v>4207.3599999999997</v>
      </c>
      <c r="S526" s="3">
        <v>0.1</v>
      </c>
      <c r="T526" s="3">
        <v>34079.620000000003</v>
      </c>
      <c r="U526" s="3">
        <v>21871.39</v>
      </c>
      <c r="V526" s="3">
        <v>12208.23</v>
      </c>
      <c r="W526" s="3" t="s">
        <v>42</v>
      </c>
      <c r="X526" s="3" t="s">
        <v>43</v>
      </c>
      <c r="Y526" s="2" t="str">
        <f t="shared" si="71"/>
        <v>Unique</v>
      </c>
      <c r="AA526" s="2" t="str">
        <f t="shared" si="72"/>
        <v>Clean</v>
      </c>
      <c r="AB526" s="2" t="str">
        <f t="shared" si="73"/>
        <v>valid</v>
      </c>
      <c r="AC526">
        <f t="shared" si="74"/>
        <v>0.1</v>
      </c>
      <c r="AD526">
        <f t="shared" si="75"/>
        <v>34079.616000000002</v>
      </c>
      <c r="AE526">
        <f t="shared" si="76"/>
        <v>12208.226000000002</v>
      </c>
      <c r="AF526">
        <f t="shared" si="77"/>
        <v>0.35822663025311091</v>
      </c>
      <c r="AG526" t="str">
        <f t="shared" si="78"/>
        <v>November</v>
      </c>
      <c r="AH526">
        <f t="shared" si="79"/>
        <v>2024</v>
      </c>
      <c r="AI526" t="str">
        <f t="shared" si="80"/>
        <v>Clean</v>
      </c>
    </row>
    <row r="527" spans="1:35" ht="15.75" customHeight="1">
      <c r="A527" s="3" t="s">
        <v>2531</v>
      </c>
      <c r="B527" s="3" t="s">
        <v>2532</v>
      </c>
      <c r="C527" s="3" t="s">
        <v>2533</v>
      </c>
      <c r="D527" s="3" t="str">
        <f t="shared" si="68"/>
        <v>17-Oct-2024</v>
      </c>
      <c r="E527" s="3" t="str">
        <f t="shared" si="69"/>
        <v>17-Oct-2024</v>
      </c>
      <c r="F527" s="3">
        <f t="shared" si="70"/>
        <v>0</v>
      </c>
      <c r="G527" s="3" t="s">
        <v>2534</v>
      </c>
      <c r="H527" s="3" t="s">
        <v>150</v>
      </c>
      <c r="I527" s="3" t="s">
        <v>123</v>
      </c>
      <c r="J527" s="3" t="s">
        <v>50</v>
      </c>
      <c r="K527" s="3" t="s">
        <v>129</v>
      </c>
      <c r="L527" s="3" t="s">
        <v>130</v>
      </c>
      <c r="M527" s="3" t="s">
        <v>53</v>
      </c>
      <c r="N527" s="3" t="s">
        <v>84</v>
      </c>
      <c r="O527" s="3" t="s">
        <v>2535</v>
      </c>
      <c r="P527" s="3" t="s">
        <v>75</v>
      </c>
      <c r="Q527" s="3">
        <v>5</v>
      </c>
      <c r="R527" s="3">
        <v>2524.4</v>
      </c>
      <c r="S527" s="3">
        <v>0.1</v>
      </c>
      <c r="T527" s="3">
        <v>11359.8</v>
      </c>
      <c r="U527" s="3">
        <v>7062.44</v>
      </c>
      <c r="V527" s="3">
        <v>4297.3599999999997</v>
      </c>
      <c r="W527" s="3" t="s">
        <v>42</v>
      </c>
      <c r="X527" s="3" t="s">
        <v>43</v>
      </c>
      <c r="Y527" s="2" t="str">
        <f t="shared" si="71"/>
        <v>Unique</v>
      </c>
      <c r="AA527" s="2" t="str">
        <f t="shared" si="72"/>
        <v>Clean</v>
      </c>
      <c r="AB527" s="2" t="str">
        <f t="shared" si="73"/>
        <v>valid</v>
      </c>
      <c r="AC527">
        <f t="shared" si="74"/>
        <v>0.1</v>
      </c>
      <c r="AD527">
        <f t="shared" si="75"/>
        <v>11359.800000000001</v>
      </c>
      <c r="AE527">
        <f t="shared" si="76"/>
        <v>4297.3600000000015</v>
      </c>
      <c r="AF527">
        <f t="shared" si="77"/>
        <v>0.37829539252451638</v>
      </c>
      <c r="AG527" t="str">
        <f t="shared" si="78"/>
        <v>October</v>
      </c>
      <c r="AH527">
        <f t="shared" si="79"/>
        <v>2024</v>
      </c>
      <c r="AI527" t="str">
        <f t="shared" si="80"/>
        <v>Clean</v>
      </c>
    </row>
    <row r="528" spans="1:35" ht="15.75" customHeight="1">
      <c r="A528" s="3" t="s">
        <v>2536</v>
      </c>
      <c r="B528" s="3" t="s">
        <v>2537</v>
      </c>
      <c r="C528" s="3" t="s">
        <v>2538</v>
      </c>
      <c r="D528" s="3" t="str">
        <f t="shared" si="68"/>
        <v>21-Jul-2025</v>
      </c>
      <c r="E528" s="3" t="str">
        <f t="shared" si="69"/>
        <v>18-Jul-2025</v>
      </c>
      <c r="F528" s="3">
        <f t="shared" si="70"/>
        <v>3</v>
      </c>
      <c r="G528" s="3" t="s">
        <v>2539</v>
      </c>
      <c r="H528" s="3" t="s">
        <v>150</v>
      </c>
      <c r="I528" s="3" t="s">
        <v>34</v>
      </c>
      <c r="J528" s="3" t="s">
        <v>50</v>
      </c>
      <c r="K528" s="3" t="s">
        <v>51</v>
      </c>
      <c r="L528" s="3" t="s">
        <v>52</v>
      </c>
      <c r="M528" s="3" t="s">
        <v>53</v>
      </c>
      <c r="N528" s="3" t="s">
        <v>54</v>
      </c>
      <c r="O528" s="3" t="s">
        <v>2540</v>
      </c>
      <c r="P528" s="3" t="s">
        <v>41</v>
      </c>
      <c r="Q528" s="3">
        <v>4</v>
      </c>
      <c r="R528" s="3">
        <v>284.04000000000002</v>
      </c>
      <c r="S528" s="3">
        <v>0</v>
      </c>
      <c r="T528" s="3">
        <v>908.93</v>
      </c>
      <c r="U528" s="3">
        <v>572.08000000000004</v>
      </c>
      <c r="V528" s="3">
        <v>336.85</v>
      </c>
      <c r="W528" s="3" t="s">
        <v>42</v>
      </c>
      <c r="X528" s="3" t="s">
        <v>43</v>
      </c>
      <c r="Y528" s="4" t="str">
        <f t="shared" si="71"/>
        <v>Unique</v>
      </c>
      <c r="AA528" s="2" t="str">
        <f t="shared" si="72"/>
        <v>Clean</v>
      </c>
      <c r="AB528" s="2" t="str">
        <f t="shared" si="73"/>
        <v>valid</v>
      </c>
      <c r="AC528">
        <f t="shared" si="74"/>
        <v>0</v>
      </c>
      <c r="AD528">
        <f t="shared" si="75"/>
        <v>1136.1600000000001</v>
      </c>
      <c r="AE528">
        <f t="shared" si="76"/>
        <v>564.08000000000004</v>
      </c>
      <c r="AF528">
        <f t="shared" si="77"/>
        <v>0.49647936910294327</v>
      </c>
      <c r="AG528" t="str">
        <f t="shared" si="78"/>
        <v>July</v>
      </c>
      <c r="AH528">
        <f t="shared" si="79"/>
        <v>2025</v>
      </c>
      <c r="AI528" t="str">
        <f t="shared" si="80"/>
        <v>Clean</v>
      </c>
    </row>
    <row r="529" spans="1:35" ht="15.75" customHeight="1">
      <c r="A529" s="3" t="s">
        <v>2541</v>
      </c>
      <c r="B529" s="3" t="s">
        <v>2542</v>
      </c>
      <c r="C529" s="3" t="s">
        <v>2543</v>
      </c>
      <c r="D529" s="3" t="str">
        <f t="shared" si="68"/>
        <v>05-Oct-2025</v>
      </c>
      <c r="E529" s="3" t="str">
        <f t="shared" si="69"/>
        <v>01-Oct-2025</v>
      </c>
      <c r="F529" s="3">
        <f t="shared" si="70"/>
        <v>4</v>
      </c>
      <c r="G529" s="3" t="s">
        <v>2544</v>
      </c>
      <c r="H529" s="3" t="s">
        <v>115</v>
      </c>
      <c r="I529" s="3" t="s">
        <v>123</v>
      </c>
      <c r="J529" s="3" t="s">
        <v>35</v>
      </c>
      <c r="K529" s="3" t="s">
        <v>331</v>
      </c>
      <c r="L529" s="3" t="s">
        <v>332</v>
      </c>
      <c r="M529" s="3" t="s">
        <v>38</v>
      </c>
      <c r="N529" s="3" t="s">
        <v>39</v>
      </c>
      <c r="O529" s="3" t="s">
        <v>2545</v>
      </c>
      <c r="P529" s="3" t="s">
        <v>64</v>
      </c>
      <c r="Q529" s="3">
        <v>5</v>
      </c>
      <c r="R529" s="3">
        <v>3247.56</v>
      </c>
      <c r="S529" s="3">
        <v>0.15</v>
      </c>
      <c r="T529" s="3">
        <v>13802.13</v>
      </c>
      <c r="U529" s="3">
        <v>10075.93</v>
      </c>
      <c r="V529" s="3">
        <v>3726.2</v>
      </c>
      <c r="W529" s="3" t="s">
        <v>42</v>
      </c>
      <c r="X529" s="3" t="s">
        <v>43</v>
      </c>
      <c r="Y529" s="2" t="str">
        <f t="shared" si="71"/>
        <v>Unique</v>
      </c>
      <c r="AA529" s="2" t="str">
        <f t="shared" si="72"/>
        <v>Clean</v>
      </c>
      <c r="AB529" s="2" t="str">
        <f t="shared" si="73"/>
        <v>valid</v>
      </c>
      <c r="AC529">
        <f t="shared" si="74"/>
        <v>0.15</v>
      </c>
      <c r="AD529">
        <f t="shared" si="75"/>
        <v>13802.13</v>
      </c>
      <c r="AE529">
        <f t="shared" si="76"/>
        <v>3726.1999999999989</v>
      </c>
      <c r="AF529">
        <f t="shared" si="77"/>
        <v>0.26997282303528508</v>
      </c>
      <c r="AG529" t="str">
        <f t="shared" si="78"/>
        <v>October</v>
      </c>
      <c r="AH529">
        <f t="shared" si="79"/>
        <v>2025</v>
      </c>
      <c r="AI529" t="str">
        <f t="shared" si="80"/>
        <v>Clean</v>
      </c>
    </row>
    <row r="530" spans="1:35" ht="15.75" customHeight="1">
      <c r="A530" s="3" t="s">
        <v>2546</v>
      </c>
      <c r="B530" s="3" t="s">
        <v>2547</v>
      </c>
      <c r="C530" s="3" t="s">
        <v>2548</v>
      </c>
      <c r="D530" s="3" t="str">
        <f t="shared" si="68"/>
        <v>09-Oct-2024</v>
      </c>
      <c r="E530" s="3" t="str">
        <f t="shared" si="69"/>
        <v>07-Oct-2024</v>
      </c>
      <c r="F530" s="3">
        <f t="shared" si="70"/>
        <v>2</v>
      </c>
      <c r="G530" s="3" t="s">
        <v>2549</v>
      </c>
      <c r="H530" s="3" t="s">
        <v>218</v>
      </c>
      <c r="I530" s="3" t="s">
        <v>34</v>
      </c>
      <c r="J530" s="3" t="s">
        <v>70</v>
      </c>
      <c r="K530" s="3" t="s">
        <v>347</v>
      </c>
      <c r="L530" s="3" t="s">
        <v>348</v>
      </c>
      <c r="M530" s="3" t="s">
        <v>38</v>
      </c>
      <c r="N530" s="3" t="s">
        <v>206</v>
      </c>
      <c r="O530" s="3" t="s">
        <v>2550</v>
      </c>
      <c r="P530" s="3" t="s">
        <v>75</v>
      </c>
      <c r="Q530" s="3">
        <v>9</v>
      </c>
      <c r="R530" s="3">
        <v>3457.09</v>
      </c>
      <c r="S530" s="3">
        <v>0.05</v>
      </c>
      <c r="T530" s="3">
        <v>29558.12</v>
      </c>
      <c r="U530" s="3">
        <v>21302.13</v>
      </c>
      <c r="V530" s="3">
        <v>8255.99</v>
      </c>
      <c r="W530" s="3" t="s">
        <v>145</v>
      </c>
      <c r="X530" s="3" t="s">
        <v>133</v>
      </c>
      <c r="Y530" s="2" t="str">
        <f t="shared" si="71"/>
        <v>Unique</v>
      </c>
      <c r="AA530" s="2" t="str">
        <f t="shared" si="72"/>
        <v>Clean</v>
      </c>
      <c r="AB530" s="2" t="str">
        <f t="shared" si="73"/>
        <v>valid</v>
      </c>
      <c r="AC530">
        <f t="shared" si="74"/>
        <v>0.05</v>
      </c>
      <c r="AD530">
        <f t="shared" si="75"/>
        <v>29558.119500000001</v>
      </c>
      <c r="AE530">
        <f t="shared" si="76"/>
        <v>8255.9894999999997</v>
      </c>
      <c r="AF530">
        <f t="shared" si="77"/>
        <v>0.27931376013281223</v>
      </c>
      <c r="AG530" t="str">
        <f t="shared" si="78"/>
        <v>October</v>
      </c>
      <c r="AH530">
        <f t="shared" si="79"/>
        <v>2024</v>
      </c>
      <c r="AI530" t="str">
        <f t="shared" si="80"/>
        <v>Clean</v>
      </c>
    </row>
    <row r="531" spans="1:35" ht="15.75" customHeight="1">
      <c r="A531" s="3" t="s">
        <v>2551</v>
      </c>
      <c r="B531" s="3" t="s">
        <v>2272</v>
      </c>
      <c r="C531" s="3" t="s">
        <v>2552</v>
      </c>
      <c r="D531" s="3" t="str">
        <f t="shared" si="68"/>
        <v>08-Feb-2024</v>
      </c>
      <c r="E531" s="3" t="str">
        <f t="shared" si="69"/>
        <v>06-Feb-2024</v>
      </c>
      <c r="F531" s="3">
        <f t="shared" si="70"/>
        <v>2</v>
      </c>
      <c r="G531" s="3" t="s">
        <v>1113</v>
      </c>
      <c r="H531" s="3" t="s">
        <v>33</v>
      </c>
      <c r="I531" s="3" t="s">
        <v>34</v>
      </c>
      <c r="J531" s="3" t="s">
        <v>50</v>
      </c>
      <c r="K531" s="3" t="s">
        <v>319</v>
      </c>
      <c r="L531" s="3" t="s">
        <v>320</v>
      </c>
      <c r="M531" s="3" t="s">
        <v>53</v>
      </c>
      <c r="N531" s="3" t="s">
        <v>212</v>
      </c>
      <c r="O531" s="3" t="s">
        <v>2553</v>
      </c>
      <c r="P531" s="3" t="s">
        <v>41</v>
      </c>
      <c r="Q531" s="3">
        <v>9</v>
      </c>
      <c r="R531" s="3">
        <v>1822.25</v>
      </c>
      <c r="S531" s="3">
        <v>0</v>
      </c>
      <c r="T531" s="3">
        <v>16400.25</v>
      </c>
      <c r="U531" s="3">
        <v>12146.96</v>
      </c>
      <c r="V531" s="3">
        <v>4253.29</v>
      </c>
      <c r="W531" s="3" t="s">
        <v>42</v>
      </c>
      <c r="X531" s="3" t="s">
        <v>43</v>
      </c>
      <c r="Y531" s="2" t="str">
        <f t="shared" si="71"/>
        <v>Unique</v>
      </c>
      <c r="AA531" s="2" t="str">
        <f t="shared" si="72"/>
        <v>Clean</v>
      </c>
      <c r="AB531" s="2" t="str">
        <f t="shared" si="73"/>
        <v>valid</v>
      </c>
      <c r="AC531">
        <f t="shared" si="74"/>
        <v>0</v>
      </c>
      <c r="AD531">
        <f t="shared" si="75"/>
        <v>16400.25</v>
      </c>
      <c r="AE531">
        <f t="shared" si="76"/>
        <v>4253.2900000000009</v>
      </c>
      <c r="AF531">
        <f t="shared" si="77"/>
        <v>0.25934299782015524</v>
      </c>
      <c r="AG531" t="str">
        <f t="shared" si="78"/>
        <v>February</v>
      </c>
      <c r="AH531">
        <f t="shared" si="79"/>
        <v>2024</v>
      </c>
      <c r="AI531" t="str">
        <f t="shared" si="80"/>
        <v>Clean</v>
      </c>
    </row>
    <row r="532" spans="1:35" ht="15.75" customHeight="1">
      <c r="A532" s="3" t="s">
        <v>2554</v>
      </c>
      <c r="B532" s="3" t="s">
        <v>2555</v>
      </c>
      <c r="C532" s="3" t="s">
        <v>2556</v>
      </c>
      <c r="D532" s="3" t="str">
        <f t="shared" si="68"/>
        <v>01-Jun-2025</v>
      </c>
      <c r="E532" s="3" t="str">
        <f t="shared" si="69"/>
        <v>30-May-2025</v>
      </c>
      <c r="F532" s="3">
        <f t="shared" si="70"/>
        <v>2</v>
      </c>
      <c r="G532" s="3" t="s">
        <v>2557</v>
      </c>
      <c r="H532" s="3" t="s">
        <v>156</v>
      </c>
      <c r="I532" s="3" t="s">
        <v>123</v>
      </c>
      <c r="J532" s="3" t="s">
        <v>70</v>
      </c>
      <c r="K532" s="3" t="s">
        <v>347</v>
      </c>
      <c r="L532" s="3" t="s">
        <v>348</v>
      </c>
      <c r="M532" s="3" t="s">
        <v>38</v>
      </c>
      <c r="N532" s="3" t="s">
        <v>206</v>
      </c>
      <c r="O532" s="3" t="s">
        <v>2558</v>
      </c>
      <c r="P532" s="3" t="s">
        <v>75</v>
      </c>
      <c r="Q532" s="3">
        <v>9</v>
      </c>
      <c r="R532" s="3">
        <v>1994.51</v>
      </c>
      <c r="S532" s="3">
        <v>0.05</v>
      </c>
      <c r="T532" s="3">
        <v>17053.060000000001</v>
      </c>
      <c r="U532" s="3">
        <v>10742.38</v>
      </c>
      <c r="V532" s="3">
        <v>6310.68</v>
      </c>
      <c r="W532" s="3" t="s">
        <v>42</v>
      </c>
      <c r="X532" s="3" t="s">
        <v>43</v>
      </c>
      <c r="Y532" s="2" t="str">
        <f t="shared" si="71"/>
        <v>Unique</v>
      </c>
      <c r="AA532" s="2" t="str">
        <f t="shared" si="72"/>
        <v>Clean</v>
      </c>
      <c r="AB532" s="2" t="str">
        <f t="shared" si="73"/>
        <v>valid</v>
      </c>
      <c r="AC532">
        <f t="shared" si="74"/>
        <v>0.05</v>
      </c>
      <c r="AD532">
        <f t="shared" si="75"/>
        <v>17053.0605</v>
      </c>
      <c r="AE532">
        <f t="shared" si="76"/>
        <v>6310.6805000000004</v>
      </c>
      <c r="AF532">
        <f t="shared" si="77"/>
        <v>0.37006146198801093</v>
      </c>
      <c r="AG532" t="str">
        <f t="shared" si="78"/>
        <v>May</v>
      </c>
      <c r="AH532">
        <f t="shared" si="79"/>
        <v>2025</v>
      </c>
      <c r="AI532" t="str">
        <f t="shared" si="80"/>
        <v>Clean</v>
      </c>
    </row>
    <row r="533" spans="1:35" ht="15.75" customHeight="1">
      <c r="A533" s="3" t="s">
        <v>2559</v>
      </c>
      <c r="B533" s="3" t="s">
        <v>1298</v>
      </c>
      <c r="C533" s="3" t="s">
        <v>2560</v>
      </c>
      <c r="D533" s="3" t="str">
        <f t="shared" si="68"/>
        <v>08-Aug-2024</v>
      </c>
      <c r="E533" s="3" t="str">
        <f t="shared" si="69"/>
        <v>01-Aug-2024</v>
      </c>
      <c r="F533" s="3">
        <f t="shared" si="70"/>
        <v>7</v>
      </c>
      <c r="G533" s="3" t="s">
        <v>2561</v>
      </c>
      <c r="H533" s="3" t="s">
        <v>218</v>
      </c>
      <c r="I533" s="3" t="s">
        <v>49</v>
      </c>
      <c r="J533" s="3" t="s">
        <v>81</v>
      </c>
      <c r="K533" s="3" t="s">
        <v>82</v>
      </c>
      <c r="L533" s="3" t="s">
        <v>83</v>
      </c>
      <c r="M533" s="3" t="s">
        <v>38</v>
      </c>
      <c r="N533" s="3" t="s">
        <v>164</v>
      </c>
      <c r="O533" s="3" t="s">
        <v>2562</v>
      </c>
      <c r="P533" s="3" t="s">
        <v>280</v>
      </c>
      <c r="Q533" s="3">
        <v>1</v>
      </c>
      <c r="R533" s="3">
        <v>442.97</v>
      </c>
      <c r="S533" s="3">
        <v>0.1</v>
      </c>
      <c r="T533" s="3">
        <v>398.67</v>
      </c>
      <c r="U533" s="3">
        <v>311.66000000000003</v>
      </c>
      <c r="V533" s="3">
        <v>87.01</v>
      </c>
      <c r="W533" s="3" t="s">
        <v>42</v>
      </c>
      <c r="X533" s="3" t="s">
        <v>43</v>
      </c>
      <c r="Y533" s="2" t="str">
        <f t="shared" si="71"/>
        <v>Unique</v>
      </c>
      <c r="AA533" s="2" t="str">
        <f t="shared" si="72"/>
        <v>Clean</v>
      </c>
      <c r="AB533" s="2" t="str">
        <f t="shared" si="73"/>
        <v>valid</v>
      </c>
      <c r="AC533">
        <f t="shared" si="74"/>
        <v>0.1</v>
      </c>
      <c r="AD533">
        <f t="shared" si="75"/>
        <v>398.67300000000006</v>
      </c>
      <c r="AE533">
        <f t="shared" si="76"/>
        <v>87.013000000000034</v>
      </c>
      <c r="AF533">
        <f t="shared" si="77"/>
        <v>0.21825656615822997</v>
      </c>
      <c r="AG533" t="str">
        <f t="shared" si="78"/>
        <v>August</v>
      </c>
      <c r="AH533">
        <f t="shared" si="79"/>
        <v>2024</v>
      </c>
      <c r="AI533" t="str">
        <f t="shared" si="80"/>
        <v>Clean</v>
      </c>
    </row>
    <row r="534" spans="1:35" ht="15.75" customHeight="1">
      <c r="A534" s="3" t="s">
        <v>2563</v>
      </c>
      <c r="B534" s="3" t="s">
        <v>2543</v>
      </c>
      <c r="C534" s="3" t="s">
        <v>316</v>
      </c>
      <c r="D534" s="3" t="str">
        <f t="shared" si="68"/>
        <v>10-Oct-2025</v>
      </c>
      <c r="E534" s="3" t="str">
        <f t="shared" si="69"/>
        <v>05-Oct-2025</v>
      </c>
      <c r="F534" s="3">
        <f t="shared" si="70"/>
        <v>5</v>
      </c>
      <c r="G534" s="3" t="s">
        <v>2564</v>
      </c>
      <c r="H534" s="3" t="s">
        <v>150</v>
      </c>
      <c r="I534" s="3" t="s">
        <v>116</v>
      </c>
      <c r="J534" s="3" t="s">
        <v>50</v>
      </c>
      <c r="K534" s="3" t="s">
        <v>224</v>
      </c>
      <c r="L534" s="3" t="s">
        <v>225</v>
      </c>
      <c r="M534" s="3" t="s">
        <v>53</v>
      </c>
      <c r="N534" s="3" t="s">
        <v>54</v>
      </c>
      <c r="O534" s="3" t="s">
        <v>2565</v>
      </c>
      <c r="P534" s="3" t="s">
        <v>41</v>
      </c>
      <c r="Q534" s="3">
        <v>9</v>
      </c>
      <c r="R534" s="3">
        <v>2089.14</v>
      </c>
      <c r="S534" s="3">
        <v>0.05</v>
      </c>
      <c r="T534" s="3">
        <v>17862.150000000001</v>
      </c>
      <c r="U534" s="3">
        <v>9892.2099999999991</v>
      </c>
      <c r="V534" s="3">
        <v>7969.94</v>
      </c>
      <c r="W534" s="3" t="s">
        <v>208</v>
      </c>
      <c r="X534" s="3" t="s">
        <v>86</v>
      </c>
      <c r="Y534" s="2" t="str">
        <f t="shared" si="71"/>
        <v>Unique</v>
      </c>
      <c r="AA534" s="2" t="str">
        <f t="shared" si="72"/>
        <v>Clean</v>
      </c>
      <c r="AB534" s="2" t="str">
        <f t="shared" si="73"/>
        <v>valid</v>
      </c>
      <c r="AC534">
        <f t="shared" si="74"/>
        <v>0.05</v>
      </c>
      <c r="AD534">
        <f t="shared" si="75"/>
        <v>17862.146999999997</v>
      </c>
      <c r="AE534">
        <f t="shared" si="76"/>
        <v>7969.9369999999981</v>
      </c>
      <c r="AF534">
        <f t="shared" si="77"/>
        <v>0.44619143488182017</v>
      </c>
      <c r="AG534" t="str">
        <f t="shared" si="78"/>
        <v>October</v>
      </c>
      <c r="AH534">
        <f t="shared" si="79"/>
        <v>2025</v>
      </c>
      <c r="AI534" t="str">
        <f t="shared" si="80"/>
        <v>Warning</v>
      </c>
    </row>
    <row r="535" spans="1:35" ht="15.75" customHeight="1">
      <c r="A535" s="3" t="s">
        <v>2566</v>
      </c>
      <c r="B535" s="3" t="s">
        <v>2567</v>
      </c>
      <c r="C535" s="3" t="s">
        <v>404</v>
      </c>
      <c r="D535" s="3" t="str">
        <f t="shared" si="68"/>
        <v>01-Sep-2024</v>
      </c>
      <c r="E535" s="3" t="str">
        <f t="shared" si="69"/>
        <v>25-Aug-2024</v>
      </c>
      <c r="F535" s="3">
        <f t="shared" si="70"/>
        <v>7</v>
      </c>
      <c r="G535" s="3" t="s">
        <v>2568</v>
      </c>
      <c r="H535" s="3" t="s">
        <v>61</v>
      </c>
      <c r="I535" s="3" t="s">
        <v>123</v>
      </c>
      <c r="J535" s="3" t="s">
        <v>35</v>
      </c>
      <c r="K535" s="3" t="s">
        <v>36</v>
      </c>
      <c r="L535" s="3" t="s">
        <v>37</v>
      </c>
      <c r="M535" s="3" t="s">
        <v>53</v>
      </c>
      <c r="N535" s="3" t="s">
        <v>54</v>
      </c>
      <c r="O535" s="3" t="s">
        <v>2569</v>
      </c>
      <c r="P535" s="3" t="s">
        <v>56</v>
      </c>
      <c r="Q535" s="3">
        <v>6</v>
      </c>
      <c r="R535" s="3">
        <v>481.3</v>
      </c>
      <c r="S535" s="3">
        <v>0.25</v>
      </c>
      <c r="T535" s="3">
        <v>2165.85</v>
      </c>
      <c r="U535" s="3">
        <v>2124.48</v>
      </c>
      <c r="V535" s="3">
        <v>430.45</v>
      </c>
      <c r="W535" s="3" t="s">
        <v>42</v>
      </c>
      <c r="X535" s="3" t="s">
        <v>43</v>
      </c>
      <c r="Y535" s="2" t="str">
        <f t="shared" si="71"/>
        <v>Unique</v>
      </c>
      <c r="AA535" s="2" t="str">
        <f t="shared" si="72"/>
        <v>Clean</v>
      </c>
      <c r="AB535" s="2" t="str">
        <f t="shared" si="73"/>
        <v>valid</v>
      </c>
      <c r="AC535">
        <f t="shared" si="74"/>
        <v>0.25</v>
      </c>
      <c r="AD535">
        <f t="shared" si="75"/>
        <v>2165.8500000000004</v>
      </c>
      <c r="AE535">
        <f t="shared" si="76"/>
        <v>41.370000000000346</v>
      </c>
      <c r="AF535">
        <f t="shared" si="77"/>
        <v>1.91010457787937E-2</v>
      </c>
      <c r="AG535" t="str">
        <f t="shared" si="78"/>
        <v>August</v>
      </c>
      <c r="AH535">
        <f t="shared" si="79"/>
        <v>2024</v>
      </c>
      <c r="AI535" t="str">
        <f t="shared" si="80"/>
        <v>Clean</v>
      </c>
    </row>
    <row r="536" spans="1:35" ht="15.75" customHeight="1">
      <c r="A536" s="3" t="s">
        <v>2570</v>
      </c>
      <c r="B536" s="3" t="s">
        <v>2571</v>
      </c>
      <c r="C536" s="3" t="s">
        <v>2572</v>
      </c>
      <c r="D536" s="3" t="str">
        <f t="shared" si="68"/>
        <v>05-May-2025</v>
      </c>
      <c r="E536" s="3" t="str">
        <f t="shared" si="69"/>
        <v>27-Apr-2025</v>
      </c>
      <c r="F536" s="3">
        <f t="shared" si="70"/>
        <v>8</v>
      </c>
      <c r="G536" s="3" t="s">
        <v>2573</v>
      </c>
      <c r="H536" s="3" t="s">
        <v>188</v>
      </c>
      <c r="I536" s="3" t="s">
        <v>123</v>
      </c>
      <c r="J536" s="3" t="s">
        <v>50</v>
      </c>
      <c r="K536" s="3" t="s">
        <v>194</v>
      </c>
      <c r="L536" s="3" t="s">
        <v>195</v>
      </c>
      <c r="M536" s="3" t="s">
        <v>94</v>
      </c>
      <c r="N536" s="3" t="s">
        <v>95</v>
      </c>
      <c r="O536" s="3" t="s">
        <v>2574</v>
      </c>
      <c r="P536" s="3" t="s">
        <v>41</v>
      </c>
      <c r="Q536" s="3">
        <v>4</v>
      </c>
      <c r="R536" s="3">
        <v>3963.39</v>
      </c>
      <c r="S536" s="3">
        <v>0.1</v>
      </c>
      <c r="T536" s="3">
        <v>14268.2</v>
      </c>
      <c r="U536" s="3">
        <v>11705.3</v>
      </c>
      <c r="V536" s="3">
        <v>2562.9</v>
      </c>
      <c r="W536" s="3" t="s">
        <v>145</v>
      </c>
      <c r="X536" s="3" t="s">
        <v>133</v>
      </c>
      <c r="Y536" s="2" t="str">
        <f t="shared" si="71"/>
        <v>Unique</v>
      </c>
      <c r="AA536" s="2" t="str">
        <f t="shared" si="72"/>
        <v>Clean</v>
      </c>
      <c r="AB536" s="2" t="str">
        <f t="shared" si="73"/>
        <v>valid</v>
      </c>
      <c r="AC536">
        <f t="shared" si="74"/>
        <v>0.1</v>
      </c>
      <c r="AD536">
        <f t="shared" si="75"/>
        <v>14268.204</v>
      </c>
      <c r="AE536">
        <f t="shared" si="76"/>
        <v>2562.9040000000005</v>
      </c>
      <c r="AF536">
        <f t="shared" si="77"/>
        <v>0.17962344805274724</v>
      </c>
      <c r="AG536" t="str">
        <f t="shared" si="78"/>
        <v>April</v>
      </c>
      <c r="AH536">
        <f t="shared" si="79"/>
        <v>2025</v>
      </c>
      <c r="AI536" t="str">
        <f t="shared" si="80"/>
        <v>Clean</v>
      </c>
    </row>
    <row r="537" spans="1:35" ht="15.75" customHeight="1">
      <c r="A537" s="3" t="s">
        <v>2575</v>
      </c>
      <c r="B537" s="3" t="s">
        <v>2576</v>
      </c>
      <c r="C537" s="3" t="s">
        <v>2577</v>
      </c>
      <c r="D537" s="3" t="str">
        <f t="shared" si="68"/>
        <v>21-May-2024</v>
      </c>
      <c r="E537" s="3" t="str">
        <f t="shared" si="69"/>
        <v>19-May-2024</v>
      </c>
      <c r="F537" s="3">
        <f t="shared" si="70"/>
        <v>2</v>
      </c>
      <c r="G537" s="3" t="s">
        <v>2578</v>
      </c>
      <c r="H537" s="3" t="s">
        <v>218</v>
      </c>
      <c r="I537" s="3" t="s">
        <v>49</v>
      </c>
      <c r="J537" s="3" t="s">
        <v>81</v>
      </c>
      <c r="K537" s="3" t="s">
        <v>82</v>
      </c>
      <c r="L537" s="3" t="s">
        <v>83</v>
      </c>
      <c r="M537" s="3" t="s">
        <v>94</v>
      </c>
      <c r="N537" s="3" t="s">
        <v>102</v>
      </c>
      <c r="O537" s="3" t="s">
        <v>2579</v>
      </c>
      <c r="P537" s="3" t="s">
        <v>64</v>
      </c>
      <c r="Q537" s="3">
        <v>3</v>
      </c>
      <c r="R537" s="3">
        <v>4000.98</v>
      </c>
      <c r="S537" s="3">
        <v>0.2</v>
      </c>
      <c r="T537" s="3">
        <v>9602.35</v>
      </c>
      <c r="U537" s="3">
        <v>7387.57</v>
      </c>
      <c r="V537" s="3">
        <v>2214.7800000000002</v>
      </c>
      <c r="W537" s="3" t="s">
        <v>42</v>
      </c>
      <c r="X537" s="3" t="s">
        <v>43</v>
      </c>
      <c r="Y537" s="2" t="str">
        <f t="shared" si="71"/>
        <v>Unique</v>
      </c>
      <c r="AA537" s="2" t="str">
        <f t="shared" si="72"/>
        <v>Clean</v>
      </c>
      <c r="AB537" s="2" t="str">
        <f t="shared" si="73"/>
        <v>valid</v>
      </c>
      <c r="AC537">
        <f t="shared" si="74"/>
        <v>0.2</v>
      </c>
      <c r="AD537">
        <f t="shared" si="75"/>
        <v>9602.3520000000008</v>
      </c>
      <c r="AE537">
        <f t="shared" si="76"/>
        <v>2214.7820000000011</v>
      </c>
      <c r="AF537">
        <f t="shared" si="77"/>
        <v>0.23064994909580494</v>
      </c>
      <c r="AG537" t="str">
        <f t="shared" si="78"/>
        <v>May</v>
      </c>
      <c r="AH537">
        <f t="shared" si="79"/>
        <v>2024</v>
      </c>
      <c r="AI537" t="str">
        <f t="shared" si="80"/>
        <v>Clean</v>
      </c>
    </row>
    <row r="538" spans="1:35" ht="15.75" customHeight="1">
      <c r="A538" s="3" t="s">
        <v>2580</v>
      </c>
      <c r="B538" s="3" t="s">
        <v>2581</v>
      </c>
      <c r="C538" s="3" t="s">
        <v>2582</v>
      </c>
      <c r="D538" s="3" t="str">
        <f t="shared" si="68"/>
        <v>17-Apr-2025</v>
      </c>
      <c r="E538" s="3" t="str">
        <f t="shared" si="69"/>
        <v>10-Apr-2025</v>
      </c>
      <c r="F538" s="3">
        <f t="shared" si="70"/>
        <v>7</v>
      </c>
      <c r="G538" s="3" t="s">
        <v>2583</v>
      </c>
      <c r="H538" s="3" t="s">
        <v>80</v>
      </c>
      <c r="I538" s="3" t="s">
        <v>49</v>
      </c>
      <c r="J538" s="3" t="s">
        <v>81</v>
      </c>
      <c r="K538" s="3" t="s">
        <v>36</v>
      </c>
      <c r="L538" s="3" t="s">
        <v>143</v>
      </c>
      <c r="M538" s="3" t="s">
        <v>53</v>
      </c>
      <c r="N538" s="3" t="s">
        <v>84</v>
      </c>
      <c r="O538" s="3" t="s">
        <v>2584</v>
      </c>
      <c r="P538" s="3" t="s">
        <v>64</v>
      </c>
      <c r="Q538" s="3">
        <v>7</v>
      </c>
      <c r="R538" s="3">
        <v>3788.9</v>
      </c>
      <c r="S538" s="3">
        <v>0.25</v>
      </c>
      <c r="T538" s="3">
        <v>19891.72</v>
      </c>
      <c r="U538" s="3">
        <v>12295.76</v>
      </c>
      <c r="V538" s="3">
        <v>7595.96</v>
      </c>
      <c r="W538" s="3" t="s">
        <v>208</v>
      </c>
      <c r="X538" s="3" t="s">
        <v>86</v>
      </c>
      <c r="Y538" s="2" t="str">
        <f t="shared" si="71"/>
        <v>Unique</v>
      </c>
      <c r="AA538" s="2" t="str">
        <f t="shared" si="72"/>
        <v>Clean</v>
      </c>
      <c r="AB538" s="2" t="str">
        <f t="shared" si="73"/>
        <v>valid</v>
      </c>
      <c r="AC538">
        <f t="shared" si="74"/>
        <v>0.25</v>
      </c>
      <c r="AD538">
        <f t="shared" si="75"/>
        <v>19891.724999999999</v>
      </c>
      <c r="AE538">
        <f t="shared" si="76"/>
        <v>7595.9649999999983</v>
      </c>
      <c r="AF538">
        <f t="shared" si="77"/>
        <v>0.38186557475533162</v>
      </c>
      <c r="AG538" t="str">
        <f t="shared" si="78"/>
        <v>April</v>
      </c>
      <c r="AH538">
        <f t="shared" si="79"/>
        <v>2025</v>
      </c>
      <c r="AI538" t="str">
        <f t="shared" si="80"/>
        <v>Warning</v>
      </c>
    </row>
    <row r="539" spans="1:35" ht="15.75" customHeight="1">
      <c r="A539" s="3" t="s">
        <v>2585</v>
      </c>
      <c r="B539" s="3" t="s">
        <v>2031</v>
      </c>
      <c r="C539" s="3" t="s">
        <v>2586</v>
      </c>
      <c r="D539" s="3" t="str">
        <f t="shared" si="68"/>
        <v>30-Jan-2024</v>
      </c>
      <c r="E539" s="3" t="str">
        <f t="shared" si="69"/>
        <v>22-Jan-2024</v>
      </c>
      <c r="F539" s="3">
        <f t="shared" si="70"/>
        <v>8</v>
      </c>
      <c r="G539" s="3" t="s">
        <v>2587</v>
      </c>
      <c r="H539" s="3" t="s">
        <v>80</v>
      </c>
      <c r="I539" s="3" t="s">
        <v>49</v>
      </c>
      <c r="J539" s="3" t="s">
        <v>35</v>
      </c>
      <c r="K539" s="3" t="s">
        <v>331</v>
      </c>
      <c r="L539" s="3" t="s">
        <v>332</v>
      </c>
      <c r="M539" s="3" t="s">
        <v>38</v>
      </c>
      <c r="N539" s="3" t="s">
        <v>62</v>
      </c>
      <c r="O539" s="3" t="s">
        <v>2588</v>
      </c>
      <c r="P539" s="3" t="s">
        <v>56</v>
      </c>
      <c r="Q539" s="3">
        <v>3</v>
      </c>
      <c r="R539" s="3">
        <v>676.37</v>
      </c>
      <c r="S539" s="3">
        <v>0.05</v>
      </c>
      <c r="T539" s="3">
        <v>1927.65</v>
      </c>
      <c r="U539" s="3">
        <v>1460.6</v>
      </c>
      <c r="V539" s="3">
        <v>467.05</v>
      </c>
      <c r="W539" s="3" t="s">
        <v>208</v>
      </c>
      <c r="X539" s="3" t="s">
        <v>86</v>
      </c>
      <c r="Y539" s="2" t="str">
        <f t="shared" si="71"/>
        <v>Unique</v>
      </c>
      <c r="AA539" s="2" t="str">
        <f t="shared" si="72"/>
        <v>Clean</v>
      </c>
      <c r="AB539" s="2" t="str">
        <f t="shared" si="73"/>
        <v>valid</v>
      </c>
      <c r="AC539">
        <f t="shared" si="74"/>
        <v>0.05</v>
      </c>
      <c r="AD539">
        <f t="shared" si="75"/>
        <v>1927.6545000000001</v>
      </c>
      <c r="AE539">
        <f t="shared" si="76"/>
        <v>467.05450000000019</v>
      </c>
      <c r="AF539">
        <f t="shared" si="77"/>
        <v>0.24229160360427668</v>
      </c>
      <c r="AG539" t="str">
        <f t="shared" si="78"/>
        <v>January</v>
      </c>
      <c r="AH539">
        <f t="shared" si="79"/>
        <v>2024</v>
      </c>
      <c r="AI539" t="str">
        <f t="shared" si="80"/>
        <v>Warning</v>
      </c>
    </row>
    <row r="540" spans="1:35" ht="15.75" customHeight="1">
      <c r="A540" s="3" t="s">
        <v>2589</v>
      </c>
      <c r="B540" s="3" t="s">
        <v>2258</v>
      </c>
      <c r="C540" s="3" t="s">
        <v>2590</v>
      </c>
      <c r="D540" s="3" t="str">
        <f t="shared" si="68"/>
        <v>01-Oct-2024</v>
      </c>
      <c r="E540" s="3" t="str">
        <f t="shared" si="69"/>
        <v>25-Sep-2024</v>
      </c>
      <c r="F540" s="3">
        <f t="shared" si="70"/>
        <v>6</v>
      </c>
      <c r="G540" s="3" t="s">
        <v>2591</v>
      </c>
      <c r="H540" s="3" t="s">
        <v>218</v>
      </c>
      <c r="I540" s="3" t="s">
        <v>49</v>
      </c>
      <c r="J540" s="3" t="s">
        <v>50</v>
      </c>
      <c r="K540" s="3" t="s">
        <v>319</v>
      </c>
      <c r="L540" s="3" t="s">
        <v>320</v>
      </c>
      <c r="M540" s="3" t="s">
        <v>53</v>
      </c>
      <c r="N540" s="3" t="s">
        <v>54</v>
      </c>
      <c r="O540" s="3" t="s">
        <v>2592</v>
      </c>
      <c r="P540" s="3" t="s">
        <v>41</v>
      </c>
      <c r="Q540" s="3">
        <v>9</v>
      </c>
      <c r="R540" s="3">
        <v>3908.6</v>
      </c>
      <c r="S540" s="3">
        <v>0.15</v>
      </c>
      <c r="T540" s="3">
        <v>29900.79</v>
      </c>
      <c r="U540" s="3">
        <v>24650.67</v>
      </c>
      <c r="V540" s="3">
        <v>5250.12</v>
      </c>
      <c r="W540" s="3" t="s">
        <v>42</v>
      </c>
      <c r="X540" s="3" t="s">
        <v>43</v>
      </c>
      <c r="Y540" s="2" t="str">
        <f t="shared" si="71"/>
        <v>Unique</v>
      </c>
      <c r="AA540" s="2" t="str">
        <f t="shared" si="72"/>
        <v>Clean</v>
      </c>
      <c r="AB540" s="2" t="str">
        <f t="shared" si="73"/>
        <v>valid</v>
      </c>
      <c r="AC540">
        <f t="shared" si="74"/>
        <v>0.15</v>
      </c>
      <c r="AD540">
        <f t="shared" si="75"/>
        <v>29900.79</v>
      </c>
      <c r="AE540">
        <f t="shared" si="76"/>
        <v>5250.1200000000026</v>
      </c>
      <c r="AF540">
        <f t="shared" si="77"/>
        <v>0.17558465846554563</v>
      </c>
      <c r="AG540" t="str">
        <f t="shared" si="78"/>
        <v>September</v>
      </c>
      <c r="AH540">
        <f t="shared" si="79"/>
        <v>2024</v>
      </c>
      <c r="AI540" t="str">
        <f t="shared" si="80"/>
        <v>Clean</v>
      </c>
    </row>
    <row r="541" spans="1:35" ht="15.75" customHeight="1">
      <c r="A541" s="3" t="s">
        <v>2593</v>
      </c>
      <c r="B541" s="3" t="s">
        <v>1217</v>
      </c>
      <c r="C541" s="3" t="s">
        <v>2406</v>
      </c>
      <c r="D541" s="3" t="str">
        <f t="shared" si="68"/>
        <v>04-Jul-2025</v>
      </c>
      <c r="E541" s="3" t="str">
        <f t="shared" si="69"/>
        <v>07-Apr-2025</v>
      </c>
      <c r="F541" s="3">
        <f t="shared" si="70"/>
        <v>88</v>
      </c>
      <c r="G541" s="3" t="s">
        <v>2594</v>
      </c>
      <c r="H541" s="3" t="s">
        <v>2595</v>
      </c>
      <c r="I541" s="3" t="s">
        <v>49</v>
      </c>
      <c r="J541" s="3" t="s">
        <v>70</v>
      </c>
      <c r="K541" s="3" t="s">
        <v>347</v>
      </c>
      <c r="L541" s="3" t="s">
        <v>348</v>
      </c>
      <c r="M541" s="3" t="s">
        <v>53</v>
      </c>
      <c r="N541" s="3" t="s">
        <v>84</v>
      </c>
      <c r="O541" s="3" t="s">
        <v>2596</v>
      </c>
      <c r="P541" s="3" t="s">
        <v>75</v>
      </c>
      <c r="Q541" s="3">
        <v>3</v>
      </c>
      <c r="R541" s="3">
        <v>705.35</v>
      </c>
      <c r="S541" s="3">
        <v>0.1</v>
      </c>
      <c r="T541" s="3">
        <v>1904.45</v>
      </c>
      <c r="U541" s="3">
        <v>1316.54</v>
      </c>
      <c r="V541" s="3">
        <v>587.91</v>
      </c>
      <c r="W541" s="3" t="s">
        <v>42</v>
      </c>
      <c r="X541" s="3" t="s">
        <v>86</v>
      </c>
      <c r="Y541" s="2" t="str">
        <f t="shared" si="71"/>
        <v>Unique</v>
      </c>
      <c r="AA541" s="2" t="str">
        <f t="shared" si="72"/>
        <v>Clean</v>
      </c>
      <c r="AB541" s="2" t="str">
        <f t="shared" si="73"/>
        <v>valid</v>
      </c>
      <c r="AC541">
        <f t="shared" si="74"/>
        <v>0.1</v>
      </c>
      <c r="AD541">
        <f t="shared" si="75"/>
        <v>1904.4450000000002</v>
      </c>
      <c r="AE541">
        <f t="shared" si="76"/>
        <v>587.9050000000002</v>
      </c>
      <c r="AF541">
        <f t="shared" si="77"/>
        <v>0.30870148520960183</v>
      </c>
      <c r="AG541" t="str">
        <f t="shared" si="78"/>
        <v>April</v>
      </c>
      <c r="AH541">
        <f t="shared" si="79"/>
        <v>2025</v>
      </c>
      <c r="AI541" t="str">
        <f t="shared" si="80"/>
        <v>Warning</v>
      </c>
    </row>
    <row r="542" spans="1:35" ht="15.75" customHeight="1">
      <c r="A542" s="3" t="s">
        <v>2597</v>
      </c>
      <c r="B542" s="3" t="s">
        <v>2598</v>
      </c>
      <c r="C542" s="3" t="s">
        <v>2335</v>
      </c>
      <c r="D542" s="3" t="str">
        <f t="shared" si="68"/>
        <v>23-Feb-2024</v>
      </c>
      <c r="E542" s="3" t="str">
        <f t="shared" si="69"/>
        <v>26-Feb-2024</v>
      </c>
      <c r="F542" s="3">
        <f t="shared" si="70"/>
        <v>-3</v>
      </c>
      <c r="G542" s="3" t="s">
        <v>2599</v>
      </c>
      <c r="H542" s="3" t="s">
        <v>375</v>
      </c>
      <c r="I542" s="3" t="s">
        <v>34</v>
      </c>
      <c r="J542" s="3" t="s">
        <v>81</v>
      </c>
      <c r="K542" s="3" t="s">
        <v>243</v>
      </c>
      <c r="L542" s="3" t="s">
        <v>244</v>
      </c>
      <c r="M542" s="3" t="s">
        <v>53</v>
      </c>
      <c r="N542" s="3" t="s">
        <v>73</v>
      </c>
      <c r="O542" s="3" t="s">
        <v>2600</v>
      </c>
      <c r="P542" s="3" t="s">
        <v>75</v>
      </c>
      <c r="Q542" s="3">
        <v>7</v>
      </c>
      <c r="R542" s="3">
        <v>3852.07</v>
      </c>
      <c r="S542" s="3">
        <v>0.2</v>
      </c>
      <c r="T542" s="3">
        <v>21571.59</v>
      </c>
      <c r="U542" s="3">
        <v>17118.07</v>
      </c>
      <c r="V542" s="3">
        <v>4453.5200000000004</v>
      </c>
      <c r="W542" s="3" t="s">
        <v>42</v>
      </c>
      <c r="X542" s="3" t="s">
        <v>43</v>
      </c>
      <c r="Y542" s="2" t="str">
        <f t="shared" si="71"/>
        <v>Unique</v>
      </c>
      <c r="AA542" s="2" t="str">
        <f t="shared" si="72"/>
        <v>Clean</v>
      </c>
      <c r="AB542" s="2" t="str">
        <f t="shared" si="73"/>
        <v>Invalid</v>
      </c>
      <c r="AC542">
        <f t="shared" si="74"/>
        <v>0.2</v>
      </c>
      <c r="AD542">
        <f t="shared" si="75"/>
        <v>21571.592000000004</v>
      </c>
      <c r="AE542">
        <f t="shared" si="76"/>
        <v>4453.5220000000045</v>
      </c>
      <c r="AF542">
        <f t="shared" si="77"/>
        <v>0.20645309813017063</v>
      </c>
      <c r="AG542" t="str">
        <f t="shared" si="78"/>
        <v>February</v>
      </c>
      <c r="AH542">
        <f t="shared" si="79"/>
        <v>2024</v>
      </c>
      <c r="AI542" t="str">
        <f t="shared" si="80"/>
        <v>Clean</v>
      </c>
    </row>
    <row r="543" spans="1:35" ht="15.75" customHeight="1">
      <c r="A543" s="3" t="s">
        <v>2601</v>
      </c>
      <c r="B543" s="3" t="s">
        <v>2602</v>
      </c>
      <c r="C543" s="3" t="s">
        <v>2603</v>
      </c>
      <c r="D543" s="3" t="str">
        <f t="shared" si="68"/>
        <v>09-Jul-2025</v>
      </c>
      <c r="E543" s="3" t="str">
        <f t="shared" si="69"/>
        <v>08-Jul-2025</v>
      </c>
      <c r="F543" s="3">
        <f t="shared" si="70"/>
        <v>1</v>
      </c>
      <c r="G543" s="3" t="s">
        <v>2604</v>
      </c>
      <c r="H543" s="3" t="s">
        <v>176</v>
      </c>
      <c r="I543" s="3" t="s">
        <v>34</v>
      </c>
      <c r="J543" s="3" t="s">
        <v>81</v>
      </c>
      <c r="K543" s="3" t="s">
        <v>82</v>
      </c>
      <c r="L543" s="3" t="s">
        <v>83</v>
      </c>
      <c r="M543" s="3" t="s">
        <v>94</v>
      </c>
      <c r="N543" s="3" t="s">
        <v>102</v>
      </c>
      <c r="O543" s="3" t="s">
        <v>2605</v>
      </c>
      <c r="P543" s="3" t="s">
        <v>56</v>
      </c>
      <c r="Q543" s="3">
        <v>3</v>
      </c>
      <c r="R543" s="3">
        <v>2880.56</v>
      </c>
      <c r="S543" s="3">
        <v>0</v>
      </c>
      <c r="T543" s="3">
        <v>8641.68</v>
      </c>
      <c r="U543" s="3">
        <v>5747.09</v>
      </c>
      <c r="V543" s="3">
        <v>2894.59</v>
      </c>
      <c r="W543" s="3" t="s">
        <v>42</v>
      </c>
      <c r="X543" s="3" t="s">
        <v>133</v>
      </c>
      <c r="Y543" s="2" t="str">
        <f t="shared" si="71"/>
        <v>Unique</v>
      </c>
      <c r="AA543" s="2" t="str">
        <f t="shared" si="72"/>
        <v>Clean</v>
      </c>
      <c r="AB543" s="2" t="str">
        <f t="shared" si="73"/>
        <v>valid</v>
      </c>
      <c r="AC543">
        <f t="shared" si="74"/>
        <v>0</v>
      </c>
      <c r="AD543">
        <f t="shared" si="75"/>
        <v>8641.68</v>
      </c>
      <c r="AE543">
        <f t="shared" si="76"/>
        <v>2894.59</v>
      </c>
      <c r="AF543">
        <f t="shared" si="77"/>
        <v>0.33495686024013849</v>
      </c>
      <c r="AG543" t="str">
        <f t="shared" si="78"/>
        <v>July</v>
      </c>
      <c r="AH543">
        <f t="shared" si="79"/>
        <v>2025</v>
      </c>
      <c r="AI543" t="str">
        <f t="shared" si="80"/>
        <v>Clean</v>
      </c>
    </row>
    <row r="544" spans="1:35" ht="15.75" customHeight="1">
      <c r="A544" s="3" t="s">
        <v>2606</v>
      </c>
      <c r="B544" s="3" t="s">
        <v>2607</v>
      </c>
      <c r="C544" s="3" t="s">
        <v>2608</v>
      </c>
      <c r="D544" s="3" t="str">
        <f t="shared" si="68"/>
        <v>23-Sep-2024</v>
      </c>
      <c r="E544" s="3" t="str">
        <f t="shared" si="69"/>
        <v>17-Sep-2024</v>
      </c>
      <c r="F544" s="3">
        <f t="shared" si="70"/>
        <v>6</v>
      </c>
      <c r="G544" s="3" t="s">
        <v>2609</v>
      </c>
      <c r="H544" s="3" t="s">
        <v>156</v>
      </c>
      <c r="I544" s="3" t="s">
        <v>123</v>
      </c>
      <c r="J544" s="3" t="s">
        <v>70</v>
      </c>
      <c r="K544" s="3" t="s">
        <v>250</v>
      </c>
      <c r="L544" s="3" t="s">
        <v>251</v>
      </c>
      <c r="M544" s="3" t="s">
        <v>53</v>
      </c>
      <c r="N544" s="3" t="s">
        <v>212</v>
      </c>
      <c r="O544" s="3" t="s">
        <v>2610</v>
      </c>
      <c r="P544" s="3" t="s">
        <v>41</v>
      </c>
      <c r="Q544" s="3">
        <v>3</v>
      </c>
      <c r="R544" s="3">
        <v>4067.62</v>
      </c>
      <c r="S544" s="3">
        <v>0.2</v>
      </c>
      <c r="T544" s="3">
        <v>9988.5300000000007</v>
      </c>
      <c r="U544" s="3">
        <v>8368.24</v>
      </c>
      <c r="V544" s="3">
        <v>1394.05</v>
      </c>
      <c r="W544" s="3" t="s">
        <v>42</v>
      </c>
      <c r="X544" s="3" t="s">
        <v>86</v>
      </c>
      <c r="Y544" s="2" t="str">
        <f t="shared" si="71"/>
        <v>Unique</v>
      </c>
      <c r="AA544" s="2" t="str">
        <f t="shared" si="72"/>
        <v>Clean</v>
      </c>
      <c r="AB544" s="2" t="str">
        <f t="shared" si="73"/>
        <v>valid</v>
      </c>
      <c r="AC544">
        <f t="shared" si="74"/>
        <v>0.2</v>
      </c>
      <c r="AD544">
        <f t="shared" si="75"/>
        <v>9762.2880000000005</v>
      </c>
      <c r="AE544">
        <f t="shared" si="76"/>
        <v>1394.0480000000007</v>
      </c>
      <c r="AF544">
        <f t="shared" si="77"/>
        <v>0.14279931098119628</v>
      </c>
      <c r="AG544" t="str">
        <f t="shared" si="78"/>
        <v>September</v>
      </c>
      <c r="AH544">
        <f t="shared" si="79"/>
        <v>2024</v>
      </c>
      <c r="AI544" t="str">
        <f t="shared" si="80"/>
        <v>Warning</v>
      </c>
    </row>
    <row r="545" spans="1:35" ht="15.75" customHeight="1">
      <c r="A545" s="3" t="s">
        <v>2611</v>
      </c>
      <c r="B545" s="3" t="s">
        <v>2612</v>
      </c>
      <c r="C545" s="3" t="s">
        <v>409</v>
      </c>
      <c r="D545" s="3" t="str">
        <f t="shared" si="68"/>
        <v>20-Jul-2024</v>
      </c>
      <c r="E545" s="3" t="str">
        <f t="shared" si="69"/>
        <v>14-Jul-2024</v>
      </c>
      <c r="F545" s="3">
        <f t="shared" si="70"/>
        <v>6</v>
      </c>
      <c r="G545" s="3" t="s">
        <v>2613</v>
      </c>
      <c r="H545" s="3" t="s">
        <v>48</v>
      </c>
      <c r="I545" s="3" t="s">
        <v>34</v>
      </c>
      <c r="J545" s="3" t="s">
        <v>50</v>
      </c>
      <c r="K545" s="3" t="s">
        <v>194</v>
      </c>
      <c r="L545" s="3" t="s">
        <v>195</v>
      </c>
      <c r="M545" s="3" t="s">
        <v>94</v>
      </c>
      <c r="N545" s="3" t="s">
        <v>102</v>
      </c>
      <c r="O545" s="3" t="s">
        <v>2614</v>
      </c>
      <c r="P545" s="3" t="s">
        <v>56</v>
      </c>
      <c r="Q545" s="3">
        <v>1</v>
      </c>
      <c r="R545" s="3">
        <v>492.67</v>
      </c>
      <c r="S545" s="3">
        <v>0.15</v>
      </c>
      <c r="T545" s="3">
        <v>418.77</v>
      </c>
      <c r="U545" s="3">
        <v>313.72000000000003</v>
      </c>
      <c r="V545" s="3">
        <v>105.05</v>
      </c>
      <c r="W545" s="3" t="s">
        <v>42</v>
      </c>
      <c r="X545" s="3" t="s">
        <v>43</v>
      </c>
      <c r="Y545" s="2" t="str">
        <f t="shared" si="71"/>
        <v>Unique</v>
      </c>
      <c r="AA545" s="2" t="str">
        <f t="shared" si="72"/>
        <v>Clean</v>
      </c>
      <c r="AB545" s="2" t="str">
        <f t="shared" si="73"/>
        <v>valid</v>
      </c>
      <c r="AC545">
        <f t="shared" si="74"/>
        <v>0.15</v>
      </c>
      <c r="AD545">
        <f t="shared" si="75"/>
        <v>418.76949999999999</v>
      </c>
      <c r="AE545">
        <f t="shared" si="76"/>
        <v>105.04949999999997</v>
      </c>
      <c r="AF545">
        <f t="shared" si="77"/>
        <v>0.25085279610859906</v>
      </c>
      <c r="AG545" t="str">
        <f t="shared" si="78"/>
        <v>July</v>
      </c>
      <c r="AH545">
        <f t="shared" si="79"/>
        <v>2024</v>
      </c>
      <c r="AI545" t="str">
        <f t="shared" si="80"/>
        <v>Clean</v>
      </c>
    </row>
    <row r="546" spans="1:35" ht="15.75" customHeight="1">
      <c r="A546" s="3" t="s">
        <v>2615</v>
      </c>
      <c r="B546" s="3" t="s">
        <v>2616</v>
      </c>
      <c r="C546" s="3" t="s">
        <v>2053</v>
      </c>
      <c r="D546" s="3" t="str">
        <f t="shared" si="68"/>
        <v>02-May-2025</v>
      </c>
      <c r="E546" s="3" t="str">
        <f t="shared" si="69"/>
        <v>29-Jan-2025</v>
      </c>
      <c r="F546" s="3">
        <f t="shared" si="70"/>
        <v>93</v>
      </c>
      <c r="G546" s="3" t="s">
        <v>2617</v>
      </c>
      <c r="H546" s="3" t="s">
        <v>80</v>
      </c>
      <c r="I546" s="3" t="s">
        <v>34</v>
      </c>
      <c r="J546" s="3" t="s">
        <v>70</v>
      </c>
      <c r="K546" s="3" t="s">
        <v>250</v>
      </c>
      <c r="L546" s="3" t="s">
        <v>251</v>
      </c>
      <c r="M546" s="3" t="s">
        <v>38</v>
      </c>
      <c r="N546" s="3" t="s">
        <v>62</v>
      </c>
      <c r="O546" s="3" t="s">
        <v>2618</v>
      </c>
      <c r="P546" s="3" t="s">
        <v>56</v>
      </c>
      <c r="Q546" s="3">
        <v>8</v>
      </c>
      <c r="R546" s="3">
        <v>3643.62</v>
      </c>
      <c r="S546" s="3">
        <v>0.25</v>
      </c>
      <c r="T546" s="3">
        <v>21861.72</v>
      </c>
      <c r="U546" s="3">
        <v>18464.34</v>
      </c>
      <c r="V546" s="3">
        <v>3397.38</v>
      </c>
      <c r="W546" s="3" t="s">
        <v>42</v>
      </c>
      <c r="X546" s="3" t="s">
        <v>86</v>
      </c>
      <c r="Y546" s="2" t="str">
        <f t="shared" si="71"/>
        <v>Unique</v>
      </c>
      <c r="AA546" s="2" t="str">
        <f t="shared" si="72"/>
        <v>Clean</v>
      </c>
      <c r="AB546" s="2" t="str">
        <f t="shared" si="73"/>
        <v>valid</v>
      </c>
      <c r="AC546">
        <f t="shared" si="74"/>
        <v>0.25</v>
      </c>
      <c r="AD546">
        <f t="shared" si="75"/>
        <v>21861.72</v>
      </c>
      <c r="AE546">
        <f t="shared" si="76"/>
        <v>3397.380000000001</v>
      </c>
      <c r="AF546">
        <f t="shared" si="77"/>
        <v>0.1554031430280875</v>
      </c>
      <c r="AG546" t="str">
        <f t="shared" si="78"/>
        <v>January</v>
      </c>
      <c r="AH546">
        <f t="shared" si="79"/>
        <v>2025</v>
      </c>
      <c r="AI546" t="str">
        <f t="shared" si="80"/>
        <v>Warning</v>
      </c>
    </row>
    <row r="547" spans="1:35" ht="15.75" customHeight="1">
      <c r="A547" s="3" t="s">
        <v>2619</v>
      </c>
      <c r="B547" s="3" t="s">
        <v>2620</v>
      </c>
      <c r="C547" s="3" t="s">
        <v>2621</v>
      </c>
      <c r="D547" s="3" t="str">
        <f t="shared" si="68"/>
        <v>30-May-2024</v>
      </c>
      <c r="E547" s="3" t="str">
        <f t="shared" si="69"/>
        <v>27-May-2024</v>
      </c>
      <c r="F547" s="3">
        <f t="shared" si="70"/>
        <v>3</v>
      </c>
      <c r="G547" s="3" t="s">
        <v>2622</v>
      </c>
      <c r="H547" s="3" t="s">
        <v>375</v>
      </c>
      <c r="I547" s="3" t="s">
        <v>49</v>
      </c>
      <c r="J547" s="3" t="s">
        <v>50</v>
      </c>
      <c r="K547" s="3" t="s">
        <v>319</v>
      </c>
      <c r="L547" s="3" t="s">
        <v>320</v>
      </c>
      <c r="M547" s="3" t="s">
        <v>38</v>
      </c>
      <c r="N547" s="3" t="s">
        <v>164</v>
      </c>
      <c r="O547" s="3" t="s">
        <v>2623</v>
      </c>
      <c r="P547" s="3" t="s">
        <v>56</v>
      </c>
      <c r="Q547" s="3">
        <v>7</v>
      </c>
      <c r="R547" s="3">
        <v>2900.86</v>
      </c>
      <c r="S547" s="3">
        <v>0.15</v>
      </c>
      <c r="T547" s="3">
        <v>17260.12</v>
      </c>
      <c r="U547" s="3">
        <v>13513.51</v>
      </c>
      <c r="V547" s="3">
        <v>3746.61</v>
      </c>
      <c r="W547" s="3" t="s">
        <v>42</v>
      </c>
      <c r="X547" s="3" t="s">
        <v>43</v>
      </c>
      <c r="Y547" s="2" t="str">
        <f t="shared" si="71"/>
        <v>Unique</v>
      </c>
      <c r="AA547" s="2" t="str">
        <f t="shared" si="72"/>
        <v>Clean</v>
      </c>
      <c r="AB547" s="2" t="str">
        <f t="shared" si="73"/>
        <v>valid</v>
      </c>
      <c r="AC547">
        <f t="shared" si="74"/>
        <v>0.15</v>
      </c>
      <c r="AD547">
        <f t="shared" si="75"/>
        <v>17260.116999999998</v>
      </c>
      <c r="AE547">
        <f t="shared" si="76"/>
        <v>3746.6069999999982</v>
      </c>
      <c r="AF547">
        <f t="shared" si="77"/>
        <v>0.21706730029697935</v>
      </c>
      <c r="AG547" t="str">
        <f t="shared" si="78"/>
        <v>May</v>
      </c>
      <c r="AH547">
        <f t="shared" si="79"/>
        <v>2024</v>
      </c>
      <c r="AI547" t="str">
        <f t="shared" si="80"/>
        <v>Clean</v>
      </c>
    </row>
    <row r="548" spans="1:35" ht="15.75" customHeight="1">
      <c r="A548" s="3" t="s">
        <v>2624</v>
      </c>
      <c r="B548" s="3" t="s">
        <v>2625</v>
      </c>
      <c r="C548" s="3" t="s">
        <v>1491</v>
      </c>
      <c r="D548" s="3" t="str">
        <f t="shared" si="68"/>
        <v>22-Aug-2025</v>
      </c>
      <c r="E548" s="3" t="str">
        <f t="shared" si="69"/>
        <v>14-Aug-2025</v>
      </c>
      <c r="F548" s="3">
        <f t="shared" si="70"/>
        <v>8</v>
      </c>
      <c r="G548" s="3" t="s">
        <v>2626</v>
      </c>
      <c r="H548" s="3" t="s">
        <v>69</v>
      </c>
      <c r="I548" s="3" t="s">
        <v>116</v>
      </c>
      <c r="J548" s="3" t="s">
        <v>81</v>
      </c>
      <c r="K548" s="3" t="s">
        <v>243</v>
      </c>
      <c r="L548" s="3" t="s">
        <v>244</v>
      </c>
      <c r="M548" s="3" t="s">
        <v>38</v>
      </c>
      <c r="N548" s="3" t="s">
        <v>39</v>
      </c>
      <c r="O548" s="3" t="s">
        <v>2627</v>
      </c>
      <c r="P548" s="3" t="s">
        <v>64</v>
      </c>
      <c r="Q548" s="3">
        <v>5</v>
      </c>
      <c r="R548" s="3">
        <v>2567.37</v>
      </c>
      <c r="S548" s="3">
        <v>0.15</v>
      </c>
      <c r="T548" s="3">
        <v>10911.32</v>
      </c>
      <c r="U548" s="3">
        <v>6966.44</v>
      </c>
      <c r="V548" s="3">
        <v>4395.17</v>
      </c>
      <c r="W548" s="3" t="s">
        <v>42</v>
      </c>
      <c r="X548" s="3" t="s">
        <v>43</v>
      </c>
      <c r="Y548" s="2" t="str">
        <f t="shared" si="71"/>
        <v>Unique</v>
      </c>
      <c r="AA548" s="2" t="str">
        <f t="shared" si="72"/>
        <v>Clean</v>
      </c>
      <c r="AB548" s="2" t="str">
        <f t="shared" si="73"/>
        <v>valid</v>
      </c>
      <c r="AC548">
        <f t="shared" si="74"/>
        <v>0.15</v>
      </c>
      <c r="AD548">
        <f t="shared" si="75"/>
        <v>10911.322499999998</v>
      </c>
      <c r="AE548">
        <f t="shared" si="76"/>
        <v>3944.8824999999988</v>
      </c>
      <c r="AF548">
        <f t="shared" si="77"/>
        <v>0.36154027158486052</v>
      </c>
      <c r="AG548" t="str">
        <f t="shared" si="78"/>
        <v>August</v>
      </c>
      <c r="AH548">
        <f t="shared" si="79"/>
        <v>2025</v>
      </c>
      <c r="AI548" t="str">
        <f t="shared" si="80"/>
        <v>Clean</v>
      </c>
    </row>
    <row r="549" spans="1:35" ht="15.75" customHeight="1">
      <c r="A549" s="3" t="s">
        <v>2628</v>
      </c>
      <c r="B549" s="3" t="s">
        <v>2629</v>
      </c>
      <c r="C549" s="3" t="s">
        <v>2630</v>
      </c>
      <c r="D549" s="3" t="str">
        <f t="shared" si="68"/>
        <v>23-May-2024</v>
      </c>
      <c r="E549" s="3" t="str">
        <f t="shared" si="69"/>
        <v>16-May-2024</v>
      </c>
      <c r="F549" s="3">
        <f t="shared" si="70"/>
        <v>7</v>
      </c>
      <c r="G549" s="3" t="s">
        <v>2631</v>
      </c>
      <c r="H549" s="3" t="s">
        <v>101</v>
      </c>
      <c r="I549" s="3" t="s">
        <v>49</v>
      </c>
      <c r="J549" s="3" t="s">
        <v>35</v>
      </c>
      <c r="K549" s="3" t="s">
        <v>182</v>
      </c>
      <c r="L549" s="3" t="s">
        <v>183</v>
      </c>
      <c r="M549" s="3" t="s">
        <v>94</v>
      </c>
      <c r="N549" s="3" t="s">
        <v>102</v>
      </c>
      <c r="O549" s="3" t="s">
        <v>2632</v>
      </c>
      <c r="P549" s="3" t="s">
        <v>75</v>
      </c>
      <c r="Q549" s="3">
        <v>9</v>
      </c>
      <c r="R549" s="3">
        <v>3722.09</v>
      </c>
      <c r="S549" s="3">
        <v>0.1</v>
      </c>
      <c r="T549" s="3">
        <v>30148.93</v>
      </c>
      <c r="U549" s="3">
        <v>25155.07</v>
      </c>
      <c r="V549" s="3">
        <v>4993.8599999999997</v>
      </c>
      <c r="W549" s="3" t="s">
        <v>42</v>
      </c>
      <c r="X549" s="3" t="s">
        <v>43</v>
      </c>
      <c r="Y549" s="2" t="str">
        <f t="shared" si="71"/>
        <v>Unique</v>
      </c>
      <c r="AA549" s="2" t="str">
        <f t="shared" si="72"/>
        <v>Clean</v>
      </c>
      <c r="AB549" s="2" t="str">
        <f t="shared" si="73"/>
        <v>valid</v>
      </c>
      <c r="AC549">
        <f t="shared" si="74"/>
        <v>0.1</v>
      </c>
      <c r="AD549">
        <f t="shared" si="75"/>
        <v>30148.929</v>
      </c>
      <c r="AE549">
        <f t="shared" si="76"/>
        <v>4993.8590000000004</v>
      </c>
      <c r="AF549">
        <f t="shared" si="77"/>
        <v>0.16563968159532302</v>
      </c>
      <c r="AG549" t="str">
        <f t="shared" si="78"/>
        <v>May</v>
      </c>
      <c r="AH549">
        <f t="shared" si="79"/>
        <v>2024</v>
      </c>
      <c r="AI549" t="str">
        <f t="shared" si="80"/>
        <v>Clean</v>
      </c>
    </row>
    <row r="550" spans="1:35" ht="15.75" customHeight="1">
      <c r="A550" s="3" t="s">
        <v>2633</v>
      </c>
      <c r="B550" s="3" t="s">
        <v>283</v>
      </c>
      <c r="C550" s="3" t="s">
        <v>282</v>
      </c>
      <c r="D550" s="3" t="str">
        <f t="shared" si="68"/>
        <v>29-May-2024</v>
      </c>
      <c r="E550" s="3" t="str">
        <f t="shared" si="69"/>
        <v>29-May-2024</v>
      </c>
      <c r="F550" s="3">
        <f t="shared" si="70"/>
        <v>0</v>
      </c>
      <c r="G550" s="3" t="s">
        <v>2634</v>
      </c>
      <c r="H550" s="3" t="s">
        <v>188</v>
      </c>
      <c r="I550" s="3" t="s">
        <v>116</v>
      </c>
      <c r="J550" s="3" t="s">
        <v>50</v>
      </c>
      <c r="K550" s="3" t="s">
        <v>194</v>
      </c>
      <c r="L550" s="3" t="s">
        <v>195</v>
      </c>
      <c r="M550" s="3" t="s">
        <v>53</v>
      </c>
      <c r="N550" s="3" t="s">
        <v>212</v>
      </c>
      <c r="O550" s="3" t="s">
        <v>2635</v>
      </c>
      <c r="P550" s="3" t="s">
        <v>56</v>
      </c>
      <c r="Q550" s="3">
        <v>1</v>
      </c>
      <c r="R550" s="3">
        <v>1072.01</v>
      </c>
      <c r="S550" s="3">
        <v>0</v>
      </c>
      <c r="T550" s="3">
        <v>1072.01</v>
      </c>
      <c r="U550" s="3">
        <v>852.62</v>
      </c>
      <c r="V550" s="3">
        <v>219.39</v>
      </c>
      <c r="W550" s="3" t="s">
        <v>145</v>
      </c>
      <c r="X550" s="3" t="s">
        <v>86</v>
      </c>
      <c r="Y550" s="2" t="str">
        <f t="shared" si="71"/>
        <v>Unique</v>
      </c>
      <c r="AA550" s="2" t="str">
        <f t="shared" si="72"/>
        <v>Clean</v>
      </c>
      <c r="AB550" s="2" t="str">
        <f t="shared" si="73"/>
        <v>valid</v>
      </c>
      <c r="AC550">
        <f t="shared" si="74"/>
        <v>0</v>
      </c>
      <c r="AD550">
        <f t="shared" si="75"/>
        <v>1072.01</v>
      </c>
      <c r="AE550">
        <f t="shared" si="76"/>
        <v>219.39</v>
      </c>
      <c r="AF550">
        <f t="shared" si="77"/>
        <v>0.20465294167032022</v>
      </c>
      <c r="AG550" t="str">
        <f t="shared" si="78"/>
        <v>May</v>
      </c>
      <c r="AH550">
        <f t="shared" si="79"/>
        <v>2024</v>
      </c>
      <c r="AI550" t="str">
        <f t="shared" si="80"/>
        <v>Warning</v>
      </c>
    </row>
    <row r="551" spans="1:35" ht="15.75" customHeight="1">
      <c r="A551" s="3" t="s">
        <v>2636</v>
      </c>
      <c r="B551" s="3" t="s">
        <v>2637</v>
      </c>
      <c r="C551" s="3" t="s">
        <v>2638</v>
      </c>
      <c r="D551" s="3" t="str">
        <f t="shared" si="68"/>
        <v>13-Oct-2025</v>
      </c>
      <c r="E551" s="3" t="str">
        <f t="shared" si="69"/>
        <v>10-Nov-2025</v>
      </c>
      <c r="F551" s="3">
        <f t="shared" si="70"/>
        <v>-28</v>
      </c>
      <c r="G551" s="3" t="s">
        <v>2639</v>
      </c>
      <c r="H551" s="3" t="s">
        <v>48</v>
      </c>
      <c r="I551" s="3" t="s">
        <v>116</v>
      </c>
      <c r="J551" s="3" t="s">
        <v>70</v>
      </c>
      <c r="K551" s="3" t="s">
        <v>71</v>
      </c>
      <c r="L551" s="3" t="s">
        <v>72</v>
      </c>
      <c r="M551" s="3" t="s">
        <v>38</v>
      </c>
      <c r="N551" s="3" t="s">
        <v>62</v>
      </c>
      <c r="O551" s="3" t="s">
        <v>2640</v>
      </c>
      <c r="P551" s="3" t="s">
        <v>41</v>
      </c>
      <c r="Q551" s="3">
        <v>3</v>
      </c>
      <c r="R551" s="3">
        <v>3804.27</v>
      </c>
      <c r="S551" s="3">
        <v>0.1</v>
      </c>
      <c r="T551" s="3">
        <v>10271.530000000001</v>
      </c>
      <c r="U551" s="3">
        <v>8272.24</v>
      </c>
      <c r="V551" s="3">
        <v>1999.29</v>
      </c>
      <c r="W551" s="3" t="s">
        <v>42</v>
      </c>
      <c r="X551" s="3" t="s">
        <v>43</v>
      </c>
      <c r="Y551" s="2" t="str">
        <f t="shared" si="71"/>
        <v>Unique</v>
      </c>
      <c r="AA551" s="2" t="str">
        <f t="shared" si="72"/>
        <v>Clean</v>
      </c>
      <c r="AB551" s="2" t="str">
        <f t="shared" si="73"/>
        <v>Invalid</v>
      </c>
      <c r="AC551">
        <f t="shared" si="74"/>
        <v>0.1</v>
      </c>
      <c r="AD551">
        <f t="shared" si="75"/>
        <v>10271.529</v>
      </c>
      <c r="AE551">
        <f t="shared" si="76"/>
        <v>1999.2890000000007</v>
      </c>
      <c r="AF551">
        <f t="shared" si="77"/>
        <v>0.19464375751652949</v>
      </c>
      <c r="AG551" t="str">
        <f t="shared" si="78"/>
        <v>November</v>
      </c>
      <c r="AH551">
        <f t="shared" si="79"/>
        <v>2025</v>
      </c>
      <c r="AI551" t="str">
        <f t="shared" si="80"/>
        <v>Clean</v>
      </c>
    </row>
    <row r="552" spans="1:35" ht="15.75" customHeight="1">
      <c r="A552" s="3" t="s">
        <v>2641</v>
      </c>
      <c r="B552" s="3" t="s">
        <v>547</v>
      </c>
      <c r="C552" s="3" t="s">
        <v>2642</v>
      </c>
      <c r="D552" s="3" t="str">
        <f t="shared" si="68"/>
        <v>08-Oct-2024</v>
      </c>
      <c r="E552" s="3" t="str">
        <f t="shared" si="69"/>
        <v>02-Aug-2024</v>
      </c>
      <c r="F552" s="3">
        <f t="shared" si="70"/>
        <v>67</v>
      </c>
      <c r="G552" s="3" t="s">
        <v>2643</v>
      </c>
      <c r="H552" s="3" t="s">
        <v>48</v>
      </c>
      <c r="I552" s="3" t="s">
        <v>123</v>
      </c>
      <c r="J552" s="3" t="s">
        <v>50</v>
      </c>
      <c r="K552" s="3" t="s">
        <v>51</v>
      </c>
      <c r="L552" s="3" t="s">
        <v>52</v>
      </c>
      <c r="M552" s="3" t="s">
        <v>94</v>
      </c>
      <c r="N552" s="3" t="s">
        <v>95</v>
      </c>
      <c r="O552" s="3" t="s">
        <v>2644</v>
      </c>
      <c r="P552" s="3" t="s">
        <v>75</v>
      </c>
      <c r="Q552" s="3">
        <v>6</v>
      </c>
      <c r="R552" s="3">
        <v>2126.44</v>
      </c>
      <c r="S552" s="3">
        <v>0.2</v>
      </c>
      <c r="T552" s="3">
        <v>10206.91</v>
      </c>
      <c r="U552" s="3">
        <v>6764.53</v>
      </c>
      <c r="V552" s="3">
        <v>3442.38</v>
      </c>
      <c r="W552" s="3" t="s">
        <v>42</v>
      </c>
      <c r="X552" s="3" t="s">
        <v>43</v>
      </c>
      <c r="Y552" s="2" t="str">
        <f t="shared" si="71"/>
        <v>Unique</v>
      </c>
      <c r="AA552" s="2" t="str">
        <f t="shared" si="72"/>
        <v>Clean</v>
      </c>
      <c r="AB552" s="2" t="str">
        <f t="shared" si="73"/>
        <v>valid</v>
      </c>
      <c r="AC552">
        <f t="shared" si="74"/>
        <v>0.2</v>
      </c>
      <c r="AD552">
        <f t="shared" si="75"/>
        <v>10206.912</v>
      </c>
      <c r="AE552">
        <f t="shared" si="76"/>
        <v>3442.3820000000005</v>
      </c>
      <c r="AF552">
        <f t="shared" si="77"/>
        <v>0.33725988820125036</v>
      </c>
      <c r="AG552" t="str">
        <f t="shared" si="78"/>
        <v>August</v>
      </c>
      <c r="AH552">
        <f t="shared" si="79"/>
        <v>2024</v>
      </c>
      <c r="AI552" t="str">
        <f t="shared" si="80"/>
        <v>Clean</v>
      </c>
    </row>
    <row r="553" spans="1:35" ht="15.75" customHeight="1">
      <c r="A553" s="3" t="s">
        <v>2645</v>
      </c>
      <c r="B553" s="3" t="s">
        <v>2082</v>
      </c>
      <c r="C553" s="3" t="s">
        <v>2646</v>
      </c>
      <c r="D553" s="3" t="str">
        <f t="shared" si="68"/>
        <v>27-Feb-2024</v>
      </c>
      <c r="E553" s="3" t="str">
        <f t="shared" si="69"/>
        <v>27-Feb-2024</v>
      </c>
      <c r="F553" s="3">
        <f t="shared" si="70"/>
        <v>0</v>
      </c>
      <c r="G553" s="3" t="s">
        <v>2647</v>
      </c>
      <c r="H553" s="3" t="s">
        <v>176</v>
      </c>
      <c r="I553" s="3" t="s">
        <v>34</v>
      </c>
      <c r="J553" s="3" t="s">
        <v>50</v>
      </c>
      <c r="K553" s="3" t="s">
        <v>319</v>
      </c>
      <c r="L553" s="3" t="s">
        <v>320</v>
      </c>
      <c r="M553" s="3" t="s">
        <v>53</v>
      </c>
      <c r="N553" s="3" t="s">
        <v>84</v>
      </c>
      <c r="O553" s="3" t="s">
        <v>2648</v>
      </c>
      <c r="P553" s="3" t="s">
        <v>41</v>
      </c>
      <c r="Q553" s="3">
        <v>3</v>
      </c>
      <c r="R553" s="3">
        <v>3148.09</v>
      </c>
      <c r="S553" s="3">
        <v>0.15</v>
      </c>
      <c r="T553" s="3">
        <v>8027.63</v>
      </c>
      <c r="U553" s="3">
        <v>5496.09</v>
      </c>
      <c r="V553" s="3">
        <v>2531.54</v>
      </c>
      <c r="W553" s="3" t="s">
        <v>42</v>
      </c>
      <c r="X553" s="3" t="s">
        <v>43</v>
      </c>
      <c r="Y553" s="2" t="str">
        <f t="shared" si="71"/>
        <v>Unique</v>
      </c>
      <c r="AA553" s="2" t="str">
        <f t="shared" si="72"/>
        <v>Clean</v>
      </c>
      <c r="AB553" s="2" t="str">
        <f t="shared" si="73"/>
        <v>valid</v>
      </c>
      <c r="AC553">
        <f t="shared" si="74"/>
        <v>0.15</v>
      </c>
      <c r="AD553">
        <f t="shared" si="75"/>
        <v>8027.6295</v>
      </c>
      <c r="AE553">
        <f t="shared" si="76"/>
        <v>2531.5394999999999</v>
      </c>
      <c r="AF553">
        <f t="shared" si="77"/>
        <v>0.31535330572991688</v>
      </c>
      <c r="AG553" t="str">
        <f t="shared" si="78"/>
        <v>February</v>
      </c>
      <c r="AH553">
        <f t="shared" si="79"/>
        <v>2024</v>
      </c>
      <c r="AI553" t="str">
        <f t="shared" si="80"/>
        <v>Clean</v>
      </c>
    </row>
    <row r="554" spans="1:35" ht="15.75" customHeight="1">
      <c r="A554" s="3" t="s">
        <v>2649</v>
      </c>
      <c r="B554" s="3" t="s">
        <v>198</v>
      </c>
      <c r="C554" s="3" t="s">
        <v>351</v>
      </c>
      <c r="D554" s="3" t="str">
        <f t="shared" si="68"/>
        <v>30-Jan-2025</v>
      </c>
      <c r="E554" s="3" t="str">
        <f t="shared" si="69"/>
        <v>24-Jan-2025</v>
      </c>
      <c r="F554" s="3">
        <f t="shared" si="70"/>
        <v>6</v>
      </c>
      <c r="G554" s="3" t="s">
        <v>2650</v>
      </c>
      <c r="H554" s="3" t="s">
        <v>80</v>
      </c>
      <c r="I554" s="3" t="s">
        <v>116</v>
      </c>
      <c r="J554" s="3" t="s">
        <v>50</v>
      </c>
      <c r="K554" s="3" t="s">
        <v>129</v>
      </c>
      <c r="L554" s="3" t="s">
        <v>130</v>
      </c>
      <c r="M554" s="3" t="s">
        <v>94</v>
      </c>
      <c r="N554" s="3" t="s">
        <v>102</v>
      </c>
      <c r="O554" s="3" t="s">
        <v>2651</v>
      </c>
      <c r="P554" s="3" t="s">
        <v>75</v>
      </c>
      <c r="Q554" s="3">
        <v>8</v>
      </c>
      <c r="R554" s="3">
        <v>312.52999999999997</v>
      </c>
      <c r="S554" s="3" t="s">
        <v>691</v>
      </c>
      <c r="T554" s="3">
        <v>1875.18</v>
      </c>
      <c r="U554" s="3">
        <v>1579.17</v>
      </c>
      <c r="V554" s="3">
        <v>296.01</v>
      </c>
      <c r="W554" s="3" t="s">
        <v>42</v>
      </c>
      <c r="X554" s="3" t="s">
        <v>43</v>
      </c>
      <c r="Y554" s="2" t="str">
        <f t="shared" si="71"/>
        <v>Unique</v>
      </c>
      <c r="AA554" s="2" t="str">
        <f t="shared" si="72"/>
        <v>Invalid</v>
      </c>
      <c r="AB554" s="2" t="str">
        <f t="shared" si="73"/>
        <v>valid</v>
      </c>
      <c r="AC554">
        <f t="shared" si="74"/>
        <v>6.9999999999999993E-3</v>
      </c>
      <c r="AD554">
        <f t="shared" si="75"/>
        <v>2482.7383199999999</v>
      </c>
      <c r="AE554">
        <f t="shared" si="76"/>
        <v>903.56831999999986</v>
      </c>
      <c r="AF554">
        <f t="shared" si="77"/>
        <v>0.36394021581783131</v>
      </c>
      <c r="AG554" t="str">
        <f t="shared" si="78"/>
        <v>January</v>
      </c>
      <c r="AH554">
        <f t="shared" si="79"/>
        <v>2025</v>
      </c>
      <c r="AI554" t="str">
        <f t="shared" si="80"/>
        <v>Clean</v>
      </c>
    </row>
    <row r="555" spans="1:35" ht="15.75" customHeight="1">
      <c r="A555" s="3" t="s">
        <v>2652</v>
      </c>
      <c r="B555" s="3" t="s">
        <v>2653</v>
      </c>
      <c r="C555" s="3" t="s">
        <v>2654</v>
      </c>
      <c r="D555" s="3" t="str">
        <f t="shared" si="68"/>
        <v>28-Apr-2025</v>
      </c>
      <c r="E555" s="3" t="str">
        <f t="shared" si="69"/>
        <v>25-Apr-2025</v>
      </c>
      <c r="F555" s="3">
        <f t="shared" si="70"/>
        <v>3</v>
      </c>
      <c r="G555" s="3" t="s">
        <v>2655</v>
      </c>
      <c r="H555" s="3" t="s">
        <v>170</v>
      </c>
      <c r="I555" s="3" t="s">
        <v>49</v>
      </c>
      <c r="J555" s="3" t="s">
        <v>81</v>
      </c>
      <c r="K555" s="3" t="s">
        <v>243</v>
      </c>
      <c r="L555" s="3" t="s">
        <v>244</v>
      </c>
      <c r="M555" s="3" t="s">
        <v>38</v>
      </c>
      <c r="N555" s="3" t="s">
        <v>164</v>
      </c>
      <c r="O555" s="3" t="s">
        <v>2656</v>
      </c>
      <c r="P555" s="3" t="s">
        <v>64</v>
      </c>
      <c r="Q555" s="3">
        <v>9</v>
      </c>
      <c r="R555" s="3">
        <v>1294.1099999999999</v>
      </c>
      <c r="S555" s="3">
        <v>0.25</v>
      </c>
      <c r="T555" s="3">
        <v>8735.24</v>
      </c>
      <c r="U555" s="3">
        <v>6620.07</v>
      </c>
      <c r="V555" s="3">
        <v>2115.17</v>
      </c>
      <c r="W555" s="3" t="s">
        <v>42</v>
      </c>
      <c r="X555" s="3" t="s">
        <v>43</v>
      </c>
      <c r="Y555" s="2" t="str">
        <f t="shared" si="71"/>
        <v>Unique</v>
      </c>
      <c r="AA555" s="2" t="str">
        <f t="shared" si="72"/>
        <v>Clean</v>
      </c>
      <c r="AB555" s="2" t="str">
        <f t="shared" si="73"/>
        <v>valid</v>
      </c>
      <c r="AC555">
        <f t="shared" si="74"/>
        <v>0.25</v>
      </c>
      <c r="AD555">
        <f t="shared" si="75"/>
        <v>8735.2425000000003</v>
      </c>
      <c r="AE555">
        <f t="shared" si="76"/>
        <v>2115.1725000000006</v>
      </c>
      <c r="AF555">
        <f t="shared" si="77"/>
        <v>0.24214239043735769</v>
      </c>
      <c r="AG555" t="str">
        <f t="shared" si="78"/>
        <v>April</v>
      </c>
      <c r="AH555">
        <f t="shared" si="79"/>
        <v>2025</v>
      </c>
      <c r="AI555" t="str">
        <f t="shared" si="80"/>
        <v>Clean</v>
      </c>
    </row>
    <row r="556" spans="1:35" ht="15.75" customHeight="1">
      <c r="A556" s="3" t="s">
        <v>2657</v>
      </c>
      <c r="B556" s="3" t="s">
        <v>2658</v>
      </c>
      <c r="C556" s="3" t="s">
        <v>2659</v>
      </c>
      <c r="D556" s="3" t="str">
        <f t="shared" si="68"/>
        <v>17-Oct-2024</v>
      </c>
      <c r="E556" s="3" t="str">
        <f t="shared" si="69"/>
        <v>12-Oct-2024</v>
      </c>
      <c r="F556" s="3">
        <f t="shared" si="70"/>
        <v>5</v>
      </c>
      <c r="G556" s="3" t="s">
        <v>2660</v>
      </c>
      <c r="H556" s="3" t="s">
        <v>69</v>
      </c>
      <c r="I556" s="3" t="s">
        <v>34</v>
      </c>
      <c r="J556" s="3" t="s">
        <v>280</v>
      </c>
      <c r="K556" s="3" t="s">
        <v>319</v>
      </c>
      <c r="L556" s="3" t="s">
        <v>320</v>
      </c>
      <c r="M556" s="3" t="s">
        <v>53</v>
      </c>
      <c r="N556" s="3" t="s">
        <v>73</v>
      </c>
      <c r="O556" s="3" t="s">
        <v>2661</v>
      </c>
      <c r="P556" s="3" t="s">
        <v>75</v>
      </c>
      <c r="Q556" s="3">
        <v>4</v>
      </c>
      <c r="R556" s="3">
        <v>1071.22</v>
      </c>
      <c r="S556" s="3">
        <v>0.05</v>
      </c>
      <c r="T556" s="3">
        <v>4070.64</v>
      </c>
      <c r="U556" s="3">
        <v>2831.62</v>
      </c>
      <c r="V556" s="3">
        <v>1239.02</v>
      </c>
      <c r="W556" s="3" t="s">
        <v>42</v>
      </c>
      <c r="X556" s="3" t="s">
        <v>43</v>
      </c>
      <c r="Y556" s="2" t="str">
        <f t="shared" si="71"/>
        <v>Unique</v>
      </c>
      <c r="AA556" s="2" t="str">
        <f t="shared" si="72"/>
        <v>Clean</v>
      </c>
      <c r="AB556" s="2" t="str">
        <f t="shared" si="73"/>
        <v>valid</v>
      </c>
      <c r="AC556">
        <f t="shared" si="74"/>
        <v>0.05</v>
      </c>
      <c r="AD556">
        <f t="shared" si="75"/>
        <v>4070.636</v>
      </c>
      <c r="AE556">
        <f t="shared" si="76"/>
        <v>1239.0160000000001</v>
      </c>
      <c r="AF556">
        <f t="shared" si="77"/>
        <v>0.30437897173807732</v>
      </c>
      <c r="AG556" t="str">
        <f t="shared" si="78"/>
        <v>October</v>
      </c>
      <c r="AH556">
        <f t="shared" si="79"/>
        <v>2024</v>
      </c>
      <c r="AI556" t="str">
        <f t="shared" si="80"/>
        <v>Clean</v>
      </c>
    </row>
    <row r="557" spans="1:35" ht="15.75" customHeight="1">
      <c r="A557" s="3" t="s">
        <v>2662</v>
      </c>
      <c r="B557" s="3" t="s">
        <v>889</v>
      </c>
      <c r="C557" s="3" t="s">
        <v>2663</v>
      </c>
      <c r="D557" s="3" t="str">
        <f t="shared" si="68"/>
        <v>10-Feb-2025</v>
      </c>
      <c r="E557" s="3" t="str">
        <f t="shared" si="69"/>
        <v>04-Feb-2025</v>
      </c>
      <c r="F557" s="3">
        <f t="shared" si="70"/>
        <v>6</v>
      </c>
      <c r="G557" s="3" t="s">
        <v>2664</v>
      </c>
      <c r="H557" s="3" t="s">
        <v>80</v>
      </c>
      <c r="I557" s="3" t="s">
        <v>49</v>
      </c>
      <c r="J557" s="3" t="s">
        <v>70</v>
      </c>
      <c r="K557" s="3" t="s">
        <v>71</v>
      </c>
      <c r="L557" s="3" t="s">
        <v>72</v>
      </c>
      <c r="M557" s="3" t="s">
        <v>38</v>
      </c>
      <c r="N557" s="3" t="s">
        <v>164</v>
      </c>
      <c r="O557" s="3" t="s">
        <v>2665</v>
      </c>
      <c r="P557" s="3" t="s">
        <v>75</v>
      </c>
      <c r="Q557" s="3">
        <v>6</v>
      </c>
      <c r="R557" s="3">
        <v>1042.8</v>
      </c>
      <c r="S557" s="3">
        <v>0.05</v>
      </c>
      <c r="T557" s="3">
        <v>5943.96</v>
      </c>
      <c r="U557" s="3">
        <v>3604.14</v>
      </c>
      <c r="V557" s="3">
        <v>2339.8200000000002</v>
      </c>
      <c r="W557" s="3" t="s">
        <v>42</v>
      </c>
      <c r="X557" s="3" t="s">
        <v>43</v>
      </c>
      <c r="Y557" s="2" t="str">
        <f t="shared" si="71"/>
        <v>Unique</v>
      </c>
      <c r="AA557" s="2" t="str">
        <f t="shared" si="72"/>
        <v>Clean</v>
      </c>
      <c r="AB557" s="2" t="str">
        <f t="shared" si="73"/>
        <v>valid</v>
      </c>
      <c r="AC557">
        <f t="shared" si="74"/>
        <v>0.05</v>
      </c>
      <c r="AD557">
        <f t="shared" si="75"/>
        <v>5943.9599999999991</v>
      </c>
      <c r="AE557">
        <f t="shared" si="76"/>
        <v>2339.8199999999993</v>
      </c>
      <c r="AF557">
        <f t="shared" si="77"/>
        <v>0.39364665980255581</v>
      </c>
      <c r="AG557" t="str">
        <f t="shared" si="78"/>
        <v>February</v>
      </c>
      <c r="AH557">
        <f t="shared" si="79"/>
        <v>2025</v>
      </c>
      <c r="AI557" t="str">
        <f t="shared" si="80"/>
        <v>Clean</v>
      </c>
    </row>
    <row r="558" spans="1:35" ht="15.75" customHeight="1">
      <c r="A558" s="3" t="s">
        <v>2666</v>
      </c>
      <c r="B558" s="3" t="s">
        <v>1553</v>
      </c>
      <c r="C558" s="3" t="s">
        <v>2087</v>
      </c>
      <c r="D558" s="3" t="str">
        <f t="shared" si="68"/>
        <v>29-Jun-2024</v>
      </c>
      <c r="E558" s="3" t="str">
        <f t="shared" si="69"/>
        <v>23-Jun-2024</v>
      </c>
      <c r="F558" s="3">
        <f t="shared" si="70"/>
        <v>6</v>
      </c>
      <c r="G558" s="3" t="s">
        <v>2667</v>
      </c>
      <c r="H558" s="3" t="s">
        <v>101</v>
      </c>
      <c r="I558" s="3" t="s">
        <v>34</v>
      </c>
      <c r="J558" s="3" t="s">
        <v>35</v>
      </c>
      <c r="K558" s="3" t="s">
        <v>331</v>
      </c>
      <c r="L558" s="3" t="s">
        <v>332</v>
      </c>
      <c r="M558" s="3" t="s">
        <v>53</v>
      </c>
      <c r="N558" s="3" t="s">
        <v>54</v>
      </c>
      <c r="O558" s="3" t="s">
        <v>2668</v>
      </c>
      <c r="P558" s="3" t="s">
        <v>64</v>
      </c>
      <c r="Q558" s="3">
        <v>1</v>
      </c>
      <c r="R558" s="3">
        <v>4426.66</v>
      </c>
      <c r="S558" s="3">
        <v>0</v>
      </c>
      <c r="T558" s="3">
        <v>4426.66</v>
      </c>
      <c r="U558" s="3">
        <v>3035.2</v>
      </c>
      <c r="V558" s="3">
        <v>1816.23</v>
      </c>
      <c r="W558" s="3" t="s">
        <v>42</v>
      </c>
      <c r="X558" s="3" t="s">
        <v>133</v>
      </c>
      <c r="Y558" s="2" t="str">
        <f t="shared" si="71"/>
        <v>Unique</v>
      </c>
      <c r="AA558" s="2" t="str">
        <f t="shared" si="72"/>
        <v>Clean</v>
      </c>
      <c r="AB558" s="2" t="str">
        <f t="shared" si="73"/>
        <v>valid</v>
      </c>
      <c r="AC558">
        <f t="shared" si="74"/>
        <v>0</v>
      </c>
      <c r="AD558">
        <f t="shared" si="75"/>
        <v>4426.66</v>
      </c>
      <c r="AE558">
        <f t="shared" si="76"/>
        <v>1391.46</v>
      </c>
      <c r="AF558">
        <f t="shared" si="77"/>
        <v>0.31433631677156143</v>
      </c>
      <c r="AG558" t="str">
        <f t="shared" si="78"/>
        <v>June</v>
      </c>
      <c r="AH558">
        <f t="shared" si="79"/>
        <v>2024</v>
      </c>
      <c r="AI558" t="str">
        <f t="shared" si="80"/>
        <v>Clean</v>
      </c>
    </row>
    <row r="559" spans="1:35" ht="15.75" customHeight="1">
      <c r="A559" s="3" t="s">
        <v>2669</v>
      </c>
      <c r="B559" s="3" t="s">
        <v>2670</v>
      </c>
      <c r="C559" s="3" t="s">
        <v>2671</v>
      </c>
      <c r="D559" s="3" t="str">
        <f t="shared" si="68"/>
        <v>14-May-2024</v>
      </c>
      <c r="E559" s="3" t="str">
        <f t="shared" si="69"/>
        <v>08-May-2024</v>
      </c>
      <c r="F559" s="3">
        <f t="shared" si="70"/>
        <v>6</v>
      </c>
      <c r="G559" s="3" t="s">
        <v>2672</v>
      </c>
      <c r="H559" s="3" t="s">
        <v>91</v>
      </c>
      <c r="I559" s="3" t="s">
        <v>123</v>
      </c>
      <c r="J559" s="3" t="s">
        <v>35</v>
      </c>
      <c r="K559" s="3" t="s">
        <v>331</v>
      </c>
      <c r="L559" s="3" t="s">
        <v>332</v>
      </c>
      <c r="M559" s="3" t="s">
        <v>94</v>
      </c>
      <c r="N559" s="3" t="s">
        <v>231</v>
      </c>
      <c r="O559" s="3" t="s">
        <v>2673</v>
      </c>
      <c r="P559" s="3" t="s">
        <v>64</v>
      </c>
      <c r="Q559" s="3">
        <v>9</v>
      </c>
      <c r="R559" s="3">
        <v>3769.46</v>
      </c>
      <c r="S559" s="3">
        <v>0.05</v>
      </c>
      <c r="T559" s="3">
        <v>32228.880000000001</v>
      </c>
      <c r="U559" s="3">
        <v>24971.360000000001</v>
      </c>
      <c r="V559" s="3">
        <v>7257.52</v>
      </c>
      <c r="W559" s="3" t="s">
        <v>42</v>
      </c>
      <c r="X559" s="3" t="s">
        <v>86</v>
      </c>
      <c r="Y559" s="2" t="str">
        <f t="shared" si="71"/>
        <v>Unique</v>
      </c>
      <c r="AA559" s="2" t="str">
        <f t="shared" si="72"/>
        <v>Clean</v>
      </c>
      <c r="AB559" s="2" t="str">
        <f t="shared" si="73"/>
        <v>valid</v>
      </c>
      <c r="AC559">
        <f t="shared" si="74"/>
        <v>0.05</v>
      </c>
      <c r="AD559">
        <f t="shared" si="75"/>
        <v>32228.882999999998</v>
      </c>
      <c r="AE559">
        <f t="shared" si="76"/>
        <v>7257.5229999999974</v>
      </c>
      <c r="AF559">
        <f t="shared" si="77"/>
        <v>0.22518692317074712</v>
      </c>
      <c r="AG559" t="str">
        <f t="shared" si="78"/>
        <v>May</v>
      </c>
      <c r="AH559">
        <f t="shared" si="79"/>
        <v>2024</v>
      </c>
      <c r="AI559" t="str">
        <f t="shared" si="80"/>
        <v>Warning</v>
      </c>
    </row>
    <row r="560" spans="1:35" ht="15.75" customHeight="1">
      <c r="A560" s="3" t="s">
        <v>2674</v>
      </c>
      <c r="B560" s="3" t="s">
        <v>2675</v>
      </c>
      <c r="C560" s="3" t="s">
        <v>2676</v>
      </c>
      <c r="D560" s="3" t="str">
        <f t="shared" si="68"/>
        <v>09-Apr-2025</v>
      </c>
      <c r="E560" s="3" t="str">
        <f t="shared" si="69"/>
        <v>04-Sep-2025</v>
      </c>
      <c r="F560" s="3">
        <f t="shared" si="70"/>
        <v>-148</v>
      </c>
      <c r="G560" s="3" t="s">
        <v>2677</v>
      </c>
      <c r="H560" s="3" t="s">
        <v>115</v>
      </c>
      <c r="I560" s="3" t="s">
        <v>116</v>
      </c>
      <c r="J560" s="3" t="s">
        <v>35</v>
      </c>
      <c r="K560" s="3" t="s">
        <v>162</v>
      </c>
      <c r="L560" s="3" t="s">
        <v>163</v>
      </c>
      <c r="M560" s="3" t="s">
        <v>94</v>
      </c>
      <c r="N560" s="3" t="s">
        <v>391</v>
      </c>
      <c r="O560" s="3" t="s">
        <v>2678</v>
      </c>
      <c r="P560" s="3" t="s">
        <v>64</v>
      </c>
      <c r="Q560" s="3">
        <v>8</v>
      </c>
      <c r="R560" s="3">
        <v>3079.95</v>
      </c>
      <c r="S560" s="3">
        <v>0.2</v>
      </c>
      <c r="T560" s="3">
        <v>19711.68</v>
      </c>
      <c r="U560" s="3">
        <v>14461.8</v>
      </c>
      <c r="V560" s="3">
        <v>5249.88</v>
      </c>
      <c r="W560" s="3" t="s">
        <v>42</v>
      </c>
      <c r="X560" s="3" t="s">
        <v>43</v>
      </c>
      <c r="Y560" s="2" t="str">
        <f t="shared" si="71"/>
        <v>Unique</v>
      </c>
      <c r="AA560" s="2" t="str">
        <f t="shared" si="72"/>
        <v>Clean</v>
      </c>
      <c r="AB560" s="2" t="str">
        <f t="shared" si="73"/>
        <v>Invalid</v>
      </c>
      <c r="AC560">
        <f t="shared" si="74"/>
        <v>0.2</v>
      </c>
      <c r="AD560">
        <f t="shared" si="75"/>
        <v>19711.68</v>
      </c>
      <c r="AE560">
        <f t="shared" si="76"/>
        <v>5249.880000000001</v>
      </c>
      <c r="AF560">
        <f t="shared" si="77"/>
        <v>0.26633346320557155</v>
      </c>
      <c r="AG560" t="str">
        <f t="shared" si="78"/>
        <v>September</v>
      </c>
      <c r="AH560">
        <f t="shared" si="79"/>
        <v>2025</v>
      </c>
      <c r="AI560" t="str">
        <f t="shared" si="80"/>
        <v>Clean</v>
      </c>
    </row>
    <row r="561" spans="1:35" ht="15.75" customHeight="1">
      <c r="A561" s="3" t="s">
        <v>2679</v>
      </c>
      <c r="B561" s="3" t="s">
        <v>2249</v>
      </c>
      <c r="C561" s="3" t="s">
        <v>2680</v>
      </c>
      <c r="D561" s="3" t="str">
        <f t="shared" si="68"/>
        <v>07-Oct-2025</v>
      </c>
      <c r="E561" s="3" t="str">
        <f t="shared" si="69"/>
        <v>30-Sep-2025</v>
      </c>
      <c r="F561" s="3">
        <f t="shared" si="70"/>
        <v>7</v>
      </c>
      <c r="G561" s="3" t="s">
        <v>2681</v>
      </c>
      <c r="H561" s="3" t="s">
        <v>218</v>
      </c>
      <c r="I561" s="3" t="s">
        <v>116</v>
      </c>
      <c r="J561" s="3" t="s">
        <v>50</v>
      </c>
      <c r="K561" s="3" t="s">
        <v>194</v>
      </c>
      <c r="L561" s="3" t="s">
        <v>195</v>
      </c>
      <c r="M561" s="3" t="s">
        <v>94</v>
      </c>
      <c r="N561" s="3" t="s">
        <v>102</v>
      </c>
      <c r="O561" s="3" t="s">
        <v>2682</v>
      </c>
      <c r="P561" s="3" t="s">
        <v>41</v>
      </c>
      <c r="Q561" s="3">
        <v>5</v>
      </c>
      <c r="R561" s="3">
        <v>3277.82</v>
      </c>
      <c r="S561" s="3">
        <v>0.1</v>
      </c>
      <c r="T561" s="3">
        <v>14750.19</v>
      </c>
      <c r="U561" s="3">
        <v>9482.58</v>
      </c>
      <c r="V561" s="3">
        <v>5267.61</v>
      </c>
      <c r="W561" s="3" t="s">
        <v>42</v>
      </c>
      <c r="X561" s="3" t="s">
        <v>133</v>
      </c>
      <c r="Y561" s="2" t="str">
        <f t="shared" si="71"/>
        <v>Unique</v>
      </c>
      <c r="AA561" s="2" t="str">
        <f t="shared" si="72"/>
        <v>Clean</v>
      </c>
      <c r="AB561" s="2" t="str">
        <f t="shared" si="73"/>
        <v>valid</v>
      </c>
      <c r="AC561">
        <f t="shared" si="74"/>
        <v>0.1</v>
      </c>
      <c r="AD561">
        <f t="shared" si="75"/>
        <v>14750.190000000002</v>
      </c>
      <c r="AE561">
        <f t="shared" si="76"/>
        <v>5267.6100000000024</v>
      </c>
      <c r="AF561">
        <f t="shared" si="77"/>
        <v>0.35712150148574368</v>
      </c>
      <c r="AG561" t="str">
        <f t="shared" si="78"/>
        <v>September</v>
      </c>
      <c r="AH561">
        <f t="shared" si="79"/>
        <v>2025</v>
      </c>
      <c r="AI561" t="str">
        <f t="shared" si="80"/>
        <v>Clean</v>
      </c>
    </row>
    <row r="562" spans="1:35" ht="15.75" customHeight="1">
      <c r="A562" s="3" t="s">
        <v>2683</v>
      </c>
      <c r="B562" s="3" t="s">
        <v>2684</v>
      </c>
      <c r="C562" s="3" t="s">
        <v>1061</v>
      </c>
      <c r="D562" s="3" t="str">
        <f t="shared" si="68"/>
        <v>22-Jan-2024</v>
      </c>
      <c r="E562" s="3" t="str">
        <f t="shared" si="69"/>
        <v>16-Jan-2024</v>
      </c>
      <c r="F562" s="3">
        <f t="shared" si="70"/>
        <v>6</v>
      </c>
      <c r="G562" s="3" t="s">
        <v>2685</v>
      </c>
      <c r="H562" s="3" t="s">
        <v>69</v>
      </c>
      <c r="I562" s="3" t="s">
        <v>34</v>
      </c>
      <c r="J562" s="3" t="s">
        <v>81</v>
      </c>
      <c r="K562" s="3" t="s">
        <v>257</v>
      </c>
      <c r="L562" s="3" t="s">
        <v>258</v>
      </c>
      <c r="M562" s="3" t="s">
        <v>38</v>
      </c>
      <c r="N562" s="3" t="s">
        <v>164</v>
      </c>
      <c r="O562" s="3" t="s">
        <v>2686</v>
      </c>
      <c r="P562" s="3" t="s">
        <v>75</v>
      </c>
      <c r="Q562" s="3">
        <v>4</v>
      </c>
      <c r="R562" s="3">
        <v>282.52999999999997</v>
      </c>
      <c r="S562" s="3">
        <v>0</v>
      </c>
      <c r="T562" s="3">
        <v>1130.1199999999999</v>
      </c>
      <c r="U562" s="3">
        <v>848.62</v>
      </c>
      <c r="V562" s="3">
        <v>281.5</v>
      </c>
      <c r="W562" s="3" t="s">
        <v>42</v>
      </c>
      <c r="X562" s="3" t="s">
        <v>86</v>
      </c>
      <c r="Y562" s="2" t="str">
        <f t="shared" si="71"/>
        <v>Unique</v>
      </c>
      <c r="AA562" s="2" t="str">
        <f t="shared" si="72"/>
        <v>Clean</v>
      </c>
      <c r="AB562" s="2" t="str">
        <f t="shared" si="73"/>
        <v>valid</v>
      </c>
      <c r="AC562">
        <f t="shared" si="74"/>
        <v>0</v>
      </c>
      <c r="AD562">
        <f t="shared" si="75"/>
        <v>1130.1199999999999</v>
      </c>
      <c r="AE562">
        <f t="shared" si="76"/>
        <v>281.49999999999989</v>
      </c>
      <c r="AF562">
        <f t="shared" si="77"/>
        <v>0.249088592361873</v>
      </c>
      <c r="AG562" t="str">
        <f t="shared" si="78"/>
        <v>January</v>
      </c>
      <c r="AH562">
        <f t="shared" si="79"/>
        <v>2024</v>
      </c>
      <c r="AI562" t="str">
        <f t="shared" si="80"/>
        <v>Warning</v>
      </c>
    </row>
    <row r="563" spans="1:35" ht="15.75" customHeight="1">
      <c r="A563" s="3" t="s">
        <v>2687</v>
      </c>
      <c r="B563" s="3" t="s">
        <v>771</v>
      </c>
      <c r="C563" s="3" t="s">
        <v>2688</v>
      </c>
      <c r="D563" s="3" t="str">
        <f t="shared" si="68"/>
        <v>18-Jul-2025</v>
      </c>
      <c r="E563" s="3" t="str">
        <f t="shared" si="69"/>
        <v>14-Jul-2025</v>
      </c>
      <c r="F563" s="3">
        <f t="shared" si="70"/>
        <v>4</v>
      </c>
      <c r="G563" s="3" t="s">
        <v>2689</v>
      </c>
      <c r="H563" s="3" t="s">
        <v>115</v>
      </c>
      <c r="I563" s="3" t="s">
        <v>34</v>
      </c>
      <c r="J563" s="3" t="s">
        <v>35</v>
      </c>
      <c r="K563" s="3" t="s">
        <v>162</v>
      </c>
      <c r="L563" s="3" t="s">
        <v>163</v>
      </c>
      <c r="M563" s="3" t="s">
        <v>94</v>
      </c>
      <c r="N563" s="3" t="s">
        <v>102</v>
      </c>
      <c r="O563" s="3" t="s">
        <v>2690</v>
      </c>
      <c r="P563" s="3" t="s">
        <v>64</v>
      </c>
      <c r="Q563" s="3">
        <v>4</v>
      </c>
      <c r="R563" s="3">
        <v>725.22</v>
      </c>
      <c r="S563" s="3">
        <v>0</v>
      </c>
      <c r="T563" s="3">
        <v>2900.88</v>
      </c>
      <c r="U563" s="3">
        <v>2391.85</v>
      </c>
      <c r="V563" s="3">
        <v>509.03</v>
      </c>
      <c r="W563" s="3" t="s">
        <v>145</v>
      </c>
      <c r="X563" s="3" t="s">
        <v>133</v>
      </c>
      <c r="Y563" s="2" t="str">
        <f t="shared" si="71"/>
        <v>Unique</v>
      </c>
      <c r="AA563" s="2" t="str">
        <f t="shared" si="72"/>
        <v>Clean</v>
      </c>
      <c r="AB563" s="2" t="str">
        <f t="shared" si="73"/>
        <v>valid</v>
      </c>
      <c r="AC563">
        <f t="shared" si="74"/>
        <v>0</v>
      </c>
      <c r="AD563">
        <f t="shared" si="75"/>
        <v>2900.88</v>
      </c>
      <c r="AE563">
        <f t="shared" si="76"/>
        <v>509.0300000000002</v>
      </c>
      <c r="AF563">
        <f t="shared" si="77"/>
        <v>0.17547433882132324</v>
      </c>
      <c r="AG563" t="str">
        <f t="shared" si="78"/>
        <v>July</v>
      </c>
      <c r="AH563">
        <f t="shared" si="79"/>
        <v>2025</v>
      </c>
      <c r="AI563" t="str">
        <f t="shared" si="80"/>
        <v>Clean</v>
      </c>
    </row>
    <row r="564" spans="1:35" ht="15.75" customHeight="1">
      <c r="A564" s="3" t="s">
        <v>2691</v>
      </c>
      <c r="B564" s="3" t="s">
        <v>2692</v>
      </c>
      <c r="C564" s="3" t="s">
        <v>2629</v>
      </c>
      <c r="D564" s="3" t="str">
        <f t="shared" si="68"/>
        <v>16-May-2024</v>
      </c>
      <c r="E564" s="3" t="str">
        <f t="shared" si="69"/>
        <v>10-May-2024</v>
      </c>
      <c r="F564" s="3">
        <f t="shared" si="70"/>
        <v>6</v>
      </c>
      <c r="G564" s="3" t="s">
        <v>2693</v>
      </c>
      <c r="H564" s="3" t="s">
        <v>33</v>
      </c>
      <c r="I564" s="3" t="s">
        <v>34</v>
      </c>
      <c r="J564" s="3" t="s">
        <v>35</v>
      </c>
      <c r="K564" s="3" t="s">
        <v>162</v>
      </c>
      <c r="L564" s="3" t="s">
        <v>163</v>
      </c>
      <c r="M564" s="3" t="s">
        <v>38</v>
      </c>
      <c r="N564" s="3" t="s">
        <v>206</v>
      </c>
      <c r="O564" s="3" t="s">
        <v>2694</v>
      </c>
      <c r="P564" s="3" t="s">
        <v>56</v>
      </c>
      <c r="Q564" s="3">
        <v>7</v>
      </c>
      <c r="R564" s="3">
        <v>121.54</v>
      </c>
      <c r="S564" s="3">
        <v>0.2</v>
      </c>
      <c r="T564" s="3">
        <v>680.62</v>
      </c>
      <c r="U564" s="3">
        <v>463.49</v>
      </c>
      <c r="V564" s="3">
        <v>217.13</v>
      </c>
      <c r="W564" s="3" t="s">
        <v>208</v>
      </c>
      <c r="X564" s="3" t="s">
        <v>133</v>
      </c>
      <c r="Y564" s="2" t="str">
        <f t="shared" si="71"/>
        <v>Unique</v>
      </c>
      <c r="AA564" s="2" t="str">
        <f t="shared" si="72"/>
        <v>Clean</v>
      </c>
      <c r="AB564" s="2" t="str">
        <f t="shared" si="73"/>
        <v>valid</v>
      </c>
      <c r="AC564">
        <f t="shared" si="74"/>
        <v>0.2</v>
      </c>
      <c r="AD564">
        <f t="shared" si="75"/>
        <v>680.62400000000014</v>
      </c>
      <c r="AE564">
        <f t="shared" si="76"/>
        <v>217.13400000000013</v>
      </c>
      <c r="AF564">
        <f t="shared" si="77"/>
        <v>0.31902195632243363</v>
      </c>
      <c r="AG564" t="str">
        <f t="shared" si="78"/>
        <v>May</v>
      </c>
      <c r="AH564">
        <f t="shared" si="79"/>
        <v>2024</v>
      </c>
      <c r="AI564" t="str">
        <f t="shared" si="80"/>
        <v>Warning</v>
      </c>
    </row>
    <row r="565" spans="1:35" ht="15.75" customHeight="1">
      <c r="A565" s="3" t="s">
        <v>2695</v>
      </c>
      <c r="B565" s="3" t="s">
        <v>2696</v>
      </c>
      <c r="C565" s="3" t="s">
        <v>1781</v>
      </c>
      <c r="D565" s="3" t="str">
        <f t="shared" si="68"/>
        <v>12-May-2024</v>
      </c>
      <c r="E565" s="3" t="str">
        <f t="shared" si="69"/>
        <v>05-Jun-2024</v>
      </c>
      <c r="F565" s="3">
        <f t="shared" si="70"/>
        <v>-24</v>
      </c>
      <c r="G565" s="3" t="s">
        <v>2697</v>
      </c>
      <c r="H565" s="3" t="s">
        <v>69</v>
      </c>
      <c r="I565" s="3" t="s">
        <v>116</v>
      </c>
      <c r="J565" s="3" t="s">
        <v>81</v>
      </c>
      <c r="K565" s="3" t="s">
        <v>257</v>
      </c>
      <c r="L565" s="3" t="s">
        <v>258</v>
      </c>
      <c r="M565" s="3" t="s">
        <v>53</v>
      </c>
      <c r="N565" s="3" t="s">
        <v>54</v>
      </c>
      <c r="O565" s="3" t="s">
        <v>2698</v>
      </c>
      <c r="P565" s="3" t="s">
        <v>75</v>
      </c>
      <c r="Q565" s="3">
        <v>9</v>
      </c>
      <c r="R565" s="3">
        <v>790.97</v>
      </c>
      <c r="S565" s="3">
        <v>0.2</v>
      </c>
      <c r="T565" s="3">
        <v>5694.98</v>
      </c>
      <c r="U565" s="3">
        <v>4618.33</v>
      </c>
      <c r="V565" s="3">
        <v>1076.6500000000001</v>
      </c>
      <c r="W565" s="3" t="s">
        <v>145</v>
      </c>
      <c r="X565" s="3" t="s">
        <v>86</v>
      </c>
      <c r="Y565" s="2" t="str">
        <f t="shared" si="71"/>
        <v>Unique</v>
      </c>
      <c r="AA565" s="2" t="str">
        <f t="shared" si="72"/>
        <v>Clean</v>
      </c>
      <c r="AB565" s="2" t="str">
        <f t="shared" si="73"/>
        <v>Invalid</v>
      </c>
      <c r="AC565">
        <f t="shared" si="74"/>
        <v>0.2</v>
      </c>
      <c r="AD565">
        <f t="shared" si="75"/>
        <v>5694.9840000000004</v>
      </c>
      <c r="AE565">
        <f t="shared" si="76"/>
        <v>1076.6540000000005</v>
      </c>
      <c r="AF565">
        <f t="shared" si="77"/>
        <v>0.1890530333360024</v>
      </c>
      <c r="AG565" t="str">
        <f t="shared" si="78"/>
        <v>June</v>
      </c>
      <c r="AH565">
        <f t="shared" si="79"/>
        <v>2024</v>
      </c>
      <c r="AI565" t="str">
        <f t="shared" si="80"/>
        <v>Warning</v>
      </c>
    </row>
    <row r="566" spans="1:35" ht="15.75" customHeight="1">
      <c r="A566" s="3" t="s">
        <v>2699</v>
      </c>
      <c r="B566" s="3" t="s">
        <v>113</v>
      </c>
      <c r="C566" s="3" t="s">
        <v>2700</v>
      </c>
      <c r="D566" s="3" t="str">
        <f t="shared" si="68"/>
        <v>14-Nov-2024</v>
      </c>
      <c r="E566" s="3" t="str">
        <f t="shared" si="69"/>
        <v>11-Oct-2024</v>
      </c>
      <c r="F566" s="3">
        <f t="shared" si="70"/>
        <v>34</v>
      </c>
      <c r="G566" s="3" t="s">
        <v>2701</v>
      </c>
      <c r="H566" s="3" t="s">
        <v>176</v>
      </c>
      <c r="I566" s="3" t="s">
        <v>116</v>
      </c>
      <c r="J566" s="3" t="s">
        <v>70</v>
      </c>
      <c r="K566" s="3" t="s">
        <v>108</v>
      </c>
      <c r="L566" s="3" t="s">
        <v>109</v>
      </c>
      <c r="M566" s="3" t="s">
        <v>53</v>
      </c>
      <c r="N566" s="3" t="s">
        <v>54</v>
      </c>
      <c r="O566" s="3" t="s">
        <v>2702</v>
      </c>
      <c r="P566" s="3" t="s">
        <v>64</v>
      </c>
      <c r="Q566" s="3">
        <v>2</v>
      </c>
      <c r="R566" s="3">
        <v>921.34</v>
      </c>
      <c r="S566" s="3">
        <v>0.2</v>
      </c>
      <c r="T566" s="3">
        <v>1474.14</v>
      </c>
      <c r="U566" s="3">
        <v>968.46</v>
      </c>
      <c r="V566" s="3">
        <v>505.68</v>
      </c>
      <c r="W566" s="3" t="s">
        <v>42</v>
      </c>
      <c r="X566" s="3" t="s">
        <v>43</v>
      </c>
      <c r="Y566" s="2" t="str">
        <f t="shared" si="71"/>
        <v>Unique</v>
      </c>
      <c r="AA566" s="2" t="str">
        <f t="shared" si="72"/>
        <v>Clean</v>
      </c>
      <c r="AB566" s="2" t="str">
        <f t="shared" si="73"/>
        <v>valid</v>
      </c>
      <c r="AC566">
        <f t="shared" si="74"/>
        <v>0.2</v>
      </c>
      <c r="AD566">
        <f t="shared" si="75"/>
        <v>1474.1440000000002</v>
      </c>
      <c r="AE566">
        <f t="shared" si="76"/>
        <v>505.6840000000002</v>
      </c>
      <c r="AF566">
        <f t="shared" si="77"/>
        <v>0.34303568715132315</v>
      </c>
      <c r="AG566" t="str">
        <f t="shared" si="78"/>
        <v>October</v>
      </c>
      <c r="AH566">
        <f t="shared" si="79"/>
        <v>2024</v>
      </c>
      <c r="AI566" t="str">
        <f t="shared" si="80"/>
        <v>Clean</v>
      </c>
    </row>
    <row r="567" spans="1:35" ht="15.75" customHeight="1">
      <c r="A567" s="3" t="s">
        <v>2703</v>
      </c>
      <c r="B567" s="3" t="s">
        <v>2704</v>
      </c>
      <c r="C567" s="3" t="s">
        <v>248</v>
      </c>
      <c r="D567" s="3" t="str">
        <f t="shared" si="68"/>
        <v>13-Aug-2025</v>
      </c>
      <c r="E567" s="3" t="str">
        <f t="shared" si="69"/>
        <v>07-Aug-2025</v>
      </c>
      <c r="F567" s="3">
        <f t="shared" si="70"/>
        <v>6</v>
      </c>
      <c r="G567" s="3" t="s">
        <v>2705</v>
      </c>
      <c r="H567" s="3" t="s">
        <v>48</v>
      </c>
      <c r="I567" s="3" t="s">
        <v>116</v>
      </c>
      <c r="J567" s="3" t="s">
        <v>35</v>
      </c>
      <c r="K567" s="3" t="s">
        <v>515</v>
      </c>
      <c r="L567" s="3" t="s">
        <v>516</v>
      </c>
      <c r="M567" s="3" t="s">
        <v>94</v>
      </c>
      <c r="N567" s="3" t="s">
        <v>231</v>
      </c>
      <c r="O567" s="3" t="s">
        <v>2706</v>
      </c>
      <c r="P567" s="3" t="s">
        <v>75</v>
      </c>
      <c r="Q567" s="3">
        <v>6</v>
      </c>
      <c r="R567" s="3">
        <v>1921.86</v>
      </c>
      <c r="S567" s="3">
        <v>0.2</v>
      </c>
      <c r="T567" s="3">
        <v>9224.93</v>
      </c>
      <c r="U567" s="3">
        <v>7005.2</v>
      </c>
      <c r="V567" s="3">
        <v>2219.73</v>
      </c>
      <c r="W567" s="3" t="s">
        <v>132</v>
      </c>
      <c r="X567" s="3" t="s">
        <v>86</v>
      </c>
      <c r="Y567" s="2" t="str">
        <f t="shared" si="71"/>
        <v>Unique</v>
      </c>
      <c r="AA567" s="2" t="str">
        <f t="shared" si="72"/>
        <v>Clean</v>
      </c>
      <c r="AB567" s="2" t="str">
        <f t="shared" si="73"/>
        <v>valid</v>
      </c>
      <c r="AC567">
        <f t="shared" si="74"/>
        <v>0.2</v>
      </c>
      <c r="AD567">
        <f t="shared" si="75"/>
        <v>9224.9279999999999</v>
      </c>
      <c r="AE567">
        <f t="shared" si="76"/>
        <v>2219.7280000000001</v>
      </c>
      <c r="AF567">
        <f t="shared" si="77"/>
        <v>0.24062279944081949</v>
      </c>
      <c r="AG567" t="str">
        <f t="shared" si="78"/>
        <v>August</v>
      </c>
      <c r="AH567">
        <f t="shared" si="79"/>
        <v>2025</v>
      </c>
      <c r="AI567" t="str">
        <f t="shared" si="80"/>
        <v>Warning</v>
      </c>
    </row>
    <row r="568" spans="1:35" ht="15.75" customHeight="1">
      <c r="A568" s="3" t="s">
        <v>2707</v>
      </c>
      <c r="B568" s="3" t="s">
        <v>2428</v>
      </c>
      <c r="C568" s="3" t="s">
        <v>2708</v>
      </c>
      <c r="D568" s="3" t="str">
        <f t="shared" si="68"/>
        <v>19-Aug-2024</v>
      </c>
      <c r="E568" s="3" t="str">
        <f t="shared" si="69"/>
        <v>11-Aug-2024</v>
      </c>
      <c r="F568" s="3">
        <f t="shared" si="70"/>
        <v>8</v>
      </c>
      <c r="G568" s="3" t="s">
        <v>2709</v>
      </c>
      <c r="H568" s="3" t="s">
        <v>176</v>
      </c>
      <c r="I568" s="3" t="s">
        <v>49</v>
      </c>
      <c r="J568" s="3" t="s">
        <v>81</v>
      </c>
      <c r="K568" s="3" t="s">
        <v>82</v>
      </c>
      <c r="L568" s="3" t="s">
        <v>83</v>
      </c>
      <c r="M568" s="3" t="s">
        <v>38</v>
      </c>
      <c r="N568" s="3" t="s">
        <v>39</v>
      </c>
      <c r="O568" s="3" t="s">
        <v>2710</v>
      </c>
      <c r="P568" s="3" t="s">
        <v>56</v>
      </c>
      <c r="Q568" s="3">
        <v>2</v>
      </c>
      <c r="R568" s="3">
        <v>2617.89</v>
      </c>
      <c r="S568" s="3">
        <v>0.1</v>
      </c>
      <c r="T568" s="3">
        <v>4712.2</v>
      </c>
      <c r="U568" s="3">
        <v>3851.91</v>
      </c>
      <c r="V568" s="3">
        <v>860.29</v>
      </c>
      <c r="W568" s="3" t="s">
        <v>208</v>
      </c>
      <c r="X568" s="3" t="s">
        <v>133</v>
      </c>
      <c r="Y568" s="2" t="str">
        <f t="shared" si="71"/>
        <v>Unique</v>
      </c>
      <c r="AA568" s="2" t="str">
        <f t="shared" si="72"/>
        <v>Clean</v>
      </c>
      <c r="AB568" s="2" t="str">
        <f t="shared" si="73"/>
        <v>valid</v>
      </c>
      <c r="AC568">
        <f t="shared" si="74"/>
        <v>0.1</v>
      </c>
      <c r="AD568">
        <f t="shared" si="75"/>
        <v>4712.2020000000002</v>
      </c>
      <c r="AE568">
        <f t="shared" si="76"/>
        <v>860.29200000000037</v>
      </c>
      <c r="AF568">
        <f t="shared" si="77"/>
        <v>0.18256687637754077</v>
      </c>
      <c r="AG568" t="str">
        <f t="shared" si="78"/>
        <v>August</v>
      </c>
      <c r="AH568">
        <f t="shared" si="79"/>
        <v>2024</v>
      </c>
      <c r="AI568" t="str">
        <f t="shared" si="80"/>
        <v>Warning</v>
      </c>
    </row>
    <row r="569" spans="1:35" ht="15.75" customHeight="1">
      <c r="A569" s="3" t="s">
        <v>2711</v>
      </c>
      <c r="B569" s="3" t="s">
        <v>2712</v>
      </c>
      <c r="C569" s="3" t="s">
        <v>2713</v>
      </c>
      <c r="D569" s="3" t="str">
        <f t="shared" si="68"/>
        <v>10-Feb-2024</v>
      </c>
      <c r="E569" s="3" t="str">
        <f t="shared" si="69"/>
        <v>06-Feb-2024</v>
      </c>
      <c r="F569" s="3">
        <f t="shared" si="70"/>
        <v>4</v>
      </c>
      <c r="G569" s="3" t="s">
        <v>2714</v>
      </c>
      <c r="H569" s="3" t="s">
        <v>69</v>
      </c>
      <c r="I569" s="3" t="s">
        <v>123</v>
      </c>
      <c r="J569" s="3" t="s">
        <v>35</v>
      </c>
      <c r="K569" s="3" t="s">
        <v>182</v>
      </c>
      <c r="L569" s="3" t="s">
        <v>183</v>
      </c>
      <c r="M569" s="3" t="s">
        <v>53</v>
      </c>
      <c r="N569" s="3" t="s">
        <v>73</v>
      </c>
      <c r="O569" s="3" t="s">
        <v>906</v>
      </c>
      <c r="P569" s="3" t="s">
        <v>56</v>
      </c>
      <c r="Q569" s="3">
        <v>1</v>
      </c>
      <c r="R569" s="3">
        <v>1374.06</v>
      </c>
      <c r="S569" s="3">
        <v>0.05</v>
      </c>
      <c r="T569" s="3">
        <v>1305.3599999999999</v>
      </c>
      <c r="U569" s="3">
        <v>731.89</v>
      </c>
      <c r="V569" s="3">
        <v>573.47</v>
      </c>
      <c r="W569" s="3" t="s">
        <v>42</v>
      </c>
      <c r="X569" s="3" t="s">
        <v>43</v>
      </c>
      <c r="Y569" s="2" t="str">
        <f t="shared" si="71"/>
        <v>Unique</v>
      </c>
      <c r="AA569" s="2" t="str">
        <f t="shared" si="72"/>
        <v>Clean</v>
      </c>
      <c r="AB569" s="2" t="str">
        <f t="shared" si="73"/>
        <v>valid</v>
      </c>
      <c r="AC569">
        <f t="shared" si="74"/>
        <v>0.05</v>
      </c>
      <c r="AD569">
        <f t="shared" si="75"/>
        <v>1305.357</v>
      </c>
      <c r="AE569">
        <f t="shared" si="76"/>
        <v>573.46699999999998</v>
      </c>
      <c r="AF569">
        <f t="shared" si="77"/>
        <v>0.4393181328939133</v>
      </c>
      <c r="AG569" t="str">
        <f t="shared" si="78"/>
        <v>February</v>
      </c>
      <c r="AH569">
        <f t="shared" si="79"/>
        <v>2024</v>
      </c>
      <c r="AI569" t="str">
        <f t="shared" si="80"/>
        <v>Clean</v>
      </c>
    </row>
    <row r="570" spans="1:35" ht="15.75" customHeight="1">
      <c r="A570" s="3" t="s">
        <v>2715</v>
      </c>
      <c r="B570" s="3" t="s">
        <v>1717</v>
      </c>
      <c r="C570" s="3" t="s">
        <v>2716</v>
      </c>
      <c r="D570" s="3" t="str">
        <f t="shared" si="68"/>
        <v>24-Jan-2024</v>
      </c>
      <c r="E570" s="3" t="str">
        <f t="shared" si="69"/>
        <v>21-Jan-2024</v>
      </c>
      <c r="F570" s="3">
        <f t="shared" si="70"/>
        <v>3</v>
      </c>
      <c r="G570" s="3" t="s">
        <v>2717</v>
      </c>
      <c r="H570" s="3" t="s">
        <v>375</v>
      </c>
      <c r="I570" s="3" t="s">
        <v>116</v>
      </c>
      <c r="J570" s="3" t="s">
        <v>35</v>
      </c>
      <c r="K570" s="3" t="s">
        <v>162</v>
      </c>
      <c r="L570" s="3" t="s">
        <v>163</v>
      </c>
      <c r="M570" s="3" t="s">
        <v>94</v>
      </c>
      <c r="N570" s="3" t="s">
        <v>391</v>
      </c>
      <c r="O570" s="3" t="s">
        <v>2718</v>
      </c>
      <c r="P570" s="3" t="s">
        <v>56</v>
      </c>
      <c r="Q570" s="3">
        <v>1</v>
      </c>
      <c r="R570" s="3">
        <v>3806.3</v>
      </c>
      <c r="S570" s="3">
        <v>0.25</v>
      </c>
      <c r="T570" s="3">
        <v>2854.73</v>
      </c>
      <c r="U570" s="3">
        <v>1968.12</v>
      </c>
      <c r="V570" s="3">
        <v>886.61</v>
      </c>
      <c r="W570" s="3" t="s">
        <v>42</v>
      </c>
      <c r="X570" s="3" t="s">
        <v>43</v>
      </c>
      <c r="Y570" s="2" t="str">
        <f t="shared" si="71"/>
        <v>Unique</v>
      </c>
      <c r="AA570" s="2" t="str">
        <f t="shared" si="72"/>
        <v>Clean</v>
      </c>
      <c r="AB570" s="2" t="str">
        <f t="shared" si="73"/>
        <v>valid</v>
      </c>
      <c r="AC570">
        <f t="shared" si="74"/>
        <v>0.25</v>
      </c>
      <c r="AD570">
        <f t="shared" si="75"/>
        <v>2854.7250000000004</v>
      </c>
      <c r="AE570">
        <f t="shared" si="76"/>
        <v>886.60500000000047</v>
      </c>
      <c r="AF570">
        <f t="shared" si="77"/>
        <v>0.31057457373302172</v>
      </c>
      <c r="AG570" t="str">
        <f t="shared" si="78"/>
        <v>January</v>
      </c>
      <c r="AH570">
        <f t="shared" si="79"/>
        <v>2024</v>
      </c>
      <c r="AI570" t="str">
        <f t="shared" si="80"/>
        <v>Clean</v>
      </c>
    </row>
    <row r="571" spans="1:35" ht="15.75" customHeight="1">
      <c r="A571" s="3" t="s">
        <v>2719</v>
      </c>
      <c r="B571" s="3" t="s">
        <v>2720</v>
      </c>
      <c r="C571" s="3" t="s">
        <v>2721</v>
      </c>
      <c r="D571" s="3" t="str">
        <f t="shared" si="68"/>
        <v>10-Sep-2025</v>
      </c>
      <c r="E571" s="3" t="str">
        <f t="shared" si="69"/>
        <v>09-Aug-2025</v>
      </c>
      <c r="F571" s="3">
        <f t="shared" si="70"/>
        <v>32</v>
      </c>
      <c r="G571" s="3" t="s">
        <v>2722</v>
      </c>
      <c r="H571" s="3" t="s">
        <v>156</v>
      </c>
      <c r="I571" s="3" t="s">
        <v>123</v>
      </c>
      <c r="J571" s="3" t="s">
        <v>81</v>
      </c>
      <c r="K571" s="3" t="s">
        <v>82</v>
      </c>
      <c r="L571" s="3" t="s">
        <v>83</v>
      </c>
      <c r="M571" s="3" t="s">
        <v>53</v>
      </c>
      <c r="N571" s="3" t="s">
        <v>73</v>
      </c>
      <c r="O571" s="3" t="s">
        <v>2723</v>
      </c>
      <c r="P571" s="3" t="s">
        <v>75</v>
      </c>
      <c r="Q571" s="3">
        <v>6</v>
      </c>
      <c r="R571" s="3">
        <v>3251.17</v>
      </c>
      <c r="S571" s="3">
        <v>0.25</v>
      </c>
      <c r="T571" s="3">
        <v>14630.26</v>
      </c>
      <c r="U571" s="3">
        <v>11906.36</v>
      </c>
      <c r="V571" s="3">
        <v>2723.9</v>
      </c>
      <c r="W571" s="3" t="s">
        <v>132</v>
      </c>
      <c r="X571" s="3" t="s">
        <v>133</v>
      </c>
      <c r="Y571" s="2" t="str">
        <f t="shared" si="71"/>
        <v>Unique</v>
      </c>
      <c r="AA571" s="2" t="str">
        <f t="shared" si="72"/>
        <v>Clean</v>
      </c>
      <c r="AB571" s="2" t="str">
        <f t="shared" si="73"/>
        <v>valid</v>
      </c>
      <c r="AC571">
        <f t="shared" si="74"/>
        <v>0.25</v>
      </c>
      <c r="AD571">
        <f t="shared" si="75"/>
        <v>14630.264999999999</v>
      </c>
      <c r="AE571">
        <f t="shared" si="76"/>
        <v>2723.9049999999988</v>
      </c>
      <c r="AF571">
        <f t="shared" si="77"/>
        <v>0.18618288868998606</v>
      </c>
      <c r="AG571" t="str">
        <f t="shared" si="78"/>
        <v>August</v>
      </c>
      <c r="AH571">
        <f t="shared" si="79"/>
        <v>2025</v>
      </c>
      <c r="AI571" t="str">
        <f t="shared" si="80"/>
        <v>Clean</v>
      </c>
    </row>
    <row r="572" spans="1:35" ht="15.75" customHeight="1">
      <c r="A572" s="3" t="s">
        <v>2724</v>
      </c>
      <c r="B572" s="3" t="s">
        <v>926</v>
      </c>
      <c r="C572" s="3" t="s">
        <v>708</v>
      </c>
      <c r="D572" s="3" t="str">
        <f t="shared" si="68"/>
        <v>22-Aug-2025</v>
      </c>
      <c r="E572" s="3" t="str">
        <f t="shared" si="69"/>
        <v>18-Aug-2025</v>
      </c>
      <c r="F572" s="3">
        <f t="shared" si="70"/>
        <v>4</v>
      </c>
      <c r="G572" s="3" t="s">
        <v>2725</v>
      </c>
      <c r="H572" s="3" t="s">
        <v>69</v>
      </c>
      <c r="I572" s="3" t="s">
        <v>34</v>
      </c>
      <c r="J572" s="3" t="s">
        <v>50</v>
      </c>
      <c r="K572" s="3" t="s">
        <v>319</v>
      </c>
      <c r="L572" s="3" t="s">
        <v>320</v>
      </c>
      <c r="M572" s="3" t="s">
        <v>53</v>
      </c>
      <c r="N572" s="3" t="s">
        <v>73</v>
      </c>
      <c r="O572" s="3" t="s">
        <v>2726</v>
      </c>
      <c r="P572" s="3" t="s">
        <v>41</v>
      </c>
      <c r="Q572" s="3">
        <v>3</v>
      </c>
      <c r="R572" s="3">
        <v>3946.44</v>
      </c>
      <c r="S572" s="3">
        <v>0.25</v>
      </c>
      <c r="T572" s="3">
        <v>8879.49</v>
      </c>
      <c r="U572" s="3">
        <v>6344.57</v>
      </c>
      <c r="V572" s="3">
        <v>2534.92</v>
      </c>
      <c r="W572" s="3" t="s">
        <v>208</v>
      </c>
      <c r="X572" s="3" t="s">
        <v>133</v>
      </c>
      <c r="Y572" s="2" t="str">
        <f t="shared" si="71"/>
        <v>Unique</v>
      </c>
      <c r="AA572" s="2" t="str">
        <f t="shared" si="72"/>
        <v>Clean</v>
      </c>
      <c r="AB572" s="2" t="str">
        <f t="shared" si="73"/>
        <v>valid</v>
      </c>
      <c r="AC572">
        <f t="shared" si="74"/>
        <v>0.25</v>
      </c>
      <c r="AD572">
        <f t="shared" si="75"/>
        <v>8879.49</v>
      </c>
      <c r="AE572">
        <f t="shared" si="76"/>
        <v>2534.92</v>
      </c>
      <c r="AF572">
        <f t="shared" si="77"/>
        <v>0.28548035979543873</v>
      </c>
      <c r="AG572" t="str">
        <f t="shared" si="78"/>
        <v>August</v>
      </c>
      <c r="AH572">
        <f t="shared" si="79"/>
        <v>2025</v>
      </c>
      <c r="AI572" t="str">
        <f t="shared" si="80"/>
        <v>Warning</v>
      </c>
    </row>
    <row r="573" spans="1:35" ht="15.75" customHeight="1">
      <c r="A573" s="3" t="s">
        <v>2727</v>
      </c>
      <c r="B573" s="3" t="s">
        <v>2663</v>
      </c>
      <c r="C573" s="3" t="s">
        <v>2728</v>
      </c>
      <c r="D573" s="3" t="str">
        <f t="shared" si="68"/>
        <v>14-Feb-2025</v>
      </c>
      <c r="E573" s="3" t="str">
        <f t="shared" si="69"/>
        <v>10-Feb-2025</v>
      </c>
      <c r="F573" s="3">
        <f t="shared" si="70"/>
        <v>4</v>
      </c>
      <c r="G573" s="3" t="s">
        <v>2729</v>
      </c>
      <c r="H573" s="3" t="s">
        <v>150</v>
      </c>
      <c r="I573" s="3" t="s">
        <v>49</v>
      </c>
      <c r="J573" s="3" t="s">
        <v>35</v>
      </c>
      <c r="K573" s="3" t="s">
        <v>182</v>
      </c>
      <c r="L573" s="3" t="s">
        <v>183</v>
      </c>
      <c r="M573" s="3" t="s">
        <v>94</v>
      </c>
      <c r="N573" s="3" t="s">
        <v>231</v>
      </c>
      <c r="O573" s="3" t="s">
        <v>2730</v>
      </c>
      <c r="P573" s="3" t="s">
        <v>280</v>
      </c>
      <c r="Q573" s="3">
        <v>5</v>
      </c>
      <c r="R573" s="3">
        <v>4276.29</v>
      </c>
      <c r="S573" s="3">
        <v>0</v>
      </c>
      <c r="T573" s="3">
        <v>21381.45</v>
      </c>
      <c r="U573" s="3">
        <v>13240.21</v>
      </c>
      <c r="V573" s="3">
        <v>8141.24</v>
      </c>
      <c r="W573" s="3" t="s">
        <v>208</v>
      </c>
      <c r="X573" s="3" t="s">
        <v>133</v>
      </c>
      <c r="Y573" s="2" t="str">
        <f t="shared" si="71"/>
        <v>Duplicate Order ID</v>
      </c>
      <c r="Z573" s="5" t="s">
        <v>722</v>
      </c>
      <c r="AA573" s="2" t="str">
        <f t="shared" si="72"/>
        <v>Clean</v>
      </c>
      <c r="AB573" s="2" t="str">
        <f t="shared" si="73"/>
        <v>valid</v>
      </c>
      <c r="AC573">
        <f t="shared" si="74"/>
        <v>0</v>
      </c>
      <c r="AD573">
        <f t="shared" si="75"/>
        <v>21381.45</v>
      </c>
      <c r="AE573">
        <f t="shared" si="76"/>
        <v>8141.2400000000016</v>
      </c>
      <c r="AF573">
        <f t="shared" si="77"/>
        <v>0.38076182859441249</v>
      </c>
      <c r="AG573" t="str">
        <f t="shared" si="78"/>
        <v>February</v>
      </c>
      <c r="AH573">
        <f t="shared" si="79"/>
        <v>2025</v>
      </c>
      <c r="AI573" t="str">
        <f t="shared" si="80"/>
        <v>Warning</v>
      </c>
    </row>
    <row r="574" spans="1:35" ht="15.75" customHeight="1">
      <c r="A574" s="3" t="s">
        <v>2731</v>
      </c>
      <c r="B574" s="3" t="s">
        <v>2732</v>
      </c>
      <c r="C574" s="3" t="s">
        <v>2733</v>
      </c>
      <c r="D574" s="3" t="str">
        <f t="shared" si="68"/>
        <v>09-Jan-2024</v>
      </c>
      <c r="E574" s="3" t="str">
        <f t="shared" si="69"/>
        <v>01-Feb-2024</v>
      </c>
      <c r="F574" s="3">
        <f t="shared" si="70"/>
        <v>-23</v>
      </c>
      <c r="G574" s="3" t="s">
        <v>2734</v>
      </c>
      <c r="H574" s="3" t="s">
        <v>2735</v>
      </c>
      <c r="I574" s="3" t="s">
        <v>116</v>
      </c>
      <c r="J574" s="3" t="s">
        <v>35</v>
      </c>
      <c r="K574" s="3" t="s">
        <v>515</v>
      </c>
      <c r="L574" s="3" t="s">
        <v>516</v>
      </c>
      <c r="M574" s="3" t="s">
        <v>94</v>
      </c>
      <c r="N574" s="3" t="s">
        <v>231</v>
      </c>
      <c r="O574" s="3" t="s">
        <v>2736</v>
      </c>
      <c r="P574" s="3" t="s">
        <v>75</v>
      </c>
      <c r="Q574" s="3">
        <v>3</v>
      </c>
      <c r="R574" s="3">
        <v>739.56</v>
      </c>
      <c r="S574" s="3">
        <v>0.2</v>
      </c>
      <c r="T574" s="3">
        <v>1774.94</v>
      </c>
      <c r="U574" s="3">
        <v>1007.4</v>
      </c>
      <c r="V574" s="3">
        <v>767.54</v>
      </c>
      <c r="W574" s="3" t="s">
        <v>42</v>
      </c>
      <c r="X574" s="3" t="s">
        <v>43</v>
      </c>
      <c r="Y574" s="2" t="str">
        <f t="shared" si="71"/>
        <v>Unique</v>
      </c>
      <c r="AA574" s="2" t="str">
        <f t="shared" si="72"/>
        <v>Clean</v>
      </c>
      <c r="AB574" s="2" t="str">
        <f t="shared" si="73"/>
        <v>Invalid</v>
      </c>
      <c r="AC574">
        <f t="shared" si="74"/>
        <v>0.2</v>
      </c>
      <c r="AD574">
        <f t="shared" si="75"/>
        <v>1774.944</v>
      </c>
      <c r="AE574">
        <f t="shared" si="76"/>
        <v>767.54399999999998</v>
      </c>
      <c r="AF574">
        <f t="shared" si="77"/>
        <v>0.43243279787982042</v>
      </c>
      <c r="AG574" t="str">
        <f t="shared" si="78"/>
        <v>February</v>
      </c>
      <c r="AH574">
        <f t="shared" si="79"/>
        <v>2024</v>
      </c>
      <c r="AI574" t="str">
        <f t="shared" si="80"/>
        <v>Clean</v>
      </c>
    </row>
    <row r="575" spans="1:35" ht="15.75" customHeight="1">
      <c r="A575" s="3" t="s">
        <v>2737</v>
      </c>
      <c r="B575" s="3" t="s">
        <v>2738</v>
      </c>
      <c r="C575" s="3" t="s">
        <v>2739</v>
      </c>
      <c r="D575" s="3" t="str">
        <f t="shared" si="68"/>
        <v>26-Sep-2025</v>
      </c>
      <c r="E575" s="3" t="str">
        <f t="shared" si="69"/>
        <v>22-Sep-2025</v>
      </c>
      <c r="F575" s="3">
        <f t="shared" si="70"/>
        <v>4</v>
      </c>
      <c r="G575" s="3" t="s">
        <v>2740</v>
      </c>
      <c r="H575" s="3" t="s">
        <v>61</v>
      </c>
      <c r="I575" s="3" t="s">
        <v>34</v>
      </c>
      <c r="J575" s="3" t="s">
        <v>70</v>
      </c>
      <c r="K575" s="3" t="s">
        <v>108</v>
      </c>
      <c r="L575" s="3" t="s">
        <v>109</v>
      </c>
      <c r="M575" s="3" t="s">
        <v>94</v>
      </c>
      <c r="N575" s="3" t="s">
        <v>231</v>
      </c>
      <c r="O575" s="3" t="s">
        <v>2741</v>
      </c>
      <c r="P575" s="3" t="s">
        <v>75</v>
      </c>
      <c r="Q575" s="3">
        <v>1</v>
      </c>
      <c r="R575" s="3">
        <v>573.65</v>
      </c>
      <c r="S575" s="3">
        <v>0</v>
      </c>
      <c r="T575" s="3">
        <v>573.65</v>
      </c>
      <c r="U575" s="3">
        <v>322.67</v>
      </c>
      <c r="V575" s="3">
        <v>250.98</v>
      </c>
      <c r="W575" s="3" t="s">
        <v>42</v>
      </c>
      <c r="X575" s="3" t="s">
        <v>43</v>
      </c>
      <c r="Y575" s="2" t="str">
        <f t="shared" si="71"/>
        <v>Unique</v>
      </c>
      <c r="AA575" s="2" t="str">
        <f t="shared" si="72"/>
        <v>Clean</v>
      </c>
      <c r="AB575" s="2" t="str">
        <f t="shared" si="73"/>
        <v>valid</v>
      </c>
      <c r="AC575">
        <f t="shared" si="74"/>
        <v>0</v>
      </c>
      <c r="AD575">
        <f t="shared" si="75"/>
        <v>573.65</v>
      </c>
      <c r="AE575">
        <f t="shared" si="76"/>
        <v>250.97999999999996</v>
      </c>
      <c r="AF575">
        <f t="shared" si="77"/>
        <v>0.43751416368866031</v>
      </c>
      <c r="AG575" t="str">
        <f t="shared" si="78"/>
        <v>September</v>
      </c>
      <c r="AH575">
        <f t="shared" si="79"/>
        <v>2025</v>
      </c>
      <c r="AI575" t="str">
        <f t="shared" si="80"/>
        <v>Clean</v>
      </c>
    </row>
    <row r="576" spans="1:35" ht="15.75" customHeight="1">
      <c r="A576" s="3" t="s">
        <v>2742</v>
      </c>
      <c r="B576" s="3" t="s">
        <v>2743</v>
      </c>
      <c r="C576" s="3" t="s">
        <v>1644</v>
      </c>
      <c r="D576" s="3" t="str">
        <f t="shared" si="68"/>
        <v>25-Feb-2024</v>
      </c>
      <c r="E576" s="3" t="str">
        <f t="shared" si="69"/>
        <v>20-Feb-2024</v>
      </c>
      <c r="F576" s="3">
        <f t="shared" si="70"/>
        <v>5</v>
      </c>
      <c r="G576" s="3" t="s">
        <v>1227</v>
      </c>
      <c r="H576" s="3" t="s">
        <v>218</v>
      </c>
      <c r="I576" s="3" t="s">
        <v>123</v>
      </c>
      <c r="J576" s="3" t="s">
        <v>35</v>
      </c>
      <c r="K576" s="3" t="s">
        <v>162</v>
      </c>
      <c r="L576" s="3" t="s">
        <v>163</v>
      </c>
      <c r="M576" s="3" t="s">
        <v>94</v>
      </c>
      <c r="N576" s="3" t="s">
        <v>391</v>
      </c>
      <c r="O576" s="3" t="s">
        <v>2744</v>
      </c>
      <c r="P576" s="3" t="s">
        <v>75</v>
      </c>
      <c r="Q576" s="3">
        <v>4</v>
      </c>
      <c r="R576" s="3">
        <v>1355.8</v>
      </c>
      <c r="S576" s="3">
        <v>0</v>
      </c>
      <c r="T576" s="3">
        <v>5423.2</v>
      </c>
      <c r="U576" s="3">
        <v>4072.44</v>
      </c>
      <c r="V576" s="3">
        <v>1350.76</v>
      </c>
      <c r="W576" s="3" t="s">
        <v>42</v>
      </c>
      <c r="X576" s="3" t="s">
        <v>43</v>
      </c>
      <c r="Y576" s="2" t="str">
        <f t="shared" si="71"/>
        <v>Unique</v>
      </c>
      <c r="AA576" s="2" t="str">
        <f t="shared" si="72"/>
        <v>Clean</v>
      </c>
      <c r="AB576" s="2" t="str">
        <f t="shared" si="73"/>
        <v>valid</v>
      </c>
      <c r="AC576">
        <f t="shared" si="74"/>
        <v>0</v>
      </c>
      <c r="AD576">
        <f t="shared" si="75"/>
        <v>5423.2</v>
      </c>
      <c r="AE576">
        <f t="shared" si="76"/>
        <v>1350.7599999999998</v>
      </c>
      <c r="AF576">
        <f t="shared" si="77"/>
        <v>0.24907065938929043</v>
      </c>
      <c r="AG576" t="str">
        <f t="shared" si="78"/>
        <v>February</v>
      </c>
      <c r="AH576">
        <f t="shared" si="79"/>
        <v>2024</v>
      </c>
      <c r="AI576" t="str">
        <f t="shared" si="80"/>
        <v>Clean</v>
      </c>
    </row>
    <row r="577" spans="1:35" ht="15.75" customHeight="1">
      <c r="A577" s="3" t="s">
        <v>2745</v>
      </c>
      <c r="B577" s="3" t="s">
        <v>2746</v>
      </c>
      <c r="C577" s="3" t="s">
        <v>2747</v>
      </c>
      <c r="D577" s="3" t="str">
        <f t="shared" si="68"/>
        <v>14-Mar-2025</v>
      </c>
      <c r="E577" s="3" t="str">
        <f t="shared" si="69"/>
        <v>11-Mar-2025</v>
      </c>
      <c r="F577" s="3">
        <f t="shared" si="70"/>
        <v>3</v>
      </c>
      <c r="G577" s="3" t="s">
        <v>2748</v>
      </c>
      <c r="H577" s="3" t="s">
        <v>176</v>
      </c>
      <c r="I577" s="3" t="s">
        <v>123</v>
      </c>
      <c r="J577" s="3" t="s">
        <v>70</v>
      </c>
      <c r="K577" s="3" t="s">
        <v>250</v>
      </c>
      <c r="L577" s="3" t="s">
        <v>251</v>
      </c>
      <c r="M577" s="3" t="s">
        <v>53</v>
      </c>
      <c r="N577" s="3" t="s">
        <v>73</v>
      </c>
      <c r="O577" s="3" t="s">
        <v>2749</v>
      </c>
      <c r="P577" s="3" t="s">
        <v>56</v>
      </c>
      <c r="Q577" s="3">
        <v>4</v>
      </c>
      <c r="R577" s="3">
        <v>1244.82</v>
      </c>
      <c r="S577" s="3">
        <v>0.2</v>
      </c>
      <c r="T577" s="3">
        <v>3983.42</v>
      </c>
      <c r="U577" s="3">
        <v>3174.91</v>
      </c>
      <c r="V577" s="3">
        <v>808.51</v>
      </c>
      <c r="W577" s="3" t="s">
        <v>208</v>
      </c>
      <c r="X577" s="3" t="s">
        <v>133</v>
      </c>
      <c r="Y577" s="2" t="str">
        <f t="shared" si="71"/>
        <v>Unique</v>
      </c>
      <c r="AA577" s="2" t="str">
        <f t="shared" si="72"/>
        <v>Clean</v>
      </c>
      <c r="AB577" s="2" t="str">
        <f t="shared" si="73"/>
        <v>valid</v>
      </c>
      <c r="AC577">
        <f t="shared" si="74"/>
        <v>0.2</v>
      </c>
      <c r="AD577">
        <f t="shared" si="75"/>
        <v>3983.424</v>
      </c>
      <c r="AE577">
        <f t="shared" si="76"/>
        <v>808.51400000000012</v>
      </c>
      <c r="AF577">
        <f t="shared" si="77"/>
        <v>0.2029696060474607</v>
      </c>
      <c r="AG577" t="str">
        <f t="shared" si="78"/>
        <v>March</v>
      </c>
      <c r="AH577">
        <f t="shared" si="79"/>
        <v>2025</v>
      </c>
      <c r="AI577" t="str">
        <f t="shared" si="80"/>
        <v>Warning</v>
      </c>
    </row>
    <row r="578" spans="1:35" ht="15.75" customHeight="1">
      <c r="A578" s="3" t="s">
        <v>2750</v>
      </c>
      <c r="B578" s="3" t="s">
        <v>2751</v>
      </c>
      <c r="C578" s="3" t="s">
        <v>2752</v>
      </c>
      <c r="D578" s="3" t="str">
        <f t="shared" si="68"/>
        <v>23-Feb-2024</v>
      </c>
      <c r="E578" s="3" t="str">
        <f t="shared" si="69"/>
        <v>17-Feb-2024</v>
      </c>
      <c r="F578" s="3">
        <f t="shared" si="70"/>
        <v>6</v>
      </c>
      <c r="G578" s="3" t="s">
        <v>2753</v>
      </c>
      <c r="H578" s="3" t="s">
        <v>188</v>
      </c>
      <c r="I578" s="3" t="s">
        <v>123</v>
      </c>
      <c r="J578" s="3" t="s">
        <v>280</v>
      </c>
      <c r="K578" s="3" t="s">
        <v>194</v>
      </c>
      <c r="L578" s="3" t="s">
        <v>195</v>
      </c>
      <c r="M578" s="3" t="s">
        <v>38</v>
      </c>
      <c r="N578" s="3" t="s">
        <v>206</v>
      </c>
      <c r="O578" s="3" t="s">
        <v>2754</v>
      </c>
      <c r="P578" s="3" t="s">
        <v>75</v>
      </c>
      <c r="Q578" s="3">
        <v>9</v>
      </c>
      <c r="R578" s="3">
        <v>2614.46</v>
      </c>
      <c r="S578" s="3">
        <v>0</v>
      </c>
      <c r="T578" s="3">
        <v>23530.14</v>
      </c>
      <c r="U578" s="3">
        <v>19537.79</v>
      </c>
      <c r="V578" s="3">
        <v>3992.35</v>
      </c>
      <c r="W578" s="3" t="s">
        <v>132</v>
      </c>
      <c r="X578" s="3" t="s">
        <v>133</v>
      </c>
      <c r="Y578" s="2" t="str">
        <f t="shared" si="71"/>
        <v>Unique</v>
      </c>
      <c r="AA578" s="2" t="str">
        <f t="shared" si="72"/>
        <v>Clean</v>
      </c>
      <c r="AB578" s="2" t="str">
        <f t="shared" si="73"/>
        <v>valid</v>
      </c>
      <c r="AC578">
        <f t="shared" si="74"/>
        <v>0</v>
      </c>
      <c r="AD578">
        <f t="shared" si="75"/>
        <v>23530.14</v>
      </c>
      <c r="AE578">
        <f t="shared" si="76"/>
        <v>3992.3499999999985</v>
      </c>
      <c r="AF578">
        <f t="shared" si="77"/>
        <v>0.16966962372514566</v>
      </c>
      <c r="AG578" t="str">
        <f t="shared" si="78"/>
        <v>February</v>
      </c>
      <c r="AH578">
        <f t="shared" si="79"/>
        <v>2024</v>
      </c>
      <c r="AI578" t="str">
        <f t="shared" si="80"/>
        <v>Clean</v>
      </c>
    </row>
    <row r="579" spans="1:35" ht="15.75" customHeight="1">
      <c r="A579" s="3" t="s">
        <v>2755</v>
      </c>
      <c r="B579" s="3" t="s">
        <v>444</v>
      </c>
      <c r="C579" s="3" t="s">
        <v>2756</v>
      </c>
      <c r="D579" s="3" t="str">
        <f t="shared" si="68"/>
        <v>03-Sep-2025</v>
      </c>
      <c r="E579" s="3" t="str">
        <f t="shared" si="69"/>
        <v>28-Aug-2025</v>
      </c>
      <c r="F579" s="3">
        <f t="shared" si="70"/>
        <v>6</v>
      </c>
      <c r="G579" s="3" t="s">
        <v>2757</v>
      </c>
      <c r="H579" s="3" t="s">
        <v>150</v>
      </c>
      <c r="I579" s="3" t="s">
        <v>116</v>
      </c>
      <c r="J579" s="3" t="s">
        <v>81</v>
      </c>
      <c r="K579" s="3" t="s">
        <v>92</v>
      </c>
      <c r="L579" s="3" t="s">
        <v>93</v>
      </c>
      <c r="M579" s="3" t="s">
        <v>53</v>
      </c>
      <c r="N579" s="3" t="s">
        <v>73</v>
      </c>
      <c r="O579" s="3" t="s">
        <v>2758</v>
      </c>
      <c r="P579" s="3" t="s">
        <v>75</v>
      </c>
      <c r="Q579" s="3">
        <v>7</v>
      </c>
      <c r="R579" s="3">
        <v>268.45</v>
      </c>
      <c r="S579" s="3">
        <v>0</v>
      </c>
      <c r="T579" s="3">
        <v>1879.15</v>
      </c>
      <c r="U579" s="3">
        <v>1134.9000000000001</v>
      </c>
      <c r="V579" s="3">
        <v>744.25</v>
      </c>
      <c r="W579" s="3" t="s">
        <v>42</v>
      </c>
      <c r="X579" s="3" t="s">
        <v>43</v>
      </c>
      <c r="Y579" s="2" t="str">
        <f t="shared" si="71"/>
        <v>Unique</v>
      </c>
      <c r="AA579" s="2" t="str">
        <f t="shared" si="72"/>
        <v>Clean</v>
      </c>
      <c r="AB579" s="2" t="str">
        <f t="shared" si="73"/>
        <v>valid</v>
      </c>
      <c r="AC579">
        <f t="shared" ref="AC579:AC642" si="81">IF(S579="",0,IF(S579&gt;1,S579/100,S579))</f>
        <v>0</v>
      </c>
      <c r="AD579">
        <f t="shared" ref="AD579:AD642" si="82">Q579*R579*(1-AC579)</f>
        <v>1879.1499999999999</v>
      </c>
      <c r="AE579">
        <f t="shared" ref="AE579:AE642" si="83">AD579-U579</f>
        <v>744.24999999999977</v>
      </c>
      <c r="AF579">
        <f t="shared" ref="AF579:AF642" si="84">AE579/AD579</f>
        <v>0.39605672777585599</v>
      </c>
      <c r="AG579" t="str">
        <f t="shared" ref="AG579:AG642" si="85">TEXT(E579,"mmmm")</f>
        <v>August</v>
      </c>
      <c r="AH579">
        <f t="shared" ref="AH579:AH642" si="86">YEAR(E579)</f>
        <v>2025</v>
      </c>
      <c r="AI579" t="str">
        <f t="shared" ref="AI579:AI642" si="87">IF(OR(AC579&lt;0,AC579&gt;0.5,F579="Invalid Shipping Record"),"Invalid",
IF(OR(X579="Cancelled",W579="Failed"),"Warning","Clean"))</f>
        <v>Clean</v>
      </c>
    </row>
    <row r="580" spans="1:35" ht="15.75" customHeight="1">
      <c r="A580" s="3" t="s">
        <v>2759</v>
      </c>
      <c r="B580" s="3" t="s">
        <v>2760</v>
      </c>
      <c r="C580" s="3" t="s">
        <v>2761</v>
      </c>
      <c r="D580" s="3" t="str">
        <f t="shared" si="68"/>
        <v>23-Feb-2024</v>
      </c>
      <c r="E580" s="3" t="str">
        <f t="shared" si="69"/>
        <v>21-Feb-2024</v>
      </c>
      <c r="F580" s="3">
        <f t="shared" si="70"/>
        <v>2</v>
      </c>
      <c r="G580" s="3" t="s">
        <v>426</v>
      </c>
      <c r="H580" s="3" t="s">
        <v>101</v>
      </c>
      <c r="I580" s="3" t="s">
        <v>49</v>
      </c>
      <c r="J580" s="3" t="s">
        <v>81</v>
      </c>
      <c r="K580" s="3" t="s">
        <v>243</v>
      </c>
      <c r="L580" s="3" t="s">
        <v>244</v>
      </c>
      <c r="M580" s="3" t="s">
        <v>94</v>
      </c>
      <c r="N580" s="3" t="s">
        <v>102</v>
      </c>
      <c r="O580" s="3" t="s">
        <v>2762</v>
      </c>
      <c r="P580" s="3" t="s">
        <v>64</v>
      </c>
      <c r="Q580" s="3">
        <v>6</v>
      </c>
      <c r="R580" s="3">
        <v>2633.65</v>
      </c>
      <c r="S580" s="3">
        <v>0.05</v>
      </c>
      <c r="T580" s="3">
        <v>15011.81</v>
      </c>
      <c r="U580" s="3">
        <v>9660.36</v>
      </c>
      <c r="V580" s="3">
        <v>5351.45</v>
      </c>
      <c r="W580" s="3" t="s">
        <v>42</v>
      </c>
      <c r="X580" s="3" t="s">
        <v>43</v>
      </c>
      <c r="Y580" s="2" t="str">
        <f t="shared" si="71"/>
        <v>Unique</v>
      </c>
      <c r="AA580" s="2" t="str">
        <f t="shared" si="72"/>
        <v>Clean</v>
      </c>
      <c r="AB580" s="2" t="str">
        <f t="shared" si="73"/>
        <v>valid</v>
      </c>
      <c r="AC580">
        <f t="shared" si="81"/>
        <v>0.05</v>
      </c>
      <c r="AD580">
        <f t="shared" si="82"/>
        <v>15011.805</v>
      </c>
      <c r="AE580">
        <f t="shared" si="83"/>
        <v>5351.4449999999997</v>
      </c>
      <c r="AF580">
        <f t="shared" si="84"/>
        <v>0.35648244831317749</v>
      </c>
      <c r="AG580" t="str">
        <f t="shared" si="85"/>
        <v>February</v>
      </c>
      <c r="AH580">
        <f t="shared" si="86"/>
        <v>2024</v>
      </c>
      <c r="AI580" t="str">
        <f t="shared" si="87"/>
        <v>Clean</v>
      </c>
    </row>
    <row r="581" spans="1:35" ht="15.75" customHeight="1">
      <c r="A581" s="3" t="s">
        <v>2763</v>
      </c>
      <c r="B581" s="3" t="s">
        <v>2764</v>
      </c>
      <c r="C581" s="3" t="s">
        <v>2765</v>
      </c>
      <c r="D581" s="3" t="str">
        <f t="shared" si="68"/>
        <v>24-Jun-2024</v>
      </c>
      <c r="E581" s="3" t="str">
        <f t="shared" si="69"/>
        <v>19-Jun-2024</v>
      </c>
      <c r="F581" s="3">
        <f t="shared" si="70"/>
        <v>5</v>
      </c>
      <c r="G581" s="3" t="s">
        <v>2766</v>
      </c>
      <c r="H581" s="3" t="s">
        <v>170</v>
      </c>
      <c r="I581" s="3" t="s">
        <v>49</v>
      </c>
      <c r="J581" s="3" t="s">
        <v>70</v>
      </c>
      <c r="K581" s="3" t="s">
        <v>347</v>
      </c>
      <c r="L581" s="3" t="s">
        <v>348</v>
      </c>
      <c r="M581" s="3" t="s">
        <v>38</v>
      </c>
      <c r="N581" s="3" t="s">
        <v>164</v>
      </c>
      <c r="O581" s="3" t="s">
        <v>2767</v>
      </c>
      <c r="P581" s="3" t="s">
        <v>56</v>
      </c>
      <c r="Q581" s="3">
        <v>1</v>
      </c>
      <c r="R581" s="3">
        <v>3202.41</v>
      </c>
      <c r="S581" s="3">
        <v>0</v>
      </c>
      <c r="T581" s="3">
        <v>3202.41</v>
      </c>
      <c r="U581" s="3">
        <v>2608.44</v>
      </c>
      <c r="V581" s="3">
        <v>593.97</v>
      </c>
      <c r="W581" s="3" t="s">
        <v>42</v>
      </c>
      <c r="X581" s="3" t="s">
        <v>43</v>
      </c>
      <c r="Y581" s="2" t="str">
        <f t="shared" si="71"/>
        <v>Unique</v>
      </c>
      <c r="AA581" s="2" t="str">
        <f t="shared" si="72"/>
        <v>Clean</v>
      </c>
      <c r="AB581" s="2" t="str">
        <f t="shared" si="73"/>
        <v>valid</v>
      </c>
      <c r="AC581">
        <f t="shared" si="81"/>
        <v>0</v>
      </c>
      <c r="AD581">
        <f t="shared" si="82"/>
        <v>3202.41</v>
      </c>
      <c r="AE581">
        <f t="shared" si="83"/>
        <v>593.9699999999998</v>
      </c>
      <c r="AF581">
        <f t="shared" si="84"/>
        <v>0.18547593843386695</v>
      </c>
      <c r="AG581" t="str">
        <f t="shared" si="85"/>
        <v>June</v>
      </c>
      <c r="AH581">
        <f t="shared" si="86"/>
        <v>2024</v>
      </c>
      <c r="AI581" t="str">
        <f t="shared" si="87"/>
        <v>Clean</v>
      </c>
    </row>
    <row r="582" spans="1:35" ht="15.75" customHeight="1">
      <c r="A582" s="3" t="s">
        <v>2768</v>
      </c>
      <c r="B582" s="3" t="s">
        <v>2769</v>
      </c>
      <c r="C582" s="3" t="s">
        <v>1459</v>
      </c>
      <c r="D582" s="3" t="str">
        <f t="shared" si="68"/>
        <v>13-Mar-2025</v>
      </c>
      <c r="E582" s="3" t="str">
        <f t="shared" si="69"/>
        <v>06-Mar-2025</v>
      </c>
      <c r="F582" s="3">
        <f t="shared" si="70"/>
        <v>7</v>
      </c>
      <c r="G582" s="3" t="s">
        <v>2770</v>
      </c>
      <c r="H582" s="3" t="s">
        <v>375</v>
      </c>
      <c r="I582" s="3" t="s">
        <v>34</v>
      </c>
      <c r="J582" s="3" t="s">
        <v>70</v>
      </c>
      <c r="K582" s="3" t="s">
        <v>250</v>
      </c>
      <c r="L582" s="3" t="s">
        <v>251</v>
      </c>
      <c r="M582" s="3" t="s">
        <v>53</v>
      </c>
      <c r="N582" s="3" t="s">
        <v>84</v>
      </c>
      <c r="O582" s="3" t="s">
        <v>2771</v>
      </c>
      <c r="P582" s="3" t="s">
        <v>75</v>
      </c>
      <c r="Q582" s="3">
        <v>3</v>
      </c>
      <c r="R582" s="3">
        <v>163.72</v>
      </c>
      <c r="S582" s="3">
        <v>0.15</v>
      </c>
      <c r="T582" s="3">
        <v>417.49</v>
      </c>
      <c r="U582" s="3">
        <v>261.67</v>
      </c>
      <c r="V582" s="3">
        <v>155.82</v>
      </c>
      <c r="W582" s="3" t="s">
        <v>208</v>
      </c>
      <c r="X582" s="3" t="s">
        <v>133</v>
      </c>
      <c r="Y582" s="2" t="str">
        <f t="shared" si="71"/>
        <v>Unique</v>
      </c>
      <c r="AA582" s="2" t="str">
        <f t="shared" si="72"/>
        <v>Clean</v>
      </c>
      <c r="AB582" s="2" t="str">
        <f t="shared" si="73"/>
        <v>valid</v>
      </c>
      <c r="AC582">
        <f t="shared" si="81"/>
        <v>0.15</v>
      </c>
      <c r="AD582">
        <f t="shared" si="82"/>
        <v>417.48599999999999</v>
      </c>
      <c r="AE582">
        <f t="shared" si="83"/>
        <v>155.81599999999997</v>
      </c>
      <c r="AF582">
        <f t="shared" si="84"/>
        <v>0.37322449136018926</v>
      </c>
      <c r="AG582" t="str">
        <f t="shared" si="85"/>
        <v>March</v>
      </c>
      <c r="AH582">
        <f t="shared" si="86"/>
        <v>2025</v>
      </c>
      <c r="AI582" t="str">
        <f t="shared" si="87"/>
        <v>Warning</v>
      </c>
    </row>
    <row r="583" spans="1:35" ht="15.75" customHeight="1">
      <c r="A583" s="3" t="s">
        <v>2772</v>
      </c>
      <c r="B583" s="3" t="s">
        <v>1342</v>
      </c>
      <c r="C583" s="3" t="s">
        <v>2773</v>
      </c>
      <c r="D583" s="3" t="str">
        <f t="shared" si="68"/>
        <v>08-Oct-2025</v>
      </c>
      <c r="E583" s="3" t="str">
        <f t="shared" si="69"/>
        <v>09-Aug-2025</v>
      </c>
      <c r="F583" s="3">
        <f t="shared" si="70"/>
        <v>60</v>
      </c>
      <c r="G583" s="3" t="s">
        <v>2774</v>
      </c>
      <c r="H583" s="3" t="s">
        <v>101</v>
      </c>
      <c r="I583" s="3" t="s">
        <v>34</v>
      </c>
      <c r="J583" s="3" t="s">
        <v>35</v>
      </c>
      <c r="K583" s="3" t="s">
        <v>515</v>
      </c>
      <c r="L583" s="3" t="s">
        <v>516</v>
      </c>
      <c r="M583" s="3" t="s">
        <v>38</v>
      </c>
      <c r="N583" s="3" t="s">
        <v>62</v>
      </c>
      <c r="O583" s="3" t="s">
        <v>2775</v>
      </c>
      <c r="P583" s="3" t="s">
        <v>41</v>
      </c>
      <c r="Q583" s="3">
        <v>4</v>
      </c>
      <c r="R583" s="3">
        <v>4080.95</v>
      </c>
      <c r="S583" s="3">
        <v>0</v>
      </c>
      <c r="T583" s="3">
        <v>16323.8</v>
      </c>
      <c r="U583" s="3">
        <v>9965.7900000000009</v>
      </c>
      <c r="V583" s="3">
        <v>6358.01</v>
      </c>
      <c r="W583" s="3" t="s">
        <v>132</v>
      </c>
      <c r="X583" s="3" t="s">
        <v>133</v>
      </c>
      <c r="Y583" s="2" t="str">
        <f t="shared" si="71"/>
        <v>Unique</v>
      </c>
      <c r="AA583" s="2" t="str">
        <f t="shared" si="72"/>
        <v>Clean</v>
      </c>
      <c r="AB583" s="2" t="str">
        <f t="shared" si="73"/>
        <v>valid</v>
      </c>
      <c r="AC583">
        <f t="shared" si="81"/>
        <v>0</v>
      </c>
      <c r="AD583">
        <f t="shared" si="82"/>
        <v>16323.8</v>
      </c>
      <c r="AE583">
        <f t="shared" si="83"/>
        <v>6358.0099999999984</v>
      </c>
      <c r="AF583">
        <f t="shared" si="84"/>
        <v>0.38949325524693995</v>
      </c>
      <c r="AG583" t="str">
        <f t="shared" si="85"/>
        <v>August</v>
      </c>
      <c r="AH583">
        <f t="shared" si="86"/>
        <v>2025</v>
      </c>
      <c r="AI583" t="str">
        <f t="shared" si="87"/>
        <v>Clean</v>
      </c>
    </row>
    <row r="584" spans="1:35" ht="15.75" customHeight="1">
      <c r="A584" s="3" t="s">
        <v>2776</v>
      </c>
      <c r="B584" s="3" t="s">
        <v>2777</v>
      </c>
      <c r="C584" s="3" t="s">
        <v>2778</v>
      </c>
      <c r="D584" s="3" t="str">
        <f t="shared" si="68"/>
        <v>20-Oct-2024</v>
      </c>
      <c r="E584" s="3" t="str">
        <f t="shared" si="69"/>
        <v>15-Oct-2024</v>
      </c>
      <c r="F584" s="3">
        <f t="shared" si="70"/>
        <v>5</v>
      </c>
      <c r="G584" s="3" t="s">
        <v>2779</v>
      </c>
      <c r="H584" s="3" t="s">
        <v>80</v>
      </c>
      <c r="I584" s="3" t="s">
        <v>34</v>
      </c>
      <c r="J584" s="3" t="s">
        <v>50</v>
      </c>
      <c r="K584" s="3" t="s">
        <v>51</v>
      </c>
      <c r="L584" s="3" t="s">
        <v>52</v>
      </c>
      <c r="M584" s="3" t="s">
        <v>38</v>
      </c>
      <c r="N584" s="3" t="s">
        <v>62</v>
      </c>
      <c r="O584" s="3" t="s">
        <v>2780</v>
      </c>
      <c r="P584" s="3" t="s">
        <v>64</v>
      </c>
      <c r="Q584" s="3">
        <v>5</v>
      </c>
      <c r="R584" s="3">
        <v>671.24</v>
      </c>
      <c r="S584" s="3">
        <v>0</v>
      </c>
      <c r="T584" s="3">
        <v>3356.2</v>
      </c>
      <c r="U584" s="3">
        <v>2205.7199999999998</v>
      </c>
      <c r="V584" s="3">
        <v>1150.48</v>
      </c>
      <c r="W584" s="3" t="s">
        <v>145</v>
      </c>
      <c r="X584" s="3" t="s">
        <v>133</v>
      </c>
      <c r="Y584" s="2" t="str">
        <f t="shared" si="71"/>
        <v>Unique</v>
      </c>
      <c r="AA584" s="2" t="str">
        <f t="shared" si="72"/>
        <v>Clean</v>
      </c>
      <c r="AB584" s="2" t="str">
        <f t="shared" si="73"/>
        <v>valid</v>
      </c>
      <c r="AC584">
        <f t="shared" si="81"/>
        <v>0</v>
      </c>
      <c r="AD584">
        <f t="shared" si="82"/>
        <v>3356.2</v>
      </c>
      <c r="AE584">
        <f t="shared" si="83"/>
        <v>1150.48</v>
      </c>
      <c r="AF584">
        <f t="shared" si="84"/>
        <v>0.34279244383528995</v>
      </c>
      <c r="AG584" t="str">
        <f t="shared" si="85"/>
        <v>October</v>
      </c>
      <c r="AH584">
        <f t="shared" si="86"/>
        <v>2024</v>
      </c>
      <c r="AI584" t="str">
        <f t="shared" si="87"/>
        <v>Clean</v>
      </c>
    </row>
    <row r="585" spans="1:35" ht="15.75" customHeight="1">
      <c r="A585" s="3" t="s">
        <v>2781</v>
      </c>
      <c r="B585" s="3" t="s">
        <v>636</v>
      </c>
      <c r="C585" s="3" t="s">
        <v>2782</v>
      </c>
      <c r="D585" s="3" t="str">
        <f t="shared" si="68"/>
        <v>28-Feb-2024</v>
      </c>
      <c r="E585" s="3" t="str">
        <f t="shared" si="69"/>
        <v>28-Feb-2024</v>
      </c>
      <c r="F585" s="3">
        <f t="shared" si="70"/>
        <v>0</v>
      </c>
      <c r="G585" s="3" t="s">
        <v>2783</v>
      </c>
      <c r="H585" s="3" t="s">
        <v>188</v>
      </c>
      <c r="I585" s="3" t="s">
        <v>49</v>
      </c>
      <c r="J585" s="3" t="s">
        <v>50</v>
      </c>
      <c r="K585" s="3" t="s">
        <v>129</v>
      </c>
      <c r="L585" s="3" t="s">
        <v>130</v>
      </c>
      <c r="M585" s="3" t="s">
        <v>38</v>
      </c>
      <c r="N585" s="3" t="s">
        <v>164</v>
      </c>
      <c r="O585" s="3" t="s">
        <v>2784</v>
      </c>
      <c r="P585" s="3" t="s">
        <v>64</v>
      </c>
      <c r="Q585" s="3">
        <v>1</v>
      </c>
      <c r="R585" s="3">
        <v>2626.84</v>
      </c>
      <c r="S585" s="3">
        <v>0.2</v>
      </c>
      <c r="T585" s="3">
        <v>2101.4699999999998</v>
      </c>
      <c r="U585" s="3">
        <v>1217.83</v>
      </c>
      <c r="V585" s="3">
        <v>883.64</v>
      </c>
      <c r="W585" s="3" t="s">
        <v>208</v>
      </c>
      <c r="X585" s="3" t="s">
        <v>133</v>
      </c>
      <c r="Y585" s="2" t="str">
        <f t="shared" si="71"/>
        <v>Unique</v>
      </c>
      <c r="AA585" s="2" t="str">
        <f t="shared" si="72"/>
        <v>Clean</v>
      </c>
      <c r="AB585" s="2" t="str">
        <f t="shared" si="73"/>
        <v>valid</v>
      </c>
      <c r="AC585">
        <f t="shared" si="81"/>
        <v>0.2</v>
      </c>
      <c r="AD585">
        <f t="shared" si="82"/>
        <v>2101.4720000000002</v>
      </c>
      <c r="AE585">
        <f t="shared" si="83"/>
        <v>883.64200000000028</v>
      </c>
      <c r="AF585">
        <f t="shared" si="84"/>
        <v>0.42048716328364127</v>
      </c>
      <c r="AG585" t="str">
        <f t="shared" si="85"/>
        <v>February</v>
      </c>
      <c r="AH585">
        <f t="shared" si="86"/>
        <v>2024</v>
      </c>
      <c r="AI585" t="str">
        <f t="shared" si="87"/>
        <v>Warning</v>
      </c>
    </row>
    <row r="586" spans="1:35" ht="15.75" customHeight="1">
      <c r="A586" s="3" t="s">
        <v>2785</v>
      </c>
      <c r="B586" s="3" t="s">
        <v>2786</v>
      </c>
      <c r="C586" s="3" t="s">
        <v>2787</v>
      </c>
      <c r="D586" s="3" t="str">
        <f t="shared" si="68"/>
        <v>10-Aug-2024</v>
      </c>
      <c r="E586" s="3" t="str">
        <f t="shared" si="69"/>
        <v>08-Apr-2024</v>
      </c>
      <c r="F586" s="3">
        <f t="shared" si="70"/>
        <v>124</v>
      </c>
      <c r="G586" s="3" t="s">
        <v>2788</v>
      </c>
      <c r="H586" s="3" t="s">
        <v>91</v>
      </c>
      <c r="I586" s="3" t="s">
        <v>34</v>
      </c>
      <c r="J586" s="3" t="s">
        <v>50</v>
      </c>
      <c r="K586" s="3" t="s">
        <v>194</v>
      </c>
      <c r="L586" s="3" t="s">
        <v>195</v>
      </c>
      <c r="M586" s="3" t="s">
        <v>38</v>
      </c>
      <c r="N586" s="3" t="s">
        <v>62</v>
      </c>
      <c r="O586" s="3" t="s">
        <v>2789</v>
      </c>
      <c r="P586" s="3" t="s">
        <v>56</v>
      </c>
      <c r="Q586" s="3">
        <v>1</v>
      </c>
      <c r="R586" s="3">
        <v>984.93</v>
      </c>
      <c r="S586" s="3">
        <v>0.15</v>
      </c>
      <c r="T586" s="3">
        <v>837.19</v>
      </c>
      <c r="U586" s="3">
        <v>583.79</v>
      </c>
      <c r="V586" s="3">
        <v>253.4</v>
      </c>
      <c r="W586" s="3" t="s">
        <v>145</v>
      </c>
      <c r="X586" s="3" t="s">
        <v>133</v>
      </c>
      <c r="Y586" s="2" t="str">
        <f t="shared" si="71"/>
        <v>Unique</v>
      </c>
      <c r="AA586" s="2" t="str">
        <f t="shared" si="72"/>
        <v>Clean</v>
      </c>
      <c r="AB586" s="2" t="str">
        <f t="shared" si="73"/>
        <v>valid</v>
      </c>
      <c r="AC586">
        <f t="shared" si="81"/>
        <v>0.15</v>
      </c>
      <c r="AD586">
        <f t="shared" si="82"/>
        <v>837.19049999999993</v>
      </c>
      <c r="AE586">
        <f t="shared" si="83"/>
        <v>253.40049999999997</v>
      </c>
      <c r="AF586">
        <f t="shared" si="84"/>
        <v>0.30267961712417901</v>
      </c>
      <c r="AG586" t="str">
        <f t="shared" si="85"/>
        <v>April</v>
      </c>
      <c r="AH586">
        <f t="shared" si="86"/>
        <v>2024</v>
      </c>
      <c r="AI586" t="str">
        <f t="shared" si="87"/>
        <v>Clean</v>
      </c>
    </row>
    <row r="587" spans="1:35" ht="15.75" customHeight="1">
      <c r="A587" s="3" t="s">
        <v>2790</v>
      </c>
      <c r="B587" s="3" t="s">
        <v>1686</v>
      </c>
      <c r="C587" s="3" t="s">
        <v>2791</v>
      </c>
      <c r="D587" s="3" t="str">
        <f t="shared" si="68"/>
        <v>25-Jun-2025</v>
      </c>
      <c r="E587" s="3" t="str">
        <f t="shared" si="69"/>
        <v>22-Jun-2025</v>
      </c>
      <c r="F587" s="3">
        <f t="shared" si="70"/>
        <v>3</v>
      </c>
      <c r="G587" s="3" t="s">
        <v>2792</v>
      </c>
      <c r="H587" s="3" t="s">
        <v>218</v>
      </c>
      <c r="I587" s="3" t="s">
        <v>49</v>
      </c>
      <c r="J587" s="3" t="s">
        <v>81</v>
      </c>
      <c r="K587" s="3" t="s">
        <v>82</v>
      </c>
      <c r="L587" s="3" t="s">
        <v>83</v>
      </c>
      <c r="M587" s="3" t="s">
        <v>94</v>
      </c>
      <c r="N587" s="3" t="s">
        <v>231</v>
      </c>
      <c r="O587" s="3" t="s">
        <v>2793</v>
      </c>
      <c r="P587" s="3" t="s">
        <v>64</v>
      </c>
      <c r="Q587" s="3">
        <v>8</v>
      </c>
      <c r="R587" s="3">
        <v>3453.66</v>
      </c>
      <c r="S587" s="3">
        <v>0</v>
      </c>
      <c r="T587" s="3">
        <v>27629.279999999999</v>
      </c>
      <c r="U587" s="3">
        <v>22026.48</v>
      </c>
      <c r="V587" s="3">
        <v>5602.8</v>
      </c>
      <c r="W587" s="3" t="s">
        <v>42</v>
      </c>
      <c r="X587" s="3" t="s">
        <v>43</v>
      </c>
      <c r="Y587" s="2" t="str">
        <f t="shared" si="71"/>
        <v>Unique</v>
      </c>
      <c r="AA587" s="2" t="str">
        <f t="shared" si="72"/>
        <v>Clean</v>
      </c>
      <c r="AB587" s="2" t="str">
        <f t="shared" si="73"/>
        <v>valid</v>
      </c>
      <c r="AC587">
        <f t="shared" si="81"/>
        <v>0</v>
      </c>
      <c r="AD587">
        <f t="shared" si="82"/>
        <v>27629.279999999999</v>
      </c>
      <c r="AE587">
        <f t="shared" si="83"/>
        <v>5602.7999999999993</v>
      </c>
      <c r="AF587">
        <f t="shared" si="84"/>
        <v>0.20278487170132553</v>
      </c>
      <c r="AG587" t="str">
        <f t="shared" si="85"/>
        <v>June</v>
      </c>
      <c r="AH587">
        <f t="shared" si="86"/>
        <v>2025</v>
      </c>
      <c r="AI587" t="str">
        <f t="shared" si="87"/>
        <v>Clean</v>
      </c>
    </row>
    <row r="588" spans="1:35" ht="15.75" customHeight="1">
      <c r="A588" s="3" t="s">
        <v>2794</v>
      </c>
      <c r="B588" s="3" t="s">
        <v>2795</v>
      </c>
      <c r="C588" s="3" t="s">
        <v>2796</v>
      </c>
      <c r="D588" s="3" t="str">
        <f t="shared" si="68"/>
        <v>12-Apr-2025</v>
      </c>
      <c r="E588" s="3" t="str">
        <f t="shared" si="69"/>
        <v>12-Apr-2025</v>
      </c>
      <c r="F588" s="3">
        <f t="shared" si="70"/>
        <v>0</v>
      </c>
      <c r="G588" s="3" t="s">
        <v>2797</v>
      </c>
      <c r="H588" s="3" t="s">
        <v>48</v>
      </c>
      <c r="I588" s="3" t="s">
        <v>123</v>
      </c>
      <c r="J588" s="3" t="s">
        <v>35</v>
      </c>
      <c r="K588" s="3" t="s">
        <v>162</v>
      </c>
      <c r="L588" s="3" t="s">
        <v>163</v>
      </c>
      <c r="M588" s="3" t="s">
        <v>38</v>
      </c>
      <c r="N588" s="3" t="s">
        <v>206</v>
      </c>
      <c r="O588" s="3" t="s">
        <v>2798</v>
      </c>
      <c r="P588" s="3" t="s">
        <v>41</v>
      </c>
      <c r="Q588" s="3">
        <v>7</v>
      </c>
      <c r="R588" s="3">
        <v>1334.2</v>
      </c>
      <c r="S588" s="3">
        <v>0.2</v>
      </c>
      <c r="T588" s="3">
        <v>7471.52</v>
      </c>
      <c r="U588" s="3">
        <v>6184.32</v>
      </c>
      <c r="V588" s="3">
        <v>1287.2</v>
      </c>
      <c r="W588" s="3" t="s">
        <v>42</v>
      </c>
      <c r="X588" s="3" t="s">
        <v>43</v>
      </c>
      <c r="Y588" s="2" t="str">
        <f t="shared" si="71"/>
        <v>Unique</v>
      </c>
      <c r="AA588" s="2" t="str">
        <f t="shared" si="72"/>
        <v>Clean</v>
      </c>
      <c r="AB588" s="2" t="str">
        <f t="shared" si="73"/>
        <v>valid</v>
      </c>
      <c r="AC588">
        <f t="shared" si="81"/>
        <v>0.2</v>
      </c>
      <c r="AD588">
        <f t="shared" si="82"/>
        <v>7471.52</v>
      </c>
      <c r="AE588">
        <f t="shared" si="83"/>
        <v>1287.2000000000007</v>
      </c>
      <c r="AF588">
        <f t="shared" si="84"/>
        <v>0.17228087457438387</v>
      </c>
      <c r="AG588" t="str">
        <f t="shared" si="85"/>
        <v>April</v>
      </c>
      <c r="AH588">
        <f t="shared" si="86"/>
        <v>2025</v>
      </c>
      <c r="AI588" t="str">
        <f t="shared" si="87"/>
        <v>Clean</v>
      </c>
    </row>
    <row r="589" spans="1:35" ht="15.75" customHeight="1">
      <c r="A589" s="3" t="s">
        <v>2799</v>
      </c>
      <c r="B589" s="3" t="s">
        <v>2800</v>
      </c>
      <c r="C589" s="3" t="s">
        <v>2801</v>
      </c>
      <c r="D589" s="3" t="str">
        <f t="shared" si="68"/>
        <v>31-Jul-2025</v>
      </c>
      <c r="E589" s="3" t="str">
        <f t="shared" si="69"/>
        <v>23-Jul-2025</v>
      </c>
      <c r="F589" s="3">
        <f t="shared" si="70"/>
        <v>8</v>
      </c>
      <c r="G589" s="3" t="s">
        <v>2802</v>
      </c>
      <c r="H589" s="3" t="s">
        <v>375</v>
      </c>
      <c r="I589" s="3" t="s">
        <v>123</v>
      </c>
      <c r="J589" s="3" t="s">
        <v>81</v>
      </c>
      <c r="K589" s="3" t="s">
        <v>92</v>
      </c>
      <c r="L589" s="3" t="s">
        <v>93</v>
      </c>
      <c r="M589" s="3" t="s">
        <v>94</v>
      </c>
      <c r="N589" s="3" t="s">
        <v>95</v>
      </c>
      <c r="O589" s="3" t="s">
        <v>2803</v>
      </c>
      <c r="P589" s="3" t="s">
        <v>64</v>
      </c>
      <c r="Q589" s="3">
        <v>1</v>
      </c>
      <c r="R589" s="3">
        <v>4253.84</v>
      </c>
      <c r="S589" s="3">
        <v>0.15</v>
      </c>
      <c r="T589" s="3">
        <v>3615.76</v>
      </c>
      <c r="U589" s="3">
        <v>2951.52</v>
      </c>
      <c r="V589" s="3">
        <v>664.24</v>
      </c>
      <c r="W589" s="3" t="s">
        <v>132</v>
      </c>
      <c r="X589" s="3" t="s">
        <v>86</v>
      </c>
      <c r="Y589" s="2" t="str">
        <f t="shared" si="71"/>
        <v>Unique</v>
      </c>
      <c r="AA589" s="2" t="str">
        <f t="shared" si="72"/>
        <v>Clean</v>
      </c>
      <c r="AB589" s="2" t="str">
        <f t="shared" si="73"/>
        <v>valid</v>
      </c>
      <c r="AC589">
        <f t="shared" si="81"/>
        <v>0.15</v>
      </c>
      <c r="AD589">
        <f t="shared" si="82"/>
        <v>3615.7640000000001</v>
      </c>
      <c r="AE589">
        <f t="shared" si="83"/>
        <v>664.24400000000014</v>
      </c>
      <c r="AF589">
        <f t="shared" si="84"/>
        <v>0.18370778623826114</v>
      </c>
      <c r="AG589" t="str">
        <f t="shared" si="85"/>
        <v>July</v>
      </c>
      <c r="AH589">
        <f t="shared" si="86"/>
        <v>2025</v>
      </c>
      <c r="AI589" t="str">
        <f t="shared" si="87"/>
        <v>Warning</v>
      </c>
    </row>
    <row r="590" spans="1:35" ht="15.75" customHeight="1">
      <c r="A590" s="3" t="s">
        <v>2804</v>
      </c>
      <c r="B590" s="3" t="s">
        <v>2805</v>
      </c>
      <c r="C590" s="3" t="s">
        <v>2806</v>
      </c>
      <c r="D590" s="3" t="str">
        <f t="shared" si="68"/>
        <v>15-Mar-2025</v>
      </c>
      <c r="E590" s="3" t="str">
        <f t="shared" si="69"/>
        <v>11-Mar-2025</v>
      </c>
      <c r="F590" s="3">
        <f t="shared" si="70"/>
        <v>4</v>
      </c>
      <c r="G590" s="3" t="s">
        <v>2807</v>
      </c>
      <c r="H590" s="3" t="s">
        <v>170</v>
      </c>
      <c r="I590" s="3" t="s">
        <v>123</v>
      </c>
      <c r="J590" s="3" t="s">
        <v>70</v>
      </c>
      <c r="K590" s="3" t="s">
        <v>237</v>
      </c>
      <c r="L590" s="3" t="s">
        <v>238</v>
      </c>
      <c r="M590" s="3" t="s">
        <v>94</v>
      </c>
      <c r="N590" s="3" t="s">
        <v>95</v>
      </c>
      <c r="O590" s="3" t="s">
        <v>2808</v>
      </c>
      <c r="P590" s="3" t="s">
        <v>41</v>
      </c>
      <c r="Q590" s="3">
        <v>8</v>
      </c>
      <c r="R590" s="3">
        <v>4446.3599999999997</v>
      </c>
      <c r="S590" s="3">
        <v>0.1</v>
      </c>
      <c r="T590" s="3">
        <v>32013.79</v>
      </c>
      <c r="U590" s="3">
        <v>20896.88</v>
      </c>
      <c r="V590" s="3">
        <v>11116.91</v>
      </c>
      <c r="W590" s="3" t="s">
        <v>132</v>
      </c>
      <c r="X590" s="3" t="s">
        <v>86</v>
      </c>
      <c r="Y590" s="2" t="str">
        <f t="shared" si="71"/>
        <v>Unique</v>
      </c>
      <c r="AA590" s="2" t="str">
        <f t="shared" si="72"/>
        <v>Clean</v>
      </c>
      <c r="AB590" s="2" t="str">
        <f t="shared" si="73"/>
        <v>valid</v>
      </c>
      <c r="AC590">
        <f t="shared" si="81"/>
        <v>0.1</v>
      </c>
      <c r="AD590">
        <f t="shared" si="82"/>
        <v>32013.791999999998</v>
      </c>
      <c r="AE590">
        <f t="shared" si="83"/>
        <v>11116.911999999997</v>
      </c>
      <c r="AF590">
        <f t="shared" si="84"/>
        <v>0.34725383359771933</v>
      </c>
      <c r="AG590" t="str">
        <f t="shared" si="85"/>
        <v>March</v>
      </c>
      <c r="AH590">
        <f t="shared" si="86"/>
        <v>2025</v>
      </c>
      <c r="AI590" t="str">
        <f t="shared" si="87"/>
        <v>Warning</v>
      </c>
    </row>
    <row r="591" spans="1:35" ht="15.75" customHeight="1">
      <c r="A591" s="3" t="s">
        <v>2809</v>
      </c>
      <c r="B591" s="3" t="s">
        <v>2810</v>
      </c>
      <c r="C591" s="3" t="s">
        <v>2811</v>
      </c>
      <c r="D591" s="3" t="str">
        <f t="shared" si="68"/>
        <v>12-Dec-2024</v>
      </c>
      <c r="E591" s="3" t="str">
        <f t="shared" si="69"/>
        <v>06-Dec-2024</v>
      </c>
      <c r="F591" s="3">
        <f t="shared" si="70"/>
        <v>6</v>
      </c>
      <c r="G591" s="3" t="s">
        <v>2812</v>
      </c>
      <c r="H591" s="3" t="s">
        <v>188</v>
      </c>
      <c r="I591" s="3" t="s">
        <v>116</v>
      </c>
      <c r="J591" s="3" t="s">
        <v>35</v>
      </c>
      <c r="K591" s="3" t="s">
        <v>182</v>
      </c>
      <c r="L591" s="3" t="s">
        <v>183</v>
      </c>
      <c r="M591" s="3" t="s">
        <v>94</v>
      </c>
      <c r="N591" s="3" t="s">
        <v>231</v>
      </c>
      <c r="O591" s="3" t="s">
        <v>2813</v>
      </c>
      <c r="P591" s="3" t="s">
        <v>64</v>
      </c>
      <c r="Q591" s="3">
        <v>3</v>
      </c>
      <c r="R591" s="3">
        <v>524.75</v>
      </c>
      <c r="S591" s="3">
        <v>0</v>
      </c>
      <c r="T591" s="3">
        <v>1574.25</v>
      </c>
      <c r="U591" s="3">
        <v>1326.12</v>
      </c>
      <c r="V591" s="3">
        <v>248.13</v>
      </c>
      <c r="W591" s="3" t="s">
        <v>42</v>
      </c>
      <c r="X591" s="3" t="s">
        <v>43</v>
      </c>
      <c r="Y591" s="2" t="str">
        <f t="shared" si="71"/>
        <v>Unique</v>
      </c>
      <c r="AA591" s="2" t="str">
        <f t="shared" si="72"/>
        <v>Clean</v>
      </c>
      <c r="AB591" s="2" t="str">
        <f t="shared" si="73"/>
        <v>valid</v>
      </c>
      <c r="AC591">
        <f t="shared" si="81"/>
        <v>0</v>
      </c>
      <c r="AD591">
        <f t="shared" si="82"/>
        <v>1574.25</v>
      </c>
      <c r="AE591">
        <f t="shared" si="83"/>
        <v>248.13000000000011</v>
      </c>
      <c r="AF591">
        <f t="shared" si="84"/>
        <v>0.15761791329204389</v>
      </c>
      <c r="AG591" t="str">
        <f t="shared" si="85"/>
        <v>December</v>
      </c>
      <c r="AH591">
        <f t="shared" si="86"/>
        <v>2024</v>
      </c>
      <c r="AI591" t="str">
        <f t="shared" si="87"/>
        <v>Clean</v>
      </c>
    </row>
    <row r="592" spans="1:35" ht="15.75" customHeight="1">
      <c r="A592" s="3" t="s">
        <v>2814</v>
      </c>
      <c r="B592" s="3" t="s">
        <v>282</v>
      </c>
      <c r="C592" s="3" t="s">
        <v>2815</v>
      </c>
      <c r="D592" s="3" t="str">
        <f t="shared" si="68"/>
        <v>29-May-2024</v>
      </c>
      <c r="E592" s="3" t="str">
        <f t="shared" si="69"/>
        <v>29-May-2024</v>
      </c>
      <c r="F592" s="3">
        <f t="shared" si="70"/>
        <v>0</v>
      </c>
      <c r="G592" s="3" t="s">
        <v>2816</v>
      </c>
      <c r="H592" s="3" t="s">
        <v>170</v>
      </c>
      <c r="I592" s="3" t="s">
        <v>123</v>
      </c>
      <c r="J592" s="3" t="s">
        <v>35</v>
      </c>
      <c r="K592" s="3" t="s">
        <v>515</v>
      </c>
      <c r="L592" s="3" t="s">
        <v>516</v>
      </c>
      <c r="M592" s="3" t="s">
        <v>53</v>
      </c>
      <c r="N592" s="3" t="s">
        <v>84</v>
      </c>
      <c r="O592" s="3" t="s">
        <v>2817</v>
      </c>
      <c r="P592" s="3" t="s">
        <v>56</v>
      </c>
      <c r="Q592" s="3">
        <v>6</v>
      </c>
      <c r="R592" s="3">
        <v>3430.35</v>
      </c>
      <c r="S592" s="3">
        <v>0</v>
      </c>
      <c r="T592" s="3">
        <v>20582.099999999999</v>
      </c>
      <c r="U592" s="3">
        <v>15897.65</v>
      </c>
      <c r="V592" s="3">
        <v>4684.45</v>
      </c>
      <c r="W592" s="3" t="s">
        <v>145</v>
      </c>
      <c r="X592" s="3" t="s">
        <v>86</v>
      </c>
      <c r="Y592" s="2" t="str">
        <f t="shared" si="71"/>
        <v>Unique</v>
      </c>
      <c r="AA592" s="2" t="str">
        <f t="shared" si="72"/>
        <v>Clean</v>
      </c>
      <c r="AB592" s="2" t="str">
        <f t="shared" si="73"/>
        <v>valid</v>
      </c>
      <c r="AC592">
        <f t="shared" si="81"/>
        <v>0</v>
      </c>
      <c r="AD592">
        <f t="shared" si="82"/>
        <v>20582.099999999999</v>
      </c>
      <c r="AE592">
        <f t="shared" si="83"/>
        <v>4684.4499999999989</v>
      </c>
      <c r="AF592">
        <f t="shared" si="84"/>
        <v>0.22759825285077806</v>
      </c>
      <c r="AG592" t="str">
        <f t="shared" si="85"/>
        <v>May</v>
      </c>
      <c r="AH592">
        <f t="shared" si="86"/>
        <v>2024</v>
      </c>
      <c r="AI592" t="str">
        <f t="shared" si="87"/>
        <v>Warning</v>
      </c>
    </row>
    <row r="593" spans="1:35" ht="15.75" customHeight="1">
      <c r="A593" s="3" t="s">
        <v>2818</v>
      </c>
      <c r="B593" s="3" t="s">
        <v>2819</v>
      </c>
      <c r="C593" s="3" t="s">
        <v>2820</v>
      </c>
      <c r="D593" s="3" t="str">
        <f t="shared" si="68"/>
        <v>24-Feb-2024</v>
      </c>
      <c r="E593" s="3" t="str">
        <f t="shared" si="69"/>
        <v>22-Feb-2024</v>
      </c>
      <c r="F593" s="3">
        <f t="shared" si="70"/>
        <v>2</v>
      </c>
      <c r="G593" s="3" t="s">
        <v>2821</v>
      </c>
      <c r="H593" s="3" t="s">
        <v>176</v>
      </c>
      <c r="I593" s="3" t="s">
        <v>34</v>
      </c>
      <c r="J593" s="3" t="s">
        <v>70</v>
      </c>
      <c r="K593" s="3" t="s">
        <v>237</v>
      </c>
      <c r="L593" s="3" t="s">
        <v>238</v>
      </c>
      <c r="M593" s="3" t="s">
        <v>94</v>
      </c>
      <c r="N593" s="3" t="s">
        <v>102</v>
      </c>
      <c r="O593" s="3" t="s">
        <v>2822</v>
      </c>
      <c r="P593" s="3" t="s">
        <v>64</v>
      </c>
      <c r="Q593" s="3">
        <v>3</v>
      </c>
      <c r="R593" s="3">
        <v>3545.08</v>
      </c>
      <c r="S593" s="3">
        <v>0</v>
      </c>
      <c r="T593" s="3">
        <v>10635.24</v>
      </c>
      <c r="U593" s="3">
        <v>6031.88</v>
      </c>
      <c r="V593" s="3">
        <v>4603.3599999999997</v>
      </c>
      <c r="W593" s="3" t="s">
        <v>208</v>
      </c>
      <c r="X593" s="3" t="s">
        <v>133</v>
      </c>
      <c r="Y593" s="2" t="str">
        <f t="shared" si="71"/>
        <v>Unique</v>
      </c>
      <c r="AA593" s="2" t="str">
        <f t="shared" si="72"/>
        <v>Clean</v>
      </c>
      <c r="AB593" s="2" t="str">
        <f t="shared" si="73"/>
        <v>valid</v>
      </c>
      <c r="AC593">
        <f t="shared" si="81"/>
        <v>0</v>
      </c>
      <c r="AD593">
        <f t="shared" si="82"/>
        <v>10635.24</v>
      </c>
      <c r="AE593">
        <f t="shared" si="83"/>
        <v>4603.3599999999997</v>
      </c>
      <c r="AF593">
        <f t="shared" si="84"/>
        <v>0.43284025560307055</v>
      </c>
      <c r="AG593" t="str">
        <f t="shared" si="85"/>
        <v>February</v>
      </c>
      <c r="AH593">
        <f t="shared" si="86"/>
        <v>2024</v>
      </c>
      <c r="AI593" t="str">
        <f t="shared" si="87"/>
        <v>Warning</v>
      </c>
    </row>
    <row r="594" spans="1:35" ht="15.75" customHeight="1">
      <c r="A594" s="3" t="s">
        <v>2823</v>
      </c>
      <c r="B594" s="3" t="s">
        <v>846</v>
      </c>
      <c r="C594" s="3" t="s">
        <v>903</v>
      </c>
      <c r="D594" s="3" t="str">
        <f t="shared" si="68"/>
        <v>09-Mar-2024</v>
      </c>
      <c r="E594" s="3" t="str">
        <f t="shared" si="69"/>
        <v>04-Mar-2024</v>
      </c>
      <c r="F594" s="3">
        <f t="shared" si="70"/>
        <v>5</v>
      </c>
      <c r="G594" s="3" t="s">
        <v>2824</v>
      </c>
      <c r="H594" s="3" t="s">
        <v>48</v>
      </c>
      <c r="I594" s="3" t="s">
        <v>34</v>
      </c>
      <c r="J594" s="3" t="s">
        <v>50</v>
      </c>
      <c r="K594" s="3" t="s">
        <v>129</v>
      </c>
      <c r="L594" s="3" t="s">
        <v>130</v>
      </c>
      <c r="M594" s="3" t="s">
        <v>94</v>
      </c>
      <c r="N594" s="3" t="s">
        <v>95</v>
      </c>
      <c r="O594" s="3" t="s">
        <v>2825</v>
      </c>
      <c r="P594" s="3" t="s">
        <v>56</v>
      </c>
      <c r="Q594" s="3">
        <v>8</v>
      </c>
      <c r="R594" s="3">
        <v>4401.41</v>
      </c>
      <c r="S594" s="3">
        <v>0.15</v>
      </c>
      <c r="T594" s="3">
        <v>29929.59</v>
      </c>
      <c r="U594" s="3">
        <v>22436.03</v>
      </c>
      <c r="V594" s="3">
        <v>7493.56</v>
      </c>
      <c r="W594" s="3" t="s">
        <v>42</v>
      </c>
      <c r="X594" s="3" t="s">
        <v>43</v>
      </c>
      <c r="Y594" s="2" t="str">
        <f t="shared" si="71"/>
        <v>Unique</v>
      </c>
      <c r="AA594" s="2" t="str">
        <f t="shared" si="72"/>
        <v>Clean</v>
      </c>
      <c r="AB594" s="2" t="str">
        <f t="shared" si="73"/>
        <v>valid</v>
      </c>
      <c r="AC594">
        <f t="shared" si="81"/>
        <v>0.15</v>
      </c>
      <c r="AD594">
        <f t="shared" si="82"/>
        <v>29929.588</v>
      </c>
      <c r="AE594">
        <f t="shared" si="83"/>
        <v>7493.5580000000009</v>
      </c>
      <c r="AF594">
        <f t="shared" si="84"/>
        <v>0.25037290857461858</v>
      </c>
      <c r="AG594" t="str">
        <f t="shared" si="85"/>
        <v>March</v>
      </c>
      <c r="AH594">
        <f t="shared" si="86"/>
        <v>2024</v>
      </c>
      <c r="AI594" t="str">
        <f t="shared" si="87"/>
        <v>Clean</v>
      </c>
    </row>
    <row r="595" spans="1:35" ht="15.75" customHeight="1">
      <c r="A595" s="3" t="s">
        <v>2826</v>
      </c>
      <c r="B595" s="3" t="s">
        <v>1357</v>
      </c>
      <c r="C595" s="3" t="s">
        <v>2827</v>
      </c>
      <c r="D595" s="3" t="str">
        <f t="shared" si="68"/>
        <v>29-Sep-2025</v>
      </c>
      <c r="E595" s="3" t="str">
        <f t="shared" si="69"/>
        <v>27-Sep-2025</v>
      </c>
      <c r="F595" s="3">
        <f t="shared" si="70"/>
        <v>2</v>
      </c>
      <c r="G595" s="3" t="s">
        <v>2519</v>
      </c>
      <c r="H595" s="3" t="s">
        <v>69</v>
      </c>
      <c r="I595" s="3" t="s">
        <v>123</v>
      </c>
      <c r="J595" s="3" t="s">
        <v>35</v>
      </c>
      <c r="K595" s="3" t="s">
        <v>182</v>
      </c>
      <c r="L595" s="3" t="s">
        <v>183</v>
      </c>
      <c r="M595" s="3" t="s">
        <v>53</v>
      </c>
      <c r="N595" s="3" t="s">
        <v>54</v>
      </c>
      <c r="O595" s="3" t="s">
        <v>2828</v>
      </c>
      <c r="P595" s="3" t="s">
        <v>41</v>
      </c>
      <c r="Q595" s="3">
        <v>9</v>
      </c>
      <c r="R595" s="3">
        <v>4100.1099999999997</v>
      </c>
      <c r="S595" s="3">
        <v>0.25</v>
      </c>
      <c r="T595" s="3">
        <v>27675.74</v>
      </c>
      <c r="U595" s="3">
        <v>15571.08</v>
      </c>
      <c r="V595" s="3">
        <v>12104.66</v>
      </c>
      <c r="W595" s="3" t="s">
        <v>42</v>
      </c>
      <c r="X595" s="3" t="s">
        <v>43</v>
      </c>
      <c r="Y595" s="2" t="str">
        <f t="shared" si="71"/>
        <v>Unique</v>
      </c>
      <c r="AA595" s="2" t="str">
        <f t="shared" si="72"/>
        <v>Clean</v>
      </c>
      <c r="AB595" s="2" t="str">
        <f t="shared" si="73"/>
        <v>valid</v>
      </c>
      <c r="AC595">
        <f t="shared" si="81"/>
        <v>0.25</v>
      </c>
      <c r="AD595">
        <f t="shared" si="82"/>
        <v>27675.7425</v>
      </c>
      <c r="AE595">
        <f t="shared" si="83"/>
        <v>12104.6625</v>
      </c>
      <c r="AF595">
        <f t="shared" si="84"/>
        <v>0.4373744444254748</v>
      </c>
      <c r="AG595" t="str">
        <f t="shared" si="85"/>
        <v>September</v>
      </c>
      <c r="AH595">
        <f t="shared" si="86"/>
        <v>2025</v>
      </c>
      <c r="AI595" t="str">
        <f t="shared" si="87"/>
        <v>Clean</v>
      </c>
    </row>
    <row r="596" spans="1:35" ht="15.75" customHeight="1">
      <c r="A596" s="3" t="s">
        <v>2829</v>
      </c>
      <c r="B596" s="3" t="s">
        <v>2830</v>
      </c>
      <c r="C596" s="3" t="s">
        <v>1137</v>
      </c>
      <c r="D596" s="3" t="str">
        <f t="shared" si="68"/>
        <v>21-Sep-2024</v>
      </c>
      <c r="E596" s="3" t="str">
        <f t="shared" si="69"/>
        <v>19-Sep-2024</v>
      </c>
      <c r="F596" s="3">
        <f t="shared" si="70"/>
        <v>2</v>
      </c>
      <c r="G596" s="3" t="s">
        <v>2831</v>
      </c>
      <c r="H596" s="3" t="s">
        <v>33</v>
      </c>
      <c r="I596" s="3" t="s">
        <v>49</v>
      </c>
      <c r="J596" s="3" t="s">
        <v>50</v>
      </c>
      <c r="K596" s="3" t="s">
        <v>129</v>
      </c>
      <c r="L596" s="3" t="s">
        <v>130</v>
      </c>
      <c r="M596" s="3" t="s">
        <v>53</v>
      </c>
      <c r="N596" s="3" t="s">
        <v>84</v>
      </c>
      <c r="O596" s="3" t="s">
        <v>2832</v>
      </c>
      <c r="P596" s="3" t="s">
        <v>64</v>
      </c>
      <c r="Q596" s="3">
        <v>3</v>
      </c>
      <c r="R596" s="3">
        <v>3981.76</v>
      </c>
      <c r="S596" s="3">
        <v>0</v>
      </c>
      <c r="T596" s="3">
        <v>11945.28</v>
      </c>
      <c r="U596" s="3">
        <v>9700.31</v>
      </c>
      <c r="V596" s="3">
        <v>2244.9699999999998</v>
      </c>
      <c r="W596" s="3" t="s">
        <v>42</v>
      </c>
      <c r="X596" s="3" t="s">
        <v>43</v>
      </c>
      <c r="Y596" s="2" t="str">
        <f t="shared" si="71"/>
        <v>Unique</v>
      </c>
      <c r="AA596" s="2" t="str">
        <f t="shared" si="72"/>
        <v>Clean</v>
      </c>
      <c r="AB596" s="2" t="str">
        <f t="shared" si="73"/>
        <v>valid</v>
      </c>
      <c r="AC596">
        <f t="shared" si="81"/>
        <v>0</v>
      </c>
      <c r="AD596">
        <f t="shared" si="82"/>
        <v>11945.28</v>
      </c>
      <c r="AE596">
        <f t="shared" si="83"/>
        <v>2244.9700000000012</v>
      </c>
      <c r="AF596">
        <f t="shared" si="84"/>
        <v>0.18793782983739193</v>
      </c>
      <c r="AG596" t="str">
        <f t="shared" si="85"/>
        <v>September</v>
      </c>
      <c r="AH596">
        <f t="shared" si="86"/>
        <v>2024</v>
      </c>
      <c r="AI596" t="str">
        <f t="shared" si="87"/>
        <v>Clean</v>
      </c>
    </row>
    <row r="597" spans="1:35" ht="15.75" customHeight="1">
      <c r="A597" s="3" t="s">
        <v>2833</v>
      </c>
      <c r="B597" s="3" t="s">
        <v>2834</v>
      </c>
      <c r="C597" s="3" t="s">
        <v>2835</v>
      </c>
      <c r="D597" s="3" t="str">
        <f t="shared" si="68"/>
        <v>16-Feb-2025</v>
      </c>
      <c r="E597" s="3" t="str">
        <f t="shared" si="69"/>
        <v>02-Nov-2025</v>
      </c>
      <c r="F597" s="3">
        <f t="shared" si="70"/>
        <v>-259</v>
      </c>
      <c r="G597" s="3" t="s">
        <v>2836</v>
      </c>
      <c r="H597" s="3" t="s">
        <v>48</v>
      </c>
      <c r="I597" s="3" t="s">
        <v>116</v>
      </c>
      <c r="J597" s="3" t="s">
        <v>35</v>
      </c>
      <c r="K597" s="3" t="s">
        <v>182</v>
      </c>
      <c r="L597" s="3" t="s">
        <v>183</v>
      </c>
      <c r="M597" s="3" t="s">
        <v>94</v>
      </c>
      <c r="N597" s="3" t="s">
        <v>231</v>
      </c>
      <c r="O597" s="3" t="s">
        <v>2837</v>
      </c>
      <c r="P597" s="3" t="s">
        <v>64</v>
      </c>
      <c r="Q597" s="3">
        <v>8</v>
      </c>
      <c r="R597" s="3">
        <v>1825.56</v>
      </c>
      <c r="S597" s="3">
        <v>0.1</v>
      </c>
      <c r="T597" s="3">
        <v>13144.03</v>
      </c>
      <c r="U597" s="3">
        <v>9764</v>
      </c>
      <c r="V597" s="3">
        <v>3380.03</v>
      </c>
      <c r="W597" s="3" t="s">
        <v>42</v>
      </c>
      <c r="X597" s="3" t="s">
        <v>43</v>
      </c>
      <c r="Y597" s="2" t="str">
        <f t="shared" si="71"/>
        <v>Unique</v>
      </c>
      <c r="AA597" s="2" t="str">
        <f t="shared" si="72"/>
        <v>Clean</v>
      </c>
      <c r="AB597" s="2" t="str">
        <f t="shared" si="73"/>
        <v>Invalid</v>
      </c>
      <c r="AC597">
        <f t="shared" si="81"/>
        <v>0.1</v>
      </c>
      <c r="AD597">
        <f t="shared" si="82"/>
        <v>13144.031999999999</v>
      </c>
      <c r="AE597">
        <f t="shared" si="83"/>
        <v>3380.0319999999992</v>
      </c>
      <c r="AF597">
        <f t="shared" si="84"/>
        <v>0.25715336055176974</v>
      </c>
      <c r="AG597" t="str">
        <f t="shared" si="85"/>
        <v>November</v>
      </c>
      <c r="AH597">
        <f t="shared" si="86"/>
        <v>2025</v>
      </c>
      <c r="AI597" t="str">
        <f t="shared" si="87"/>
        <v>Clean</v>
      </c>
    </row>
    <row r="598" spans="1:35" ht="15.75" customHeight="1">
      <c r="A598" s="3" t="s">
        <v>2838</v>
      </c>
      <c r="B598" s="3" t="s">
        <v>1440</v>
      </c>
      <c r="C598" s="3" t="s">
        <v>420</v>
      </c>
      <c r="D598" s="3" t="str">
        <f t="shared" si="68"/>
        <v>16-Apr-2024</v>
      </c>
      <c r="E598" s="3" t="str">
        <f t="shared" si="69"/>
        <v>10-Apr-2024</v>
      </c>
      <c r="F598" s="3">
        <f t="shared" si="70"/>
        <v>6</v>
      </c>
      <c r="G598" s="3" t="s">
        <v>2839</v>
      </c>
      <c r="H598" s="3" t="s">
        <v>115</v>
      </c>
      <c r="I598" s="3" t="s">
        <v>34</v>
      </c>
      <c r="J598" s="3" t="s">
        <v>70</v>
      </c>
      <c r="K598" s="3" t="s">
        <v>250</v>
      </c>
      <c r="L598" s="3" t="s">
        <v>251</v>
      </c>
      <c r="M598" s="3" t="s">
        <v>53</v>
      </c>
      <c r="N598" s="3" t="s">
        <v>84</v>
      </c>
      <c r="O598" s="3" t="s">
        <v>2840</v>
      </c>
      <c r="P598" s="3" t="s">
        <v>41</v>
      </c>
      <c r="Q598" s="3">
        <v>9</v>
      </c>
      <c r="R598" s="3">
        <v>2723.26</v>
      </c>
      <c r="S598" s="3">
        <v>0.25</v>
      </c>
      <c r="T598" s="3">
        <v>18382.009999999998</v>
      </c>
      <c r="U598" s="3">
        <v>13108.2</v>
      </c>
      <c r="V598" s="3">
        <v>5273.81</v>
      </c>
      <c r="W598" s="3" t="s">
        <v>42</v>
      </c>
      <c r="X598" s="3" t="s">
        <v>43</v>
      </c>
      <c r="Y598" s="2" t="str">
        <f t="shared" si="71"/>
        <v>Unique</v>
      </c>
      <c r="AA598" s="2" t="str">
        <f t="shared" si="72"/>
        <v>Clean</v>
      </c>
      <c r="AB598" s="2" t="str">
        <f t="shared" si="73"/>
        <v>valid</v>
      </c>
      <c r="AC598">
        <f t="shared" si="81"/>
        <v>0.25</v>
      </c>
      <c r="AD598">
        <f t="shared" si="82"/>
        <v>18382.005000000005</v>
      </c>
      <c r="AE598">
        <f t="shared" si="83"/>
        <v>5273.8050000000039</v>
      </c>
      <c r="AF598">
        <f t="shared" si="84"/>
        <v>0.28690042245119629</v>
      </c>
      <c r="AG598" t="str">
        <f t="shared" si="85"/>
        <v>April</v>
      </c>
      <c r="AH598">
        <f t="shared" si="86"/>
        <v>2024</v>
      </c>
      <c r="AI598" t="str">
        <f t="shared" si="87"/>
        <v>Clean</v>
      </c>
    </row>
    <row r="599" spans="1:35" ht="15.75" customHeight="1">
      <c r="A599" s="3" t="s">
        <v>2841</v>
      </c>
      <c r="B599" s="3" t="s">
        <v>2842</v>
      </c>
      <c r="C599" s="3" t="s">
        <v>497</v>
      </c>
      <c r="D599" s="3" t="str">
        <f t="shared" si="68"/>
        <v>07-Aug-2025</v>
      </c>
      <c r="E599" s="3" t="str">
        <f t="shared" si="69"/>
        <v>08-Jul-2025</v>
      </c>
      <c r="F599" s="3">
        <f t="shared" si="70"/>
        <v>30</v>
      </c>
      <c r="G599" s="3" t="s">
        <v>2843</v>
      </c>
      <c r="H599" s="3" t="s">
        <v>115</v>
      </c>
      <c r="I599" s="3" t="s">
        <v>34</v>
      </c>
      <c r="J599" s="3" t="s">
        <v>70</v>
      </c>
      <c r="K599" s="3" t="s">
        <v>71</v>
      </c>
      <c r="L599" s="3" t="s">
        <v>72</v>
      </c>
      <c r="M599" s="3" t="s">
        <v>94</v>
      </c>
      <c r="N599" s="3" t="s">
        <v>102</v>
      </c>
      <c r="O599" s="3" t="s">
        <v>2844</v>
      </c>
      <c r="P599" s="3" t="s">
        <v>56</v>
      </c>
      <c r="Q599" s="3">
        <v>9</v>
      </c>
      <c r="R599" s="3">
        <v>274.88</v>
      </c>
      <c r="S599" s="3">
        <v>0.25</v>
      </c>
      <c r="T599" s="3">
        <v>1855.44</v>
      </c>
      <c r="U599" s="3">
        <v>1262.74</v>
      </c>
      <c r="V599" s="3">
        <v>592.70000000000005</v>
      </c>
      <c r="W599" s="3" t="s">
        <v>42</v>
      </c>
      <c r="X599" s="3" t="s">
        <v>43</v>
      </c>
      <c r="Y599" s="2" t="str">
        <f t="shared" si="71"/>
        <v>Unique</v>
      </c>
      <c r="AA599" s="2" t="str">
        <f t="shared" si="72"/>
        <v>Clean</v>
      </c>
      <c r="AB599" s="2" t="str">
        <f t="shared" si="73"/>
        <v>valid</v>
      </c>
      <c r="AC599">
        <f t="shared" si="81"/>
        <v>0.25</v>
      </c>
      <c r="AD599">
        <f t="shared" si="82"/>
        <v>1855.44</v>
      </c>
      <c r="AE599">
        <f t="shared" si="83"/>
        <v>592.70000000000005</v>
      </c>
      <c r="AF599">
        <f t="shared" si="84"/>
        <v>0.3194390548872505</v>
      </c>
      <c r="AG599" t="str">
        <f t="shared" si="85"/>
        <v>July</v>
      </c>
      <c r="AH599">
        <f t="shared" si="86"/>
        <v>2025</v>
      </c>
      <c r="AI599" t="str">
        <f t="shared" si="87"/>
        <v>Clean</v>
      </c>
    </row>
    <row r="600" spans="1:35" ht="15.75" customHeight="1">
      <c r="A600" s="3" t="s">
        <v>2845</v>
      </c>
      <c r="B600" s="3" t="s">
        <v>2429</v>
      </c>
      <c r="C600" s="3" t="s">
        <v>2846</v>
      </c>
      <c r="D600" s="3" t="str">
        <f t="shared" si="68"/>
        <v>24-Aug-2024</v>
      </c>
      <c r="E600" s="3" t="str">
        <f t="shared" si="69"/>
        <v>17-Aug-2024</v>
      </c>
      <c r="F600" s="3">
        <f t="shared" si="70"/>
        <v>7</v>
      </c>
      <c r="G600" s="3" t="s">
        <v>2847</v>
      </c>
      <c r="H600" s="3" t="s">
        <v>80</v>
      </c>
      <c r="I600" s="3" t="s">
        <v>116</v>
      </c>
      <c r="J600" s="3" t="s">
        <v>50</v>
      </c>
      <c r="K600" s="3" t="s">
        <v>129</v>
      </c>
      <c r="L600" s="3" t="s">
        <v>130</v>
      </c>
      <c r="M600" s="3" t="s">
        <v>94</v>
      </c>
      <c r="N600" s="3" t="s">
        <v>102</v>
      </c>
      <c r="O600" s="3" t="s">
        <v>2848</v>
      </c>
      <c r="P600" s="3" t="s">
        <v>56</v>
      </c>
      <c r="Q600" s="3">
        <v>3</v>
      </c>
      <c r="R600" s="3">
        <v>1490.69</v>
      </c>
      <c r="S600" s="3">
        <v>0.25</v>
      </c>
      <c r="T600" s="3">
        <v>3354.05</v>
      </c>
      <c r="U600" s="3">
        <v>2672.67</v>
      </c>
      <c r="V600" s="3">
        <v>681.38</v>
      </c>
      <c r="W600" s="3" t="s">
        <v>42</v>
      </c>
      <c r="X600" s="3" t="s">
        <v>43</v>
      </c>
      <c r="Y600" s="2" t="str">
        <f t="shared" si="71"/>
        <v>Unique</v>
      </c>
      <c r="AA600" s="2" t="str">
        <f t="shared" si="72"/>
        <v>Clean</v>
      </c>
      <c r="AB600" s="2" t="str">
        <f t="shared" si="73"/>
        <v>valid</v>
      </c>
      <c r="AC600">
        <f t="shared" si="81"/>
        <v>0.25</v>
      </c>
      <c r="AD600">
        <f t="shared" si="82"/>
        <v>3354.0524999999998</v>
      </c>
      <c r="AE600">
        <f t="shared" si="83"/>
        <v>681.38249999999971</v>
      </c>
      <c r="AF600">
        <f t="shared" si="84"/>
        <v>0.20315200790685289</v>
      </c>
      <c r="AG600" t="str">
        <f t="shared" si="85"/>
        <v>August</v>
      </c>
      <c r="AH600">
        <f t="shared" si="86"/>
        <v>2024</v>
      </c>
      <c r="AI600" t="str">
        <f t="shared" si="87"/>
        <v>Clean</v>
      </c>
    </row>
    <row r="601" spans="1:35" ht="15.75" customHeight="1">
      <c r="A601" s="3" t="s">
        <v>2849</v>
      </c>
      <c r="B601" s="3" t="s">
        <v>2850</v>
      </c>
      <c r="C601" s="3" t="s">
        <v>1625</v>
      </c>
      <c r="D601" s="3" t="str">
        <f t="shared" si="68"/>
        <v>21-Aug-2024</v>
      </c>
      <c r="E601" s="3" t="str">
        <f t="shared" si="69"/>
        <v>19-Aug-2024</v>
      </c>
      <c r="F601" s="3">
        <f t="shared" si="70"/>
        <v>2</v>
      </c>
      <c r="G601" s="3" t="s">
        <v>2851</v>
      </c>
      <c r="H601" s="3" t="s">
        <v>69</v>
      </c>
      <c r="I601" s="3" t="s">
        <v>34</v>
      </c>
      <c r="J601" s="3" t="s">
        <v>35</v>
      </c>
      <c r="K601" s="3" t="s">
        <v>162</v>
      </c>
      <c r="L601" s="3" t="s">
        <v>163</v>
      </c>
      <c r="M601" s="3" t="s">
        <v>94</v>
      </c>
      <c r="N601" s="3" t="s">
        <v>231</v>
      </c>
      <c r="O601" s="3" t="s">
        <v>2852</v>
      </c>
      <c r="P601" s="3" t="s">
        <v>64</v>
      </c>
      <c r="Q601" s="3">
        <v>3</v>
      </c>
      <c r="R601" s="3">
        <v>1103.54</v>
      </c>
      <c r="S601" s="3">
        <v>0.25</v>
      </c>
      <c r="T601" s="3">
        <v>2482.9699999999998</v>
      </c>
      <c r="U601" s="3">
        <v>1621.72</v>
      </c>
      <c r="V601" s="3">
        <v>861.25</v>
      </c>
      <c r="W601" s="3" t="s">
        <v>42</v>
      </c>
      <c r="X601" s="3" t="s">
        <v>43</v>
      </c>
      <c r="Y601" s="2" t="str">
        <f t="shared" si="71"/>
        <v>Unique</v>
      </c>
      <c r="AA601" s="2" t="str">
        <f t="shared" si="72"/>
        <v>Clean</v>
      </c>
      <c r="AB601" s="2" t="str">
        <f t="shared" si="73"/>
        <v>valid</v>
      </c>
      <c r="AC601">
        <f t="shared" si="81"/>
        <v>0.25</v>
      </c>
      <c r="AD601">
        <f t="shared" si="82"/>
        <v>2482.9650000000001</v>
      </c>
      <c r="AE601">
        <f t="shared" si="83"/>
        <v>861.24500000000012</v>
      </c>
      <c r="AF601">
        <f t="shared" si="84"/>
        <v>0.34686151435884116</v>
      </c>
      <c r="AG601" t="str">
        <f t="shared" si="85"/>
        <v>August</v>
      </c>
      <c r="AH601">
        <f t="shared" si="86"/>
        <v>2024</v>
      </c>
      <c r="AI601" t="str">
        <f t="shared" si="87"/>
        <v>Clean</v>
      </c>
    </row>
    <row r="602" spans="1:35" ht="15.75" customHeight="1">
      <c r="A602" s="3" t="s">
        <v>2853</v>
      </c>
      <c r="B602" s="3" t="s">
        <v>2854</v>
      </c>
      <c r="C602" s="3" t="s">
        <v>2855</v>
      </c>
      <c r="D602" s="3" t="str">
        <f t="shared" si="68"/>
        <v>12-Mar-2025</v>
      </c>
      <c r="E602" s="3" t="str">
        <f t="shared" si="69"/>
        <v>05-Mar-2025</v>
      </c>
      <c r="F602" s="3">
        <f t="shared" si="70"/>
        <v>7</v>
      </c>
      <c r="G602" s="3" t="s">
        <v>2856</v>
      </c>
      <c r="H602" s="3" t="s">
        <v>80</v>
      </c>
      <c r="I602" s="3" t="s">
        <v>116</v>
      </c>
      <c r="J602" s="3" t="s">
        <v>81</v>
      </c>
      <c r="K602" s="3" t="s">
        <v>92</v>
      </c>
      <c r="L602" s="3" t="s">
        <v>93</v>
      </c>
      <c r="M602" s="3" t="s">
        <v>38</v>
      </c>
      <c r="N602" s="3" t="s">
        <v>164</v>
      </c>
      <c r="O602" s="3" t="s">
        <v>2857</v>
      </c>
      <c r="P602" s="3" t="s">
        <v>56</v>
      </c>
      <c r="Q602" s="3">
        <v>3</v>
      </c>
      <c r="R602" s="3">
        <v>3682.75</v>
      </c>
      <c r="S602" s="3">
        <v>0</v>
      </c>
      <c r="T602" s="3">
        <v>11048.25</v>
      </c>
      <c r="U602" s="3">
        <v>9062.7199999999993</v>
      </c>
      <c r="V602" s="3">
        <v>1985.53</v>
      </c>
      <c r="W602" s="3" t="s">
        <v>42</v>
      </c>
      <c r="X602" s="3" t="s">
        <v>43</v>
      </c>
      <c r="Y602" s="4" t="str">
        <f t="shared" si="71"/>
        <v>Unique</v>
      </c>
      <c r="AA602" s="2" t="str">
        <f t="shared" si="72"/>
        <v>Clean</v>
      </c>
      <c r="AB602" s="2" t="str">
        <f t="shared" si="73"/>
        <v>valid</v>
      </c>
      <c r="AC602">
        <f t="shared" si="81"/>
        <v>0</v>
      </c>
      <c r="AD602">
        <f t="shared" si="82"/>
        <v>11048.25</v>
      </c>
      <c r="AE602">
        <f t="shared" si="83"/>
        <v>1985.5300000000007</v>
      </c>
      <c r="AF602">
        <f t="shared" si="84"/>
        <v>0.17971443441268986</v>
      </c>
      <c r="AG602" t="str">
        <f t="shared" si="85"/>
        <v>March</v>
      </c>
      <c r="AH602">
        <f t="shared" si="86"/>
        <v>2025</v>
      </c>
      <c r="AI602" t="str">
        <f t="shared" si="87"/>
        <v>Clean</v>
      </c>
    </row>
    <row r="603" spans="1:35" ht="15.75" customHeight="1">
      <c r="A603" s="3" t="s">
        <v>2858</v>
      </c>
      <c r="B603" s="3" t="s">
        <v>2859</v>
      </c>
      <c r="C603" s="3" t="s">
        <v>2860</v>
      </c>
      <c r="D603" s="3" t="str">
        <f t="shared" si="68"/>
        <v>31-Jan-2024</v>
      </c>
      <c r="E603" s="3" t="str">
        <f t="shared" si="69"/>
        <v>26-Jan-2024</v>
      </c>
      <c r="F603" s="3">
        <f t="shared" si="70"/>
        <v>5</v>
      </c>
      <c r="G603" s="3" t="s">
        <v>2861</v>
      </c>
      <c r="H603" s="3" t="s">
        <v>80</v>
      </c>
      <c r="I603" s="3" t="s">
        <v>123</v>
      </c>
      <c r="J603" s="3" t="s">
        <v>50</v>
      </c>
      <c r="K603" s="3" t="s">
        <v>129</v>
      </c>
      <c r="L603" s="3" t="s">
        <v>130</v>
      </c>
      <c r="M603" s="3" t="s">
        <v>38</v>
      </c>
      <c r="N603" s="3" t="s">
        <v>39</v>
      </c>
      <c r="O603" s="3" t="s">
        <v>2862</v>
      </c>
      <c r="P603" s="3" t="s">
        <v>41</v>
      </c>
      <c r="Q603" s="3">
        <v>5</v>
      </c>
      <c r="R603" s="3">
        <v>1615.03</v>
      </c>
      <c r="S603" s="3">
        <v>0.2</v>
      </c>
      <c r="T603" s="3">
        <v>6460.12</v>
      </c>
      <c r="U603" s="3">
        <v>3604.03</v>
      </c>
      <c r="V603" s="3">
        <v>2856.09</v>
      </c>
      <c r="W603" s="3" t="s">
        <v>42</v>
      </c>
      <c r="X603" s="3" t="s">
        <v>43</v>
      </c>
      <c r="Y603" s="2" t="str">
        <f t="shared" si="71"/>
        <v>Unique</v>
      </c>
      <c r="AA603" s="2" t="str">
        <f t="shared" si="72"/>
        <v>Clean</v>
      </c>
      <c r="AB603" s="2" t="str">
        <f t="shared" si="73"/>
        <v>valid</v>
      </c>
      <c r="AC603">
        <f t="shared" si="81"/>
        <v>0.2</v>
      </c>
      <c r="AD603">
        <f t="shared" si="82"/>
        <v>6460.12</v>
      </c>
      <c r="AE603">
        <f t="shared" si="83"/>
        <v>2856.0899999999997</v>
      </c>
      <c r="AF603">
        <f t="shared" si="84"/>
        <v>0.44211098245853014</v>
      </c>
      <c r="AG603" t="str">
        <f t="shared" si="85"/>
        <v>January</v>
      </c>
      <c r="AH603">
        <f t="shared" si="86"/>
        <v>2024</v>
      </c>
      <c r="AI603" t="str">
        <f t="shared" si="87"/>
        <v>Clean</v>
      </c>
    </row>
    <row r="604" spans="1:35" ht="15.75" customHeight="1">
      <c r="A604" s="3" t="s">
        <v>2863</v>
      </c>
      <c r="B604" s="3" t="s">
        <v>2864</v>
      </c>
      <c r="C604" s="3" t="s">
        <v>2865</v>
      </c>
      <c r="D604" s="3" t="str">
        <f t="shared" si="68"/>
        <v>30-Oct-2024</v>
      </c>
      <c r="E604" s="3" t="str">
        <f t="shared" si="69"/>
        <v>23-Oct-2024</v>
      </c>
      <c r="F604" s="3">
        <f t="shared" si="70"/>
        <v>7</v>
      </c>
      <c r="G604" s="3" t="s">
        <v>2866</v>
      </c>
      <c r="H604" s="3" t="s">
        <v>170</v>
      </c>
      <c r="I604" s="3" t="s">
        <v>34</v>
      </c>
      <c r="J604" s="3" t="s">
        <v>50</v>
      </c>
      <c r="K604" s="3" t="s">
        <v>319</v>
      </c>
      <c r="L604" s="3" t="s">
        <v>320</v>
      </c>
      <c r="M604" s="3" t="s">
        <v>94</v>
      </c>
      <c r="N604" s="3" t="s">
        <v>102</v>
      </c>
      <c r="O604" s="3" t="s">
        <v>2867</v>
      </c>
      <c r="P604" s="3" t="s">
        <v>41</v>
      </c>
      <c r="Q604" s="3">
        <v>9</v>
      </c>
      <c r="R604" s="3">
        <v>3423.82</v>
      </c>
      <c r="S604" s="3">
        <v>0.15</v>
      </c>
      <c r="T604" s="3">
        <v>26192.22</v>
      </c>
      <c r="U604" s="3">
        <v>20795.55</v>
      </c>
      <c r="V604" s="3">
        <v>5396.67</v>
      </c>
      <c r="W604" s="3" t="s">
        <v>42</v>
      </c>
      <c r="X604" s="3" t="s">
        <v>43</v>
      </c>
      <c r="Y604" s="2" t="str">
        <f t="shared" si="71"/>
        <v>Unique</v>
      </c>
      <c r="AA604" s="2" t="str">
        <f t="shared" si="72"/>
        <v>Clean</v>
      </c>
      <c r="AB604" s="2" t="str">
        <f t="shared" si="73"/>
        <v>valid</v>
      </c>
      <c r="AC604">
        <f t="shared" si="81"/>
        <v>0.15</v>
      </c>
      <c r="AD604">
        <f t="shared" si="82"/>
        <v>26192.223000000002</v>
      </c>
      <c r="AE604">
        <f t="shared" si="83"/>
        <v>5396.6730000000025</v>
      </c>
      <c r="AF604">
        <f t="shared" si="84"/>
        <v>0.20604104508426041</v>
      </c>
      <c r="AG604" t="str">
        <f t="shared" si="85"/>
        <v>October</v>
      </c>
      <c r="AH604">
        <f t="shared" si="86"/>
        <v>2024</v>
      </c>
      <c r="AI604" t="str">
        <f t="shared" si="87"/>
        <v>Clean</v>
      </c>
    </row>
    <row r="605" spans="1:35" ht="15.75" customHeight="1">
      <c r="A605" s="3" t="s">
        <v>2868</v>
      </c>
      <c r="B605" s="3" t="s">
        <v>2869</v>
      </c>
      <c r="C605" s="3" t="s">
        <v>602</v>
      </c>
      <c r="D605" s="3" t="str">
        <f t="shared" si="68"/>
        <v>11-Jan-2025</v>
      </c>
      <c r="E605" s="3" t="str">
        <f t="shared" si="69"/>
        <v>01-Mar-2025</v>
      </c>
      <c r="F605" s="3">
        <f t="shared" si="70"/>
        <v>-49</v>
      </c>
      <c r="G605" s="3" t="s">
        <v>489</v>
      </c>
      <c r="H605" s="3" t="s">
        <v>91</v>
      </c>
      <c r="I605" s="3" t="s">
        <v>116</v>
      </c>
      <c r="J605" s="3" t="s">
        <v>50</v>
      </c>
      <c r="K605" s="3" t="s">
        <v>194</v>
      </c>
      <c r="L605" s="3" t="s">
        <v>195</v>
      </c>
      <c r="M605" s="3" t="s">
        <v>94</v>
      </c>
      <c r="N605" s="3" t="s">
        <v>95</v>
      </c>
      <c r="O605" s="3" t="s">
        <v>2870</v>
      </c>
      <c r="P605" s="3" t="s">
        <v>64</v>
      </c>
      <c r="Q605" s="3">
        <v>8</v>
      </c>
      <c r="R605" s="3">
        <v>2574.29</v>
      </c>
      <c r="S605" s="3">
        <v>0.05</v>
      </c>
      <c r="T605" s="3">
        <v>19564.599999999999</v>
      </c>
      <c r="U605" s="3">
        <v>11154.59</v>
      </c>
      <c r="V605" s="3">
        <v>8410.01</v>
      </c>
      <c r="W605" s="3" t="s">
        <v>145</v>
      </c>
      <c r="X605" s="3" t="s">
        <v>86</v>
      </c>
      <c r="Y605" s="2" t="str">
        <f t="shared" si="71"/>
        <v>Unique</v>
      </c>
      <c r="AA605" s="2" t="str">
        <f t="shared" si="72"/>
        <v>Clean</v>
      </c>
      <c r="AB605" s="2" t="str">
        <f t="shared" si="73"/>
        <v>Invalid</v>
      </c>
      <c r="AC605">
        <f t="shared" si="81"/>
        <v>0.05</v>
      </c>
      <c r="AD605">
        <f t="shared" si="82"/>
        <v>19564.603999999999</v>
      </c>
      <c r="AE605">
        <f t="shared" si="83"/>
        <v>8410.0139999999992</v>
      </c>
      <c r="AF605">
        <f t="shared" si="84"/>
        <v>0.42985863654587642</v>
      </c>
      <c r="AG605" t="str">
        <f t="shared" si="85"/>
        <v>March</v>
      </c>
      <c r="AH605">
        <f t="shared" si="86"/>
        <v>2025</v>
      </c>
      <c r="AI605" t="str">
        <f t="shared" si="87"/>
        <v>Warning</v>
      </c>
    </row>
    <row r="606" spans="1:35" ht="15.75" customHeight="1">
      <c r="A606" s="3" t="s">
        <v>2871</v>
      </c>
      <c r="B606" s="3" t="s">
        <v>2872</v>
      </c>
      <c r="C606" s="3" t="s">
        <v>2873</v>
      </c>
      <c r="D606" s="3" t="str">
        <f t="shared" si="68"/>
        <v>02-Jun-2025</v>
      </c>
      <c r="E606" s="3" t="str">
        <f t="shared" si="69"/>
        <v>05-Feb-2025</v>
      </c>
      <c r="F606" s="3">
        <f t="shared" si="70"/>
        <v>117</v>
      </c>
      <c r="G606" s="3" t="s">
        <v>2874</v>
      </c>
      <c r="H606" s="3" t="s">
        <v>80</v>
      </c>
      <c r="I606" s="3" t="s">
        <v>34</v>
      </c>
      <c r="J606" s="3" t="s">
        <v>81</v>
      </c>
      <c r="K606" s="3" t="s">
        <v>92</v>
      </c>
      <c r="L606" s="3" t="s">
        <v>93</v>
      </c>
      <c r="M606" s="3" t="s">
        <v>38</v>
      </c>
      <c r="N606" s="3" t="s">
        <v>206</v>
      </c>
      <c r="O606" s="3" t="s">
        <v>2875</v>
      </c>
      <c r="P606" s="3" t="s">
        <v>56</v>
      </c>
      <c r="Q606" s="3">
        <v>3</v>
      </c>
      <c r="R606" s="3">
        <v>1076.3</v>
      </c>
      <c r="S606" s="3">
        <v>0</v>
      </c>
      <c r="T606" s="3">
        <v>3228.9</v>
      </c>
      <c r="U606" s="3">
        <v>1853.23</v>
      </c>
      <c r="V606" s="3">
        <v>1375.67</v>
      </c>
      <c r="W606" s="3" t="s">
        <v>42</v>
      </c>
      <c r="X606" s="3" t="s">
        <v>43</v>
      </c>
      <c r="Y606" s="2" t="str">
        <f t="shared" si="71"/>
        <v>Unique</v>
      </c>
      <c r="AA606" s="2" t="str">
        <f t="shared" si="72"/>
        <v>Clean</v>
      </c>
      <c r="AB606" s="2" t="str">
        <f t="shared" si="73"/>
        <v>valid</v>
      </c>
      <c r="AC606">
        <f t="shared" si="81"/>
        <v>0</v>
      </c>
      <c r="AD606">
        <f t="shared" si="82"/>
        <v>3228.8999999999996</v>
      </c>
      <c r="AE606">
        <f t="shared" si="83"/>
        <v>1375.6699999999996</v>
      </c>
      <c r="AF606">
        <f t="shared" si="84"/>
        <v>0.42604911889497965</v>
      </c>
      <c r="AG606" t="str">
        <f t="shared" si="85"/>
        <v>February</v>
      </c>
      <c r="AH606">
        <f t="shared" si="86"/>
        <v>2025</v>
      </c>
      <c r="AI606" t="str">
        <f t="shared" si="87"/>
        <v>Clean</v>
      </c>
    </row>
    <row r="607" spans="1:35" ht="15.75" customHeight="1">
      <c r="A607" s="3" t="s">
        <v>2876</v>
      </c>
      <c r="B607" s="3" t="s">
        <v>2603</v>
      </c>
      <c r="C607" s="3" t="s">
        <v>2877</v>
      </c>
      <c r="D607" s="3" t="str">
        <f t="shared" si="68"/>
        <v>13-Jul-2025</v>
      </c>
      <c r="E607" s="3" t="str">
        <f t="shared" si="69"/>
        <v>09-Jul-2025</v>
      </c>
      <c r="F607" s="3">
        <f t="shared" si="70"/>
        <v>4</v>
      </c>
      <c r="G607" s="3" t="s">
        <v>2878</v>
      </c>
      <c r="H607" s="3" t="s">
        <v>375</v>
      </c>
      <c r="I607" s="3" t="s">
        <v>116</v>
      </c>
      <c r="J607" s="3" t="s">
        <v>81</v>
      </c>
      <c r="K607" s="3" t="s">
        <v>257</v>
      </c>
      <c r="L607" s="3" t="s">
        <v>258</v>
      </c>
      <c r="M607" s="3" t="s">
        <v>53</v>
      </c>
      <c r="N607" s="3" t="s">
        <v>73</v>
      </c>
      <c r="O607" s="3" t="s">
        <v>2879</v>
      </c>
      <c r="P607" s="3" t="s">
        <v>41</v>
      </c>
      <c r="Q607" s="3">
        <v>5</v>
      </c>
      <c r="R607" s="3">
        <v>1680.01</v>
      </c>
      <c r="S607" s="3" t="s">
        <v>1172</v>
      </c>
      <c r="T607" s="3">
        <v>7560.04</v>
      </c>
      <c r="U607" s="3">
        <v>6448.05</v>
      </c>
      <c r="V607" s="3">
        <v>1111.99</v>
      </c>
      <c r="W607" s="3" t="s">
        <v>42</v>
      </c>
      <c r="X607" s="3" t="s">
        <v>86</v>
      </c>
      <c r="Y607" s="2" t="str">
        <f t="shared" si="71"/>
        <v>Unique</v>
      </c>
      <c r="AA607" s="2" t="str">
        <f t="shared" si="72"/>
        <v>Invalid</v>
      </c>
      <c r="AB607" s="2" t="str">
        <f t="shared" si="73"/>
        <v>valid</v>
      </c>
      <c r="AC607">
        <f t="shared" si="81"/>
        <v>8.5000000000000006E-3</v>
      </c>
      <c r="AD607">
        <f t="shared" si="82"/>
        <v>8328.6495749999995</v>
      </c>
      <c r="AE607">
        <f t="shared" si="83"/>
        <v>1880.5995749999993</v>
      </c>
      <c r="AF607">
        <f t="shared" si="84"/>
        <v>0.22579885947476658</v>
      </c>
      <c r="AG607" t="str">
        <f t="shared" si="85"/>
        <v>July</v>
      </c>
      <c r="AH607">
        <f t="shared" si="86"/>
        <v>2025</v>
      </c>
      <c r="AI607" t="str">
        <f t="shared" si="87"/>
        <v>Warning</v>
      </c>
    </row>
    <row r="608" spans="1:35" ht="15.75" customHeight="1">
      <c r="A608" s="3" t="s">
        <v>2880</v>
      </c>
      <c r="B608" s="3" t="s">
        <v>2881</v>
      </c>
      <c r="C608" s="3" t="s">
        <v>2518</v>
      </c>
      <c r="D608" s="3" t="str">
        <f t="shared" si="68"/>
        <v>28-Feb-2025</v>
      </c>
      <c r="E608" s="3" t="str">
        <f t="shared" si="69"/>
        <v>22-Feb-2025</v>
      </c>
      <c r="F608" s="3">
        <f t="shared" si="70"/>
        <v>6</v>
      </c>
      <c r="G608" s="3" t="s">
        <v>2882</v>
      </c>
      <c r="H608" s="3" t="s">
        <v>156</v>
      </c>
      <c r="I608" s="3" t="s">
        <v>123</v>
      </c>
      <c r="J608" s="3" t="s">
        <v>81</v>
      </c>
      <c r="K608" s="3" t="s">
        <v>92</v>
      </c>
      <c r="L608" s="3" t="s">
        <v>93</v>
      </c>
      <c r="M608" s="3" t="s">
        <v>94</v>
      </c>
      <c r="N608" s="3" t="s">
        <v>102</v>
      </c>
      <c r="O608" s="3" t="s">
        <v>2883</v>
      </c>
      <c r="P608" s="3" t="s">
        <v>56</v>
      </c>
      <c r="Q608" s="3">
        <v>3</v>
      </c>
      <c r="R608" s="3">
        <v>3890.81</v>
      </c>
      <c r="S608" s="3">
        <v>0.25</v>
      </c>
      <c r="T608" s="3">
        <v>8754.32</v>
      </c>
      <c r="U608" s="3">
        <v>6238.9</v>
      </c>
      <c r="V608" s="3">
        <v>2515.42</v>
      </c>
      <c r="W608" s="3" t="s">
        <v>42</v>
      </c>
      <c r="X608" s="3" t="s">
        <v>43</v>
      </c>
      <c r="Y608" s="2" t="str">
        <f t="shared" si="71"/>
        <v>Unique</v>
      </c>
      <c r="AA608" s="2" t="str">
        <f t="shared" si="72"/>
        <v>Clean</v>
      </c>
      <c r="AB608" s="2" t="str">
        <f t="shared" si="73"/>
        <v>valid</v>
      </c>
      <c r="AC608">
        <f t="shared" si="81"/>
        <v>0.25</v>
      </c>
      <c r="AD608">
        <f t="shared" si="82"/>
        <v>8754.3225000000002</v>
      </c>
      <c r="AE608">
        <f t="shared" si="83"/>
        <v>2515.4225000000006</v>
      </c>
      <c r="AF608">
        <f t="shared" si="84"/>
        <v>0.28733491369549163</v>
      </c>
      <c r="AG608" t="str">
        <f t="shared" si="85"/>
        <v>February</v>
      </c>
      <c r="AH608">
        <f t="shared" si="86"/>
        <v>2025</v>
      </c>
      <c r="AI608" t="str">
        <f t="shared" si="87"/>
        <v>Clean</v>
      </c>
    </row>
    <row r="609" spans="1:35" ht="15.75" customHeight="1">
      <c r="A609" s="3" t="s">
        <v>2884</v>
      </c>
      <c r="B609" s="3" t="s">
        <v>2835</v>
      </c>
      <c r="C609" s="3" t="s">
        <v>2881</v>
      </c>
      <c r="D609" s="3" t="str">
        <f t="shared" si="68"/>
        <v>22-Feb-2025</v>
      </c>
      <c r="E609" s="3" t="str">
        <f t="shared" si="69"/>
        <v>16-Feb-2025</v>
      </c>
      <c r="F609" s="3">
        <f t="shared" si="70"/>
        <v>6</v>
      </c>
      <c r="G609" s="3" t="s">
        <v>2885</v>
      </c>
      <c r="H609" s="3" t="s">
        <v>176</v>
      </c>
      <c r="I609" s="3" t="s">
        <v>123</v>
      </c>
      <c r="J609" s="3" t="s">
        <v>50</v>
      </c>
      <c r="K609" s="3" t="s">
        <v>194</v>
      </c>
      <c r="L609" s="3" t="s">
        <v>195</v>
      </c>
      <c r="M609" s="3" t="s">
        <v>38</v>
      </c>
      <c r="N609" s="3" t="s">
        <v>164</v>
      </c>
      <c r="O609" s="3" t="s">
        <v>2886</v>
      </c>
      <c r="P609" s="3" t="s">
        <v>56</v>
      </c>
      <c r="Q609" s="3">
        <v>5</v>
      </c>
      <c r="R609" s="3">
        <v>954.67</v>
      </c>
      <c r="S609" s="3">
        <v>0.15</v>
      </c>
      <c r="T609" s="3">
        <v>4057.35</v>
      </c>
      <c r="U609" s="3">
        <v>2862.03</v>
      </c>
      <c r="V609" s="3">
        <v>1195.32</v>
      </c>
      <c r="W609" s="3" t="s">
        <v>42</v>
      </c>
      <c r="X609" s="3" t="s">
        <v>43</v>
      </c>
      <c r="Y609" s="2" t="str">
        <f t="shared" si="71"/>
        <v>Unique</v>
      </c>
      <c r="AA609" s="2" t="str">
        <f t="shared" si="72"/>
        <v>Clean</v>
      </c>
      <c r="AB609" s="2" t="str">
        <f t="shared" si="73"/>
        <v>valid</v>
      </c>
      <c r="AC609">
        <f t="shared" si="81"/>
        <v>0.15</v>
      </c>
      <c r="AD609">
        <f t="shared" si="82"/>
        <v>4057.3474999999994</v>
      </c>
      <c r="AE609">
        <f t="shared" si="83"/>
        <v>1195.3174999999992</v>
      </c>
      <c r="AF609">
        <f t="shared" si="84"/>
        <v>0.29460565061286947</v>
      </c>
      <c r="AG609" t="str">
        <f t="shared" si="85"/>
        <v>February</v>
      </c>
      <c r="AH609">
        <f t="shared" si="86"/>
        <v>2025</v>
      </c>
      <c r="AI609" t="str">
        <f t="shared" si="87"/>
        <v>Clean</v>
      </c>
    </row>
    <row r="610" spans="1:35" ht="15.75" customHeight="1">
      <c r="A610" s="3" t="s">
        <v>2887</v>
      </c>
      <c r="B610" s="3" t="s">
        <v>2144</v>
      </c>
      <c r="C610" s="3" t="s">
        <v>1553</v>
      </c>
      <c r="D610" s="3" t="str">
        <f t="shared" si="68"/>
        <v>23-Jun-2024</v>
      </c>
      <c r="E610" s="3" t="str">
        <f t="shared" si="69"/>
        <v>21-Jun-2024</v>
      </c>
      <c r="F610" s="3">
        <f t="shared" si="70"/>
        <v>2</v>
      </c>
      <c r="G610" s="3" t="s">
        <v>2564</v>
      </c>
      <c r="H610" s="3" t="s">
        <v>33</v>
      </c>
      <c r="I610" s="3" t="s">
        <v>123</v>
      </c>
      <c r="J610" s="3" t="s">
        <v>81</v>
      </c>
      <c r="K610" s="3" t="s">
        <v>257</v>
      </c>
      <c r="L610" s="3" t="s">
        <v>258</v>
      </c>
      <c r="M610" s="3" t="s">
        <v>53</v>
      </c>
      <c r="N610" s="3" t="s">
        <v>73</v>
      </c>
      <c r="O610" s="3" t="s">
        <v>2888</v>
      </c>
      <c r="P610" s="3" t="s">
        <v>41</v>
      </c>
      <c r="Q610" s="3">
        <v>9</v>
      </c>
      <c r="R610" s="3">
        <v>2153.75</v>
      </c>
      <c r="S610" s="3">
        <v>0</v>
      </c>
      <c r="T610" s="3">
        <v>19383.75</v>
      </c>
      <c r="U610" s="3">
        <v>11667.43</v>
      </c>
      <c r="V610" s="3">
        <v>7716.32</v>
      </c>
      <c r="W610" s="3" t="s">
        <v>42</v>
      </c>
      <c r="X610" s="3" t="s">
        <v>43</v>
      </c>
      <c r="Y610" s="2" t="str">
        <f t="shared" si="71"/>
        <v>Unique</v>
      </c>
      <c r="AA610" s="2" t="str">
        <f t="shared" si="72"/>
        <v>Clean</v>
      </c>
      <c r="AB610" s="2" t="str">
        <f t="shared" si="73"/>
        <v>valid</v>
      </c>
      <c r="AC610">
        <f t="shared" si="81"/>
        <v>0</v>
      </c>
      <c r="AD610">
        <f t="shared" si="82"/>
        <v>19383.75</v>
      </c>
      <c r="AE610">
        <f t="shared" si="83"/>
        <v>7716.32</v>
      </c>
      <c r="AF610">
        <f t="shared" si="84"/>
        <v>0.39808189849745274</v>
      </c>
      <c r="AG610" t="str">
        <f t="shared" si="85"/>
        <v>June</v>
      </c>
      <c r="AH610">
        <f t="shared" si="86"/>
        <v>2024</v>
      </c>
      <c r="AI610" t="str">
        <f t="shared" si="87"/>
        <v>Clean</v>
      </c>
    </row>
    <row r="611" spans="1:35" ht="15.75" customHeight="1">
      <c r="A611" s="3" t="s">
        <v>2889</v>
      </c>
      <c r="B611" s="3" t="s">
        <v>2048</v>
      </c>
      <c r="C611" s="3" t="s">
        <v>1178</v>
      </c>
      <c r="D611" s="3" t="str">
        <f t="shared" si="68"/>
        <v>12-Jan-2025</v>
      </c>
      <c r="E611" s="3" t="str">
        <f t="shared" si="69"/>
        <v>08-Jan-2025</v>
      </c>
      <c r="F611" s="3">
        <f t="shared" si="70"/>
        <v>4</v>
      </c>
      <c r="G611" s="3" t="s">
        <v>2890</v>
      </c>
      <c r="H611" s="3" t="s">
        <v>176</v>
      </c>
      <c r="I611" s="3" t="s">
        <v>123</v>
      </c>
      <c r="J611" s="3" t="s">
        <v>70</v>
      </c>
      <c r="K611" s="3" t="s">
        <v>237</v>
      </c>
      <c r="L611" s="3" t="s">
        <v>238</v>
      </c>
      <c r="M611" s="3" t="s">
        <v>53</v>
      </c>
      <c r="N611" s="3" t="s">
        <v>84</v>
      </c>
      <c r="O611" s="3" t="s">
        <v>2891</v>
      </c>
      <c r="P611" s="3" t="s">
        <v>75</v>
      </c>
      <c r="Q611" s="3">
        <v>7</v>
      </c>
      <c r="R611" s="3">
        <v>4337.4799999999996</v>
      </c>
      <c r="S611" s="3">
        <v>0</v>
      </c>
      <c r="T611" s="3">
        <v>30362.36</v>
      </c>
      <c r="U611" s="3">
        <v>25065.4</v>
      </c>
      <c r="V611" s="3">
        <v>5296.96</v>
      </c>
      <c r="W611" s="3" t="s">
        <v>42</v>
      </c>
      <c r="X611" s="3" t="s">
        <v>43</v>
      </c>
      <c r="Y611" s="2" t="str">
        <f t="shared" si="71"/>
        <v>Unique</v>
      </c>
      <c r="AA611" s="2" t="str">
        <f t="shared" si="72"/>
        <v>Clean</v>
      </c>
      <c r="AB611" s="2" t="str">
        <f t="shared" si="73"/>
        <v>valid</v>
      </c>
      <c r="AC611">
        <f t="shared" si="81"/>
        <v>0</v>
      </c>
      <c r="AD611">
        <f t="shared" si="82"/>
        <v>30362.359999999997</v>
      </c>
      <c r="AE611">
        <f t="shared" si="83"/>
        <v>5296.9599999999955</v>
      </c>
      <c r="AF611">
        <f t="shared" si="84"/>
        <v>0.17445811195177174</v>
      </c>
      <c r="AG611" t="str">
        <f t="shared" si="85"/>
        <v>January</v>
      </c>
      <c r="AH611">
        <f t="shared" si="86"/>
        <v>2025</v>
      </c>
      <c r="AI611" t="str">
        <f t="shared" si="87"/>
        <v>Clean</v>
      </c>
    </row>
    <row r="612" spans="1:35" ht="15.75" customHeight="1">
      <c r="A612" s="3" t="s">
        <v>2892</v>
      </c>
      <c r="B612" s="3" t="s">
        <v>2893</v>
      </c>
      <c r="C612" s="3" t="s">
        <v>2894</v>
      </c>
      <c r="D612" s="3" t="str">
        <f t="shared" si="68"/>
        <v>20-May-2024</v>
      </c>
      <c r="E612" s="3" t="str">
        <f t="shared" si="69"/>
        <v>20-May-2024</v>
      </c>
      <c r="F612" s="3">
        <f t="shared" si="70"/>
        <v>0</v>
      </c>
      <c r="G612" s="3" t="s">
        <v>2073</v>
      </c>
      <c r="H612" s="3" t="s">
        <v>33</v>
      </c>
      <c r="I612" s="3" t="s">
        <v>123</v>
      </c>
      <c r="J612" s="3" t="s">
        <v>81</v>
      </c>
      <c r="K612" s="3" t="s">
        <v>92</v>
      </c>
      <c r="L612" s="3" t="s">
        <v>93</v>
      </c>
      <c r="M612" s="3" t="s">
        <v>53</v>
      </c>
      <c r="N612" s="3" t="s">
        <v>84</v>
      </c>
      <c r="O612" s="3" t="s">
        <v>2895</v>
      </c>
      <c r="P612" s="3" t="s">
        <v>75</v>
      </c>
      <c r="Q612" s="3">
        <v>1</v>
      </c>
      <c r="R612" s="3">
        <v>3032.95</v>
      </c>
      <c r="S612" s="3">
        <v>0.1</v>
      </c>
      <c r="T612" s="3">
        <v>2729.65</v>
      </c>
      <c r="U612" s="3">
        <v>1715.36</v>
      </c>
      <c r="V612" s="3">
        <v>1014.29</v>
      </c>
      <c r="W612" s="3" t="s">
        <v>42</v>
      </c>
      <c r="X612" s="3" t="s">
        <v>43</v>
      </c>
      <c r="Y612" s="2" t="str">
        <f t="shared" si="71"/>
        <v>Unique</v>
      </c>
      <c r="AA612" s="2" t="str">
        <f t="shared" si="72"/>
        <v>Clean</v>
      </c>
      <c r="AB612" s="2" t="str">
        <f t="shared" si="73"/>
        <v>valid</v>
      </c>
      <c r="AC612">
        <f t="shared" si="81"/>
        <v>0.1</v>
      </c>
      <c r="AD612">
        <f t="shared" si="82"/>
        <v>2729.6549999999997</v>
      </c>
      <c r="AE612">
        <f t="shared" si="83"/>
        <v>1014.2949999999998</v>
      </c>
      <c r="AF612">
        <f t="shared" si="84"/>
        <v>0.37158358840219735</v>
      </c>
      <c r="AG612" t="str">
        <f t="shared" si="85"/>
        <v>May</v>
      </c>
      <c r="AH612">
        <f t="shared" si="86"/>
        <v>2024</v>
      </c>
      <c r="AI612" t="str">
        <f t="shared" si="87"/>
        <v>Clean</v>
      </c>
    </row>
    <row r="613" spans="1:35" ht="15.75" customHeight="1">
      <c r="A613" s="3" t="s">
        <v>2896</v>
      </c>
      <c r="B613" s="3" t="s">
        <v>2602</v>
      </c>
      <c r="C613" s="3" t="s">
        <v>2897</v>
      </c>
      <c r="D613" s="3" t="str">
        <f t="shared" si="68"/>
        <v>15-Jul-2025</v>
      </c>
      <c r="E613" s="3" t="str">
        <f t="shared" si="69"/>
        <v>08-Jul-2025</v>
      </c>
      <c r="F613" s="3">
        <f t="shared" si="70"/>
        <v>7</v>
      </c>
      <c r="G613" s="3" t="s">
        <v>2898</v>
      </c>
      <c r="H613" s="3" t="s">
        <v>80</v>
      </c>
      <c r="I613" s="3" t="s">
        <v>49</v>
      </c>
      <c r="J613" s="3" t="s">
        <v>35</v>
      </c>
      <c r="K613" s="3" t="s">
        <v>36</v>
      </c>
      <c r="L613" s="3" t="s">
        <v>37</v>
      </c>
      <c r="M613" s="3" t="s">
        <v>38</v>
      </c>
      <c r="N613" s="3" t="s">
        <v>206</v>
      </c>
      <c r="O613" s="3" t="s">
        <v>2899</v>
      </c>
      <c r="P613" s="3" t="s">
        <v>56</v>
      </c>
      <c r="Q613" s="3">
        <v>8</v>
      </c>
      <c r="R613" s="3">
        <v>655.28</v>
      </c>
      <c r="S613" s="3">
        <v>0.1</v>
      </c>
      <c r="T613" s="3">
        <v>4718.0200000000004</v>
      </c>
      <c r="U613" s="3">
        <v>3908.23</v>
      </c>
      <c r="V613" s="3">
        <v>809.79</v>
      </c>
      <c r="W613" s="3" t="s">
        <v>42</v>
      </c>
      <c r="X613" s="3" t="s">
        <v>43</v>
      </c>
      <c r="Y613" s="2" t="str">
        <f t="shared" si="71"/>
        <v>Unique</v>
      </c>
      <c r="AA613" s="2" t="str">
        <f t="shared" si="72"/>
        <v>Clean</v>
      </c>
      <c r="AB613" s="2" t="str">
        <f t="shared" si="73"/>
        <v>valid</v>
      </c>
      <c r="AC613">
        <f t="shared" si="81"/>
        <v>0.1</v>
      </c>
      <c r="AD613">
        <f t="shared" si="82"/>
        <v>4718.0159999999996</v>
      </c>
      <c r="AE613">
        <f t="shared" si="83"/>
        <v>809.7859999999996</v>
      </c>
      <c r="AF613">
        <f t="shared" si="84"/>
        <v>0.17163697622051297</v>
      </c>
      <c r="AG613" t="str">
        <f t="shared" si="85"/>
        <v>July</v>
      </c>
      <c r="AH613">
        <f t="shared" si="86"/>
        <v>2025</v>
      </c>
      <c r="AI613" t="str">
        <f t="shared" si="87"/>
        <v>Clean</v>
      </c>
    </row>
    <row r="614" spans="1:35" ht="15.75" customHeight="1">
      <c r="A614" s="3" t="s">
        <v>2900</v>
      </c>
      <c r="B614" s="3" t="s">
        <v>2901</v>
      </c>
      <c r="C614" s="3" t="s">
        <v>2902</v>
      </c>
      <c r="D614" s="3" t="str">
        <f t="shared" si="68"/>
        <v>13-Apr-2025</v>
      </c>
      <c r="E614" s="3" t="str">
        <f t="shared" si="69"/>
        <v>06-Apr-2025</v>
      </c>
      <c r="F614" s="3">
        <f t="shared" si="70"/>
        <v>7</v>
      </c>
      <c r="G614" s="3" t="s">
        <v>2903</v>
      </c>
      <c r="H614" s="3" t="s">
        <v>115</v>
      </c>
      <c r="I614" s="3" t="s">
        <v>34</v>
      </c>
      <c r="J614" s="3" t="s">
        <v>280</v>
      </c>
      <c r="K614" s="3" t="s">
        <v>51</v>
      </c>
      <c r="L614" s="3" t="s">
        <v>52</v>
      </c>
      <c r="M614" s="3" t="s">
        <v>94</v>
      </c>
      <c r="N614" s="3" t="s">
        <v>231</v>
      </c>
      <c r="O614" s="3" t="s">
        <v>2904</v>
      </c>
      <c r="P614" s="3" t="s">
        <v>75</v>
      </c>
      <c r="Q614" s="3">
        <v>1</v>
      </c>
      <c r="R614" s="3">
        <v>3844.01</v>
      </c>
      <c r="S614" s="3">
        <v>0</v>
      </c>
      <c r="T614" s="3">
        <v>3844.01</v>
      </c>
      <c r="U614" s="3">
        <v>2195.79</v>
      </c>
      <c r="V614" s="3">
        <v>1648.22</v>
      </c>
      <c r="W614" s="3" t="s">
        <v>42</v>
      </c>
      <c r="X614" s="3" t="s">
        <v>43</v>
      </c>
      <c r="Y614" s="2" t="str">
        <f t="shared" si="71"/>
        <v>Unique</v>
      </c>
      <c r="AA614" s="2" t="str">
        <f t="shared" si="72"/>
        <v>Clean</v>
      </c>
      <c r="AB614" s="2" t="str">
        <f t="shared" si="73"/>
        <v>valid</v>
      </c>
      <c r="AC614">
        <f t="shared" si="81"/>
        <v>0</v>
      </c>
      <c r="AD614">
        <f t="shared" si="82"/>
        <v>3844.01</v>
      </c>
      <c r="AE614">
        <f t="shared" si="83"/>
        <v>1648.2200000000003</v>
      </c>
      <c r="AF614">
        <f t="shared" si="84"/>
        <v>0.42877619985379856</v>
      </c>
      <c r="AG614" t="str">
        <f t="shared" si="85"/>
        <v>April</v>
      </c>
      <c r="AH614">
        <f t="shared" si="86"/>
        <v>2025</v>
      </c>
      <c r="AI614" t="str">
        <f t="shared" si="87"/>
        <v>Clean</v>
      </c>
    </row>
    <row r="615" spans="1:35" ht="15.75" customHeight="1">
      <c r="A615" s="3" t="s">
        <v>2905</v>
      </c>
      <c r="B615" s="3" t="s">
        <v>2438</v>
      </c>
      <c r="C615" s="3" t="s">
        <v>2906</v>
      </c>
      <c r="D615" s="3" t="str">
        <f t="shared" si="68"/>
        <v>10-Oct-2024</v>
      </c>
      <c r="E615" s="3" t="str">
        <f t="shared" si="69"/>
        <v>05-Oct-2024</v>
      </c>
      <c r="F615" s="3">
        <f t="shared" si="70"/>
        <v>5</v>
      </c>
      <c r="G615" s="3" t="s">
        <v>2907</v>
      </c>
      <c r="H615" s="3" t="s">
        <v>218</v>
      </c>
      <c r="I615" s="3" t="s">
        <v>123</v>
      </c>
      <c r="J615" s="3" t="s">
        <v>81</v>
      </c>
      <c r="K615" s="3" t="s">
        <v>243</v>
      </c>
      <c r="L615" s="3" t="s">
        <v>244</v>
      </c>
      <c r="M615" s="3" t="s">
        <v>94</v>
      </c>
      <c r="N615" s="3" t="s">
        <v>391</v>
      </c>
      <c r="O615" s="3" t="s">
        <v>2908</v>
      </c>
      <c r="P615" s="3" t="s">
        <v>56</v>
      </c>
      <c r="Q615" s="3">
        <v>9</v>
      </c>
      <c r="R615" s="3">
        <v>3361.3</v>
      </c>
      <c r="S615" s="3">
        <v>0.25</v>
      </c>
      <c r="T615" s="3">
        <v>22688.78</v>
      </c>
      <c r="U615" s="3">
        <v>14672.41</v>
      </c>
      <c r="V615" s="3">
        <v>8016.37</v>
      </c>
      <c r="W615" s="3" t="s">
        <v>42</v>
      </c>
      <c r="X615" s="3" t="s">
        <v>43</v>
      </c>
      <c r="Y615" s="2" t="str">
        <f t="shared" si="71"/>
        <v>Unique</v>
      </c>
      <c r="AA615" s="2" t="str">
        <f t="shared" si="72"/>
        <v>Clean</v>
      </c>
      <c r="AB615" s="2" t="str">
        <f t="shared" si="73"/>
        <v>valid</v>
      </c>
      <c r="AC615">
        <f t="shared" si="81"/>
        <v>0.25</v>
      </c>
      <c r="AD615">
        <f t="shared" si="82"/>
        <v>22688.775000000001</v>
      </c>
      <c r="AE615">
        <f t="shared" si="83"/>
        <v>8016.3650000000016</v>
      </c>
      <c r="AF615">
        <f t="shared" si="84"/>
        <v>0.35331854628555315</v>
      </c>
      <c r="AG615" t="str">
        <f t="shared" si="85"/>
        <v>October</v>
      </c>
      <c r="AH615">
        <f t="shared" si="86"/>
        <v>2024</v>
      </c>
      <c r="AI615" t="str">
        <f t="shared" si="87"/>
        <v>Clean</v>
      </c>
    </row>
    <row r="616" spans="1:35" ht="15.75" customHeight="1">
      <c r="A616" s="3" t="s">
        <v>2909</v>
      </c>
      <c r="B616" s="3" t="s">
        <v>2298</v>
      </c>
      <c r="C616" s="3" t="s">
        <v>2910</v>
      </c>
      <c r="D616" s="3" t="str">
        <f t="shared" si="68"/>
        <v>19-Feb-2024</v>
      </c>
      <c r="E616" s="3" t="str">
        <f t="shared" si="69"/>
        <v>11-Feb-2024</v>
      </c>
      <c r="F616" s="3">
        <f t="shared" si="70"/>
        <v>8</v>
      </c>
      <c r="G616" s="3" t="s">
        <v>2911</v>
      </c>
      <c r="H616" s="3" t="s">
        <v>80</v>
      </c>
      <c r="I616" s="3" t="s">
        <v>123</v>
      </c>
      <c r="J616" s="3" t="s">
        <v>70</v>
      </c>
      <c r="K616" s="3" t="s">
        <v>71</v>
      </c>
      <c r="L616" s="3" t="s">
        <v>72</v>
      </c>
      <c r="M616" s="3" t="s">
        <v>53</v>
      </c>
      <c r="N616" s="3" t="s">
        <v>84</v>
      </c>
      <c r="O616" s="3" t="s">
        <v>2912</v>
      </c>
      <c r="P616" s="3" t="s">
        <v>75</v>
      </c>
      <c r="Q616" s="3">
        <v>8</v>
      </c>
      <c r="R616" s="3">
        <v>3398.32</v>
      </c>
      <c r="S616" s="3">
        <v>0.25</v>
      </c>
      <c r="T616" s="3">
        <v>20389.919999999998</v>
      </c>
      <c r="U616" s="3">
        <v>16661.080000000002</v>
      </c>
      <c r="V616" s="3">
        <v>3728.84</v>
      </c>
      <c r="W616" s="3" t="s">
        <v>132</v>
      </c>
      <c r="X616" s="3" t="s">
        <v>86</v>
      </c>
      <c r="Y616" s="2" t="str">
        <f t="shared" si="71"/>
        <v>Unique</v>
      </c>
      <c r="AA616" s="2" t="str">
        <f t="shared" si="72"/>
        <v>Clean</v>
      </c>
      <c r="AB616" s="2" t="str">
        <f t="shared" si="73"/>
        <v>valid</v>
      </c>
      <c r="AC616">
        <f t="shared" si="81"/>
        <v>0.25</v>
      </c>
      <c r="AD616">
        <f t="shared" si="82"/>
        <v>20389.920000000002</v>
      </c>
      <c r="AE616">
        <f t="shared" si="83"/>
        <v>3728.84</v>
      </c>
      <c r="AF616">
        <f t="shared" si="84"/>
        <v>0.18287663708342161</v>
      </c>
      <c r="AG616" t="str">
        <f t="shared" si="85"/>
        <v>February</v>
      </c>
      <c r="AH616">
        <f t="shared" si="86"/>
        <v>2024</v>
      </c>
      <c r="AI616" t="str">
        <f t="shared" si="87"/>
        <v>Warning</v>
      </c>
    </row>
    <row r="617" spans="1:35" ht="15.75" customHeight="1">
      <c r="A617" s="3" t="s">
        <v>2913</v>
      </c>
      <c r="B617" s="3" t="s">
        <v>2914</v>
      </c>
      <c r="C617" s="3" t="s">
        <v>2915</v>
      </c>
      <c r="D617" s="3" t="str">
        <f t="shared" si="68"/>
        <v>10-Jul-2024</v>
      </c>
      <c r="E617" s="3" t="str">
        <f t="shared" si="69"/>
        <v>04-Oct-2024</v>
      </c>
      <c r="F617" s="3">
        <f t="shared" si="70"/>
        <v>-86</v>
      </c>
      <c r="G617" s="3" t="s">
        <v>2916</v>
      </c>
      <c r="H617" s="3" t="s">
        <v>156</v>
      </c>
      <c r="I617" s="3" t="s">
        <v>116</v>
      </c>
      <c r="J617" s="3" t="s">
        <v>70</v>
      </c>
      <c r="K617" s="3" t="s">
        <v>250</v>
      </c>
      <c r="L617" s="3" t="s">
        <v>251</v>
      </c>
      <c r="M617" s="3" t="s">
        <v>38</v>
      </c>
      <c r="N617" s="3" t="s">
        <v>62</v>
      </c>
      <c r="O617" s="3" t="s">
        <v>2917</v>
      </c>
      <c r="P617" s="3" t="s">
        <v>41</v>
      </c>
      <c r="Q617" s="3">
        <v>2</v>
      </c>
      <c r="R617" s="3">
        <v>3144.38</v>
      </c>
      <c r="S617" s="3">
        <v>0.1</v>
      </c>
      <c r="T617" s="3">
        <v>5904.57</v>
      </c>
      <c r="U617" s="3">
        <v>4337.79</v>
      </c>
      <c r="V617" s="3">
        <v>1322.09</v>
      </c>
      <c r="W617" s="3" t="s">
        <v>42</v>
      </c>
      <c r="X617" s="3" t="s">
        <v>43</v>
      </c>
      <c r="Y617" s="2" t="str">
        <f t="shared" si="71"/>
        <v>Unique</v>
      </c>
      <c r="AA617" s="2" t="str">
        <f t="shared" si="72"/>
        <v>Clean</v>
      </c>
      <c r="AB617" s="2" t="str">
        <f t="shared" si="73"/>
        <v>Invalid</v>
      </c>
      <c r="AC617">
        <f t="shared" si="81"/>
        <v>0.1</v>
      </c>
      <c r="AD617">
        <f t="shared" si="82"/>
        <v>5659.884</v>
      </c>
      <c r="AE617">
        <f t="shared" si="83"/>
        <v>1322.0940000000001</v>
      </c>
      <c r="AF617">
        <f t="shared" si="84"/>
        <v>0.23359029973052453</v>
      </c>
      <c r="AG617" t="str">
        <f t="shared" si="85"/>
        <v>October</v>
      </c>
      <c r="AH617">
        <f t="shared" si="86"/>
        <v>2024</v>
      </c>
      <c r="AI617" t="str">
        <f t="shared" si="87"/>
        <v>Clean</v>
      </c>
    </row>
    <row r="618" spans="1:35" ht="15.75" customHeight="1">
      <c r="A618" s="3" t="s">
        <v>2918</v>
      </c>
      <c r="B618" s="3" t="s">
        <v>2919</v>
      </c>
      <c r="C618" s="3" t="s">
        <v>2850</v>
      </c>
      <c r="D618" s="3" t="str">
        <f t="shared" si="68"/>
        <v>19-Aug-2024</v>
      </c>
      <c r="E618" s="3" t="str">
        <f t="shared" si="69"/>
        <v>16-Aug-2024</v>
      </c>
      <c r="F618" s="3">
        <f t="shared" si="70"/>
        <v>3</v>
      </c>
      <c r="G618" s="3" t="s">
        <v>2920</v>
      </c>
      <c r="H618" s="3" t="s">
        <v>375</v>
      </c>
      <c r="I618" s="3" t="s">
        <v>34</v>
      </c>
      <c r="J618" s="3" t="s">
        <v>70</v>
      </c>
      <c r="K618" s="3" t="s">
        <v>71</v>
      </c>
      <c r="L618" s="3" t="s">
        <v>72</v>
      </c>
      <c r="M618" s="3" t="s">
        <v>38</v>
      </c>
      <c r="N618" s="3" t="s">
        <v>39</v>
      </c>
      <c r="O618" s="3" t="s">
        <v>2921</v>
      </c>
      <c r="P618" s="3" t="s">
        <v>75</v>
      </c>
      <c r="Q618" s="3">
        <v>6</v>
      </c>
      <c r="R618" s="3">
        <v>3925.55</v>
      </c>
      <c r="S618" s="3">
        <v>0.2</v>
      </c>
      <c r="T618" s="3">
        <v>18842.64</v>
      </c>
      <c r="U618" s="3">
        <v>11840.58</v>
      </c>
      <c r="V618" s="3">
        <v>7002.06</v>
      </c>
      <c r="W618" s="3" t="s">
        <v>42</v>
      </c>
      <c r="X618" s="3" t="s">
        <v>43</v>
      </c>
      <c r="Y618" s="2" t="str">
        <f t="shared" si="71"/>
        <v>Unique</v>
      </c>
      <c r="AA618" s="2" t="str">
        <f t="shared" si="72"/>
        <v>Clean</v>
      </c>
      <c r="AB618" s="2" t="str">
        <f t="shared" si="73"/>
        <v>valid</v>
      </c>
      <c r="AC618">
        <f t="shared" si="81"/>
        <v>0.2</v>
      </c>
      <c r="AD618">
        <f t="shared" si="82"/>
        <v>18842.640000000003</v>
      </c>
      <c r="AE618">
        <f t="shared" si="83"/>
        <v>7002.0600000000031</v>
      </c>
      <c r="AF618">
        <f t="shared" si="84"/>
        <v>0.37160716332743193</v>
      </c>
      <c r="AG618" t="str">
        <f t="shared" si="85"/>
        <v>August</v>
      </c>
      <c r="AH618">
        <f t="shared" si="86"/>
        <v>2024</v>
      </c>
      <c r="AI618" t="str">
        <f t="shared" si="87"/>
        <v>Clean</v>
      </c>
    </row>
    <row r="619" spans="1:35" ht="15.75" customHeight="1">
      <c r="A619" s="3" t="s">
        <v>2922</v>
      </c>
      <c r="B619" s="3" t="s">
        <v>2923</v>
      </c>
      <c r="C619" s="3" t="s">
        <v>979</v>
      </c>
      <c r="D619" s="3" t="str">
        <f t="shared" si="68"/>
        <v>30-Sep-2024</v>
      </c>
      <c r="E619" s="3" t="str">
        <f t="shared" si="69"/>
        <v>29-Sep-2024</v>
      </c>
      <c r="F619" s="3">
        <f t="shared" si="70"/>
        <v>1</v>
      </c>
      <c r="G619" s="3" t="s">
        <v>2924</v>
      </c>
      <c r="H619" s="3" t="s">
        <v>48</v>
      </c>
      <c r="I619" s="3" t="s">
        <v>123</v>
      </c>
      <c r="J619" s="3" t="s">
        <v>70</v>
      </c>
      <c r="K619" s="3" t="s">
        <v>71</v>
      </c>
      <c r="L619" s="3" t="s">
        <v>72</v>
      </c>
      <c r="M619" s="3" t="s">
        <v>94</v>
      </c>
      <c r="N619" s="3" t="s">
        <v>231</v>
      </c>
      <c r="O619" s="3" t="s">
        <v>2925</v>
      </c>
      <c r="P619" s="3" t="s">
        <v>75</v>
      </c>
      <c r="Q619" s="3">
        <v>9</v>
      </c>
      <c r="R619" s="3">
        <v>2741.91</v>
      </c>
      <c r="S619" s="3">
        <v>0</v>
      </c>
      <c r="T619" s="3">
        <v>24677.19</v>
      </c>
      <c r="U619" s="3">
        <v>20350.849999999999</v>
      </c>
      <c r="V619" s="3">
        <v>4326.34</v>
      </c>
      <c r="W619" s="3" t="s">
        <v>42</v>
      </c>
      <c r="X619" s="3" t="s">
        <v>43</v>
      </c>
      <c r="Y619" s="2" t="str">
        <f t="shared" si="71"/>
        <v>Unique</v>
      </c>
      <c r="AA619" s="2" t="str">
        <f t="shared" si="72"/>
        <v>Clean</v>
      </c>
      <c r="AB619" s="2" t="str">
        <f t="shared" si="73"/>
        <v>valid</v>
      </c>
      <c r="AC619">
        <f t="shared" si="81"/>
        <v>0</v>
      </c>
      <c r="AD619">
        <f t="shared" si="82"/>
        <v>24677.19</v>
      </c>
      <c r="AE619">
        <f t="shared" si="83"/>
        <v>4326.34</v>
      </c>
      <c r="AF619">
        <f t="shared" si="84"/>
        <v>0.17531736798233513</v>
      </c>
      <c r="AG619" t="str">
        <f t="shared" si="85"/>
        <v>September</v>
      </c>
      <c r="AH619">
        <f t="shared" si="86"/>
        <v>2024</v>
      </c>
      <c r="AI619" t="str">
        <f t="shared" si="87"/>
        <v>Clean</v>
      </c>
    </row>
    <row r="620" spans="1:35" ht="15.75" customHeight="1">
      <c r="A620" s="3" t="s">
        <v>2926</v>
      </c>
      <c r="B620" s="3" t="s">
        <v>2927</v>
      </c>
      <c r="C620" s="3" t="s">
        <v>538</v>
      </c>
      <c r="D620" s="3" t="str">
        <f t="shared" si="68"/>
        <v>30-Jul-2024</v>
      </c>
      <c r="E620" s="3" t="str">
        <f t="shared" si="69"/>
        <v>23-Jul-2024</v>
      </c>
      <c r="F620" s="3">
        <f t="shared" si="70"/>
        <v>7</v>
      </c>
      <c r="G620" s="3" t="s">
        <v>2928</v>
      </c>
      <c r="H620" s="3" t="s">
        <v>375</v>
      </c>
      <c r="I620" s="3" t="s">
        <v>116</v>
      </c>
      <c r="J620" s="3" t="s">
        <v>35</v>
      </c>
      <c r="K620" s="3" t="s">
        <v>36</v>
      </c>
      <c r="L620" s="3" t="s">
        <v>37</v>
      </c>
      <c r="M620" s="3" t="s">
        <v>53</v>
      </c>
      <c r="N620" s="3" t="s">
        <v>54</v>
      </c>
      <c r="O620" s="3" t="s">
        <v>2929</v>
      </c>
      <c r="P620" s="3" t="s">
        <v>56</v>
      </c>
      <c r="Q620" s="3">
        <v>9</v>
      </c>
      <c r="R620" s="3">
        <v>1870.11</v>
      </c>
      <c r="S620" s="3">
        <v>0.25</v>
      </c>
      <c r="T620" s="3">
        <v>12623.24</v>
      </c>
      <c r="U620" s="3">
        <v>10540.8</v>
      </c>
      <c r="V620" s="3">
        <v>2082.44</v>
      </c>
      <c r="W620" s="3" t="s">
        <v>208</v>
      </c>
      <c r="X620" s="3" t="s">
        <v>86</v>
      </c>
      <c r="Y620" s="2" t="str">
        <f t="shared" si="71"/>
        <v>Unique</v>
      </c>
      <c r="AA620" s="2" t="str">
        <f t="shared" si="72"/>
        <v>Clean</v>
      </c>
      <c r="AB620" s="2" t="str">
        <f t="shared" si="73"/>
        <v>valid</v>
      </c>
      <c r="AC620">
        <f t="shared" si="81"/>
        <v>0.25</v>
      </c>
      <c r="AD620">
        <f t="shared" si="82"/>
        <v>12623.242499999998</v>
      </c>
      <c r="AE620">
        <f t="shared" si="83"/>
        <v>2082.4424999999992</v>
      </c>
      <c r="AF620">
        <f t="shared" si="84"/>
        <v>0.16496890557239943</v>
      </c>
      <c r="AG620" t="str">
        <f t="shared" si="85"/>
        <v>July</v>
      </c>
      <c r="AH620">
        <f t="shared" si="86"/>
        <v>2024</v>
      </c>
      <c r="AI620" t="str">
        <f t="shared" si="87"/>
        <v>Warning</v>
      </c>
    </row>
    <row r="621" spans="1:35" ht="15.75" customHeight="1">
      <c r="A621" s="3" t="s">
        <v>2930</v>
      </c>
      <c r="B621" s="3" t="s">
        <v>917</v>
      </c>
      <c r="C621" s="3" t="s">
        <v>2931</v>
      </c>
      <c r="D621" s="3" t="str">
        <f t="shared" si="68"/>
        <v>27-Nov-2024</v>
      </c>
      <c r="E621" s="3" t="str">
        <f t="shared" si="69"/>
        <v>22-Nov-2024</v>
      </c>
      <c r="F621" s="3">
        <f t="shared" si="70"/>
        <v>5</v>
      </c>
      <c r="G621" s="3" t="s">
        <v>2932</v>
      </c>
      <c r="H621" s="3" t="s">
        <v>150</v>
      </c>
      <c r="I621" s="3" t="s">
        <v>116</v>
      </c>
      <c r="J621" s="3" t="s">
        <v>70</v>
      </c>
      <c r="K621" s="3" t="s">
        <v>347</v>
      </c>
      <c r="L621" s="3" t="s">
        <v>348</v>
      </c>
      <c r="M621" s="3" t="s">
        <v>38</v>
      </c>
      <c r="N621" s="3" t="s">
        <v>206</v>
      </c>
      <c r="O621" s="3" t="s">
        <v>2933</v>
      </c>
      <c r="P621" s="3" t="s">
        <v>64</v>
      </c>
      <c r="Q621" s="3">
        <v>1</v>
      </c>
      <c r="R621" s="3">
        <v>4251.26</v>
      </c>
      <c r="S621" s="3">
        <v>0.2</v>
      </c>
      <c r="T621" s="3">
        <v>3401.01</v>
      </c>
      <c r="U621" s="3">
        <v>2917.54</v>
      </c>
      <c r="V621" s="3">
        <v>483.47</v>
      </c>
      <c r="W621" s="3" t="s">
        <v>132</v>
      </c>
      <c r="X621" s="3" t="s">
        <v>133</v>
      </c>
      <c r="Y621" s="2" t="str">
        <f t="shared" si="71"/>
        <v>Unique</v>
      </c>
      <c r="AA621" s="2" t="str">
        <f t="shared" si="72"/>
        <v>Clean</v>
      </c>
      <c r="AB621" s="2" t="str">
        <f t="shared" si="73"/>
        <v>valid</v>
      </c>
      <c r="AC621">
        <f t="shared" si="81"/>
        <v>0.2</v>
      </c>
      <c r="AD621">
        <f t="shared" si="82"/>
        <v>3401.0080000000003</v>
      </c>
      <c r="AE621">
        <f t="shared" si="83"/>
        <v>483.4680000000003</v>
      </c>
      <c r="AF621">
        <f t="shared" si="84"/>
        <v>0.14215432601158254</v>
      </c>
      <c r="AG621" t="str">
        <f t="shared" si="85"/>
        <v>November</v>
      </c>
      <c r="AH621">
        <f t="shared" si="86"/>
        <v>2024</v>
      </c>
      <c r="AI621" t="str">
        <f t="shared" si="87"/>
        <v>Clean</v>
      </c>
    </row>
    <row r="622" spans="1:35" ht="15.75" customHeight="1">
      <c r="A622" s="3" t="s">
        <v>2934</v>
      </c>
      <c r="B622" s="3" t="s">
        <v>2935</v>
      </c>
      <c r="C622" s="3" t="s">
        <v>2936</v>
      </c>
      <c r="D622" s="3" t="str">
        <f t="shared" si="68"/>
        <v>21-Aug-2024</v>
      </c>
      <c r="E622" s="3" t="str">
        <f t="shared" si="69"/>
        <v>18-Aug-2024</v>
      </c>
      <c r="F622" s="3">
        <f t="shared" si="70"/>
        <v>3</v>
      </c>
      <c r="G622" s="3" t="s">
        <v>2937</v>
      </c>
      <c r="H622" s="3" t="s">
        <v>91</v>
      </c>
      <c r="I622" s="3" t="s">
        <v>34</v>
      </c>
      <c r="J622" s="3" t="s">
        <v>35</v>
      </c>
      <c r="K622" s="3" t="s">
        <v>182</v>
      </c>
      <c r="L622" s="3" t="s">
        <v>183</v>
      </c>
      <c r="M622" s="3" t="s">
        <v>94</v>
      </c>
      <c r="N622" s="3" t="s">
        <v>391</v>
      </c>
      <c r="O622" s="3" t="s">
        <v>2938</v>
      </c>
      <c r="P622" s="3" t="s">
        <v>75</v>
      </c>
      <c r="Q622" s="3">
        <v>9</v>
      </c>
      <c r="R622" s="3">
        <v>734.34</v>
      </c>
      <c r="S622" s="3">
        <v>0</v>
      </c>
      <c r="T622" s="3">
        <v>6609.06</v>
      </c>
      <c r="U622" s="3">
        <v>4946.78</v>
      </c>
      <c r="V622" s="3">
        <v>1662.28</v>
      </c>
      <c r="W622" s="3" t="s">
        <v>42</v>
      </c>
      <c r="X622" s="3" t="s">
        <v>43</v>
      </c>
      <c r="Y622" s="2" t="str">
        <f t="shared" si="71"/>
        <v>Unique</v>
      </c>
      <c r="AA622" s="2" t="str">
        <f t="shared" si="72"/>
        <v>Clean</v>
      </c>
      <c r="AB622" s="2" t="str">
        <f t="shared" si="73"/>
        <v>valid</v>
      </c>
      <c r="AC622">
        <f t="shared" si="81"/>
        <v>0</v>
      </c>
      <c r="AD622">
        <f t="shared" si="82"/>
        <v>6609.06</v>
      </c>
      <c r="AE622">
        <f t="shared" si="83"/>
        <v>1662.2800000000007</v>
      </c>
      <c r="AF622">
        <f t="shared" si="84"/>
        <v>0.25151534408826681</v>
      </c>
      <c r="AG622" t="str">
        <f t="shared" si="85"/>
        <v>August</v>
      </c>
      <c r="AH622">
        <f t="shared" si="86"/>
        <v>2024</v>
      </c>
      <c r="AI622" t="str">
        <f t="shared" si="87"/>
        <v>Clean</v>
      </c>
    </row>
    <row r="623" spans="1:35" ht="15.75" customHeight="1">
      <c r="A623" s="3" t="s">
        <v>2939</v>
      </c>
      <c r="B623" s="3" t="s">
        <v>66</v>
      </c>
      <c r="C623" s="3" t="s">
        <v>2940</v>
      </c>
      <c r="D623" s="3" t="str">
        <f t="shared" si="68"/>
        <v>06-Dec-2024</v>
      </c>
      <c r="E623" s="3" t="str">
        <f t="shared" si="69"/>
        <v>28-Nov-2024</v>
      </c>
      <c r="F623" s="3">
        <f t="shared" si="70"/>
        <v>8</v>
      </c>
      <c r="G623" s="3" t="s">
        <v>2941</v>
      </c>
      <c r="H623" s="3" t="s">
        <v>115</v>
      </c>
      <c r="I623" s="3" t="s">
        <v>34</v>
      </c>
      <c r="J623" s="3" t="s">
        <v>81</v>
      </c>
      <c r="K623" s="3" t="s">
        <v>82</v>
      </c>
      <c r="L623" s="3" t="s">
        <v>83</v>
      </c>
      <c r="M623" s="3" t="s">
        <v>53</v>
      </c>
      <c r="N623" s="3" t="s">
        <v>84</v>
      </c>
      <c r="O623" s="3" t="s">
        <v>2942</v>
      </c>
      <c r="P623" s="3" t="s">
        <v>56</v>
      </c>
      <c r="Q623" s="3">
        <v>5</v>
      </c>
      <c r="R623" s="3">
        <v>1092.8399999999999</v>
      </c>
      <c r="S623" s="3">
        <v>0</v>
      </c>
      <c r="T623" s="3">
        <v>5464.2</v>
      </c>
      <c r="U623" s="3">
        <v>3318.09</v>
      </c>
      <c r="V623" s="3">
        <v>2146.11</v>
      </c>
      <c r="W623" s="3" t="s">
        <v>42</v>
      </c>
      <c r="X623" s="3" t="s">
        <v>43</v>
      </c>
      <c r="Y623" s="4" t="str">
        <f t="shared" si="71"/>
        <v>Unique</v>
      </c>
      <c r="AA623" s="2" t="str">
        <f t="shared" si="72"/>
        <v>Clean</v>
      </c>
      <c r="AB623" s="2" t="str">
        <f t="shared" si="73"/>
        <v>valid</v>
      </c>
      <c r="AC623">
        <f t="shared" si="81"/>
        <v>0</v>
      </c>
      <c r="AD623">
        <f t="shared" si="82"/>
        <v>5464.2</v>
      </c>
      <c r="AE623">
        <f t="shared" si="83"/>
        <v>2146.1099999999997</v>
      </c>
      <c r="AF623">
        <f t="shared" si="84"/>
        <v>0.39275831777753373</v>
      </c>
      <c r="AG623" t="str">
        <f t="shared" si="85"/>
        <v>November</v>
      </c>
      <c r="AH623">
        <f t="shared" si="86"/>
        <v>2024</v>
      </c>
      <c r="AI623" t="str">
        <f t="shared" si="87"/>
        <v>Clean</v>
      </c>
    </row>
    <row r="624" spans="1:35" ht="15.75" customHeight="1">
      <c r="A624" s="3" t="s">
        <v>2943</v>
      </c>
      <c r="B624" s="3" t="s">
        <v>2944</v>
      </c>
      <c r="C624" s="3" t="s">
        <v>2945</v>
      </c>
      <c r="D624" s="3" t="str">
        <f t="shared" si="68"/>
        <v>06-Feb-2025</v>
      </c>
      <c r="E624" s="3" t="str">
        <f t="shared" si="69"/>
        <v>29-Jan-2025</v>
      </c>
      <c r="F624" s="3">
        <f t="shared" si="70"/>
        <v>8</v>
      </c>
      <c r="G624" s="3" t="s">
        <v>2946</v>
      </c>
      <c r="H624" s="3" t="s">
        <v>91</v>
      </c>
      <c r="I624" s="3" t="s">
        <v>34</v>
      </c>
      <c r="J624" s="3" t="s">
        <v>50</v>
      </c>
      <c r="K624" s="3" t="s">
        <v>194</v>
      </c>
      <c r="L624" s="3" t="s">
        <v>195</v>
      </c>
      <c r="M624" s="3" t="s">
        <v>38</v>
      </c>
      <c r="N624" s="3" t="s">
        <v>164</v>
      </c>
      <c r="O624" s="3" t="s">
        <v>2947</v>
      </c>
      <c r="P624" s="3" t="s">
        <v>75</v>
      </c>
      <c r="Q624" s="3">
        <v>4</v>
      </c>
      <c r="R624" s="3">
        <v>2759.01</v>
      </c>
      <c r="S624" s="3">
        <v>0.05</v>
      </c>
      <c r="T624" s="3">
        <v>10484.24</v>
      </c>
      <c r="U624" s="3">
        <v>6680.15</v>
      </c>
      <c r="V624" s="3">
        <v>3804.09</v>
      </c>
      <c r="W624" s="3" t="s">
        <v>42</v>
      </c>
      <c r="X624" s="3" t="s">
        <v>43</v>
      </c>
      <c r="Y624" s="2" t="str">
        <f t="shared" si="71"/>
        <v>Unique</v>
      </c>
      <c r="AA624" s="2" t="str">
        <f t="shared" si="72"/>
        <v>Clean</v>
      </c>
      <c r="AB624" s="2" t="str">
        <f t="shared" si="73"/>
        <v>valid</v>
      </c>
      <c r="AC624">
        <f t="shared" si="81"/>
        <v>0.05</v>
      </c>
      <c r="AD624">
        <f t="shared" si="82"/>
        <v>10484.238000000001</v>
      </c>
      <c r="AE624">
        <f t="shared" si="83"/>
        <v>3804.0880000000016</v>
      </c>
      <c r="AF624">
        <f t="shared" si="84"/>
        <v>0.36283876806306775</v>
      </c>
      <c r="AG624" t="str">
        <f t="shared" si="85"/>
        <v>January</v>
      </c>
      <c r="AH624">
        <f t="shared" si="86"/>
        <v>2025</v>
      </c>
      <c r="AI624" t="str">
        <f t="shared" si="87"/>
        <v>Clean</v>
      </c>
    </row>
    <row r="625" spans="1:35" ht="15.75" customHeight="1">
      <c r="A625" s="3" t="s">
        <v>2948</v>
      </c>
      <c r="B625" s="3" t="s">
        <v>2949</v>
      </c>
      <c r="C625" s="3" t="s">
        <v>2950</v>
      </c>
      <c r="D625" s="3" t="str">
        <f t="shared" si="68"/>
        <v>14-Aug-2024</v>
      </c>
      <c r="E625" s="3" t="str">
        <f t="shared" si="69"/>
        <v>08-Aug-2024</v>
      </c>
      <c r="F625" s="3">
        <f t="shared" si="70"/>
        <v>6</v>
      </c>
      <c r="G625" s="3" t="s">
        <v>2951</v>
      </c>
      <c r="H625" s="3" t="s">
        <v>91</v>
      </c>
      <c r="I625" s="3" t="s">
        <v>123</v>
      </c>
      <c r="J625" s="3" t="s">
        <v>35</v>
      </c>
      <c r="K625" s="3" t="s">
        <v>162</v>
      </c>
      <c r="L625" s="3" t="s">
        <v>163</v>
      </c>
      <c r="M625" s="3" t="s">
        <v>38</v>
      </c>
      <c r="N625" s="3" t="s">
        <v>164</v>
      </c>
      <c r="O625" s="3" t="s">
        <v>2952</v>
      </c>
      <c r="P625" s="3" t="s">
        <v>41</v>
      </c>
      <c r="Q625" s="3">
        <v>8</v>
      </c>
      <c r="R625" s="3">
        <v>1359.19</v>
      </c>
      <c r="S625" s="3">
        <v>0.05</v>
      </c>
      <c r="T625" s="3">
        <v>10329.84</v>
      </c>
      <c r="U625" s="3">
        <v>7512.22</v>
      </c>
      <c r="V625" s="3">
        <v>2817.62</v>
      </c>
      <c r="W625" s="3" t="s">
        <v>42</v>
      </c>
      <c r="X625" s="3" t="s">
        <v>43</v>
      </c>
      <c r="Y625" s="2" t="str">
        <f t="shared" si="71"/>
        <v>Unique</v>
      </c>
      <c r="AA625" s="2" t="str">
        <f t="shared" si="72"/>
        <v>Clean</v>
      </c>
      <c r="AB625" s="2" t="str">
        <f t="shared" si="73"/>
        <v>valid</v>
      </c>
      <c r="AC625">
        <f t="shared" si="81"/>
        <v>0.05</v>
      </c>
      <c r="AD625">
        <f t="shared" si="82"/>
        <v>10329.843999999999</v>
      </c>
      <c r="AE625">
        <f t="shared" si="83"/>
        <v>2817.6239999999989</v>
      </c>
      <c r="AF625">
        <f t="shared" si="84"/>
        <v>0.27276539703794161</v>
      </c>
      <c r="AG625" t="str">
        <f t="shared" si="85"/>
        <v>August</v>
      </c>
      <c r="AH625">
        <f t="shared" si="86"/>
        <v>2024</v>
      </c>
      <c r="AI625" t="str">
        <f t="shared" si="87"/>
        <v>Clean</v>
      </c>
    </row>
    <row r="626" spans="1:35" ht="15.75" customHeight="1">
      <c r="A626" s="3" t="s">
        <v>2953</v>
      </c>
      <c r="B626" s="3" t="s">
        <v>2954</v>
      </c>
      <c r="C626" s="3" t="s">
        <v>2955</v>
      </c>
      <c r="D626" s="3" t="str">
        <f t="shared" si="68"/>
        <v>01-Feb-2024</v>
      </c>
      <c r="E626" s="3" t="str">
        <f t="shared" si="69"/>
        <v>30-Jan-2024</v>
      </c>
      <c r="F626" s="3">
        <f t="shared" si="70"/>
        <v>2</v>
      </c>
      <c r="G626" s="3" t="s">
        <v>2956</v>
      </c>
      <c r="H626" s="3" t="s">
        <v>101</v>
      </c>
      <c r="I626" s="3" t="s">
        <v>123</v>
      </c>
      <c r="J626" s="3" t="s">
        <v>50</v>
      </c>
      <c r="K626" s="3" t="s">
        <v>224</v>
      </c>
      <c r="L626" s="3" t="s">
        <v>225</v>
      </c>
      <c r="M626" s="3" t="s">
        <v>53</v>
      </c>
      <c r="N626" s="3" t="s">
        <v>84</v>
      </c>
      <c r="O626" s="3" t="s">
        <v>2957</v>
      </c>
      <c r="P626" s="3" t="s">
        <v>64</v>
      </c>
      <c r="Q626" s="3">
        <v>2</v>
      </c>
      <c r="R626" s="3">
        <v>4451.03</v>
      </c>
      <c r="S626" s="3">
        <v>0.05</v>
      </c>
      <c r="T626" s="3">
        <v>8456.9599999999991</v>
      </c>
      <c r="U626" s="3">
        <v>5462.85</v>
      </c>
      <c r="V626" s="3">
        <v>2994.11</v>
      </c>
      <c r="W626" s="3" t="s">
        <v>42</v>
      </c>
      <c r="X626" s="3" t="s">
        <v>43</v>
      </c>
      <c r="Y626" s="2" t="str">
        <f t="shared" si="71"/>
        <v>Unique</v>
      </c>
      <c r="AA626" s="2" t="str">
        <f t="shared" si="72"/>
        <v>Clean</v>
      </c>
      <c r="AB626" s="2" t="str">
        <f t="shared" si="73"/>
        <v>valid</v>
      </c>
      <c r="AC626">
        <f t="shared" si="81"/>
        <v>0.05</v>
      </c>
      <c r="AD626">
        <f t="shared" si="82"/>
        <v>8456.9569999999985</v>
      </c>
      <c r="AE626">
        <f t="shared" si="83"/>
        <v>2994.1069999999982</v>
      </c>
      <c r="AF626">
        <f t="shared" si="84"/>
        <v>0.35404070282017502</v>
      </c>
      <c r="AG626" t="str">
        <f t="shared" si="85"/>
        <v>January</v>
      </c>
      <c r="AH626">
        <f t="shared" si="86"/>
        <v>2024</v>
      </c>
      <c r="AI626" t="str">
        <f t="shared" si="87"/>
        <v>Clean</v>
      </c>
    </row>
    <row r="627" spans="1:35" ht="15.75" customHeight="1">
      <c r="A627" s="3" t="s">
        <v>2958</v>
      </c>
      <c r="B627" s="3" t="s">
        <v>2959</v>
      </c>
      <c r="C627" s="3" t="s">
        <v>1403</v>
      </c>
      <c r="D627" s="3" t="str">
        <f t="shared" si="68"/>
        <v>21-Dec-2024</v>
      </c>
      <c r="E627" s="3" t="str">
        <f t="shared" si="69"/>
        <v>15-Dec-2024</v>
      </c>
      <c r="F627" s="3">
        <f t="shared" si="70"/>
        <v>6</v>
      </c>
      <c r="G627" s="3" t="s">
        <v>2960</v>
      </c>
      <c r="H627" s="3" t="s">
        <v>218</v>
      </c>
      <c r="I627" s="3" t="s">
        <v>116</v>
      </c>
      <c r="J627" s="3" t="s">
        <v>81</v>
      </c>
      <c r="K627" s="3" t="s">
        <v>36</v>
      </c>
      <c r="L627" s="3" t="s">
        <v>143</v>
      </c>
      <c r="M627" s="3" t="s">
        <v>53</v>
      </c>
      <c r="N627" s="3" t="s">
        <v>84</v>
      </c>
      <c r="O627" s="3" t="s">
        <v>2961</v>
      </c>
      <c r="P627" s="3" t="s">
        <v>56</v>
      </c>
      <c r="Q627" s="3">
        <v>3</v>
      </c>
      <c r="R627" s="3">
        <v>527.66999999999996</v>
      </c>
      <c r="S627" s="3">
        <v>0.2</v>
      </c>
      <c r="T627" s="3">
        <v>1266.4100000000001</v>
      </c>
      <c r="U627" s="3">
        <v>983.92</v>
      </c>
      <c r="V627" s="3">
        <v>282.49</v>
      </c>
      <c r="W627" s="3" t="s">
        <v>42</v>
      </c>
      <c r="X627" s="3" t="s">
        <v>43</v>
      </c>
      <c r="Y627" s="2" t="str">
        <f t="shared" si="71"/>
        <v>Unique</v>
      </c>
      <c r="AA627" s="2" t="str">
        <f t="shared" si="72"/>
        <v>Clean</v>
      </c>
      <c r="AB627" s="2" t="str">
        <f t="shared" si="73"/>
        <v>valid</v>
      </c>
      <c r="AC627">
        <f t="shared" si="81"/>
        <v>0.2</v>
      </c>
      <c r="AD627">
        <f t="shared" si="82"/>
        <v>1266.4079999999999</v>
      </c>
      <c r="AE627">
        <f t="shared" si="83"/>
        <v>282.48799999999994</v>
      </c>
      <c r="AF627">
        <f t="shared" si="84"/>
        <v>0.22306239379410109</v>
      </c>
      <c r="AG627" t="str">
        <f t="shared" si="85"/>
        <v>December</v>
      </c>
      <c r="AH627">
        <f t="shared" si="86"/>
        <v>2024</v>
      </c>
      <c r="AI627" t="str">
        <f t="shared" si="87"/>
        <v>Clean</v>
      </c>
    </row>
    <row r="628" spans="1:35" ht="15.75" customHeight="1">
      <c r="A628" s="3" t="s">
        <v>2962</v>
      </c>
      <c r="B628" s="3" t="s">
        <v>1388</v>
      </c>
      <c r="C628" s="3" t="s">
        <v>2963</v>
      </c>
      <c r="D628" s="3" t="str">
        <f t="shared" si="68"/>
        <v>06-Jul-2025</v>
      </c>
      <c r="E628" s="3" t="str">
        <f t="shared" si="69"/>
        <v>04-Jun-2025</v>
      </c>
      <c r="F628" s="3">
        <f t="shared" si="70"/>
        <v>32</v>
      </c>
      <c r="G628" s="3" t="s">
        <v>2964</v>
      </c>
      <c r="H628" s="3" t="s">
        <v>176</v>
      </c>
      <c r="I628" s="3" t="s">
        <v>123</v>
      </c>
      <c r="J628" s="3" t="s">
        <v>50</v>
      </c>
      <c r="K628" s="3" t="s">
        <v>224</v>
      </c>
      <c r="L628" s="3" t="s">
        <v>225</v>
      </c>
      <c r="M628" s="3" t="s">
        <v>94</v>
      </c>
      <c r="N628" s="3" t="s">
        <v>391</v>
      </c>
      <c r="O628" s="3" t="s">
        <v>2965</v>
      </c>
      <c r="P628" s="3" t="s">
        <v>75</v>
      </c>
      <c r="Q628" s="3">
        <v>8</v>
      </c>
      <c r="R628" s="3">
        <v>1434.13</v>
      </c>
      <c r="S628" s="3">
        <v>0</v>
      </c>
      <c r="T628" s="3">
        <v>11473.04</v>
      </c>
      <c r="U628" s="3">
        <v>8931.33</v>
      </c>
      <c r="V628" s="3">
        <v>2541.71</v>
      </c>
      <c r="W628" s="3" t="s">
        <v>145</v>
      </c>
      <c r="X628" s="3" t="s">
        <v>133</v>
      </c>
      <c r="Y628" s="2" t="str">
        <f t="shared" si="71"/>
        <v>Unique</v>
      </c>
      <c r="AA628" s="2" t="str">
        <f t="shared" si="72"/>
        <v>Clean</v>
      </c>
      <c r="AB628" s="2" t="str">
        <f t="shared" si="73"/>
        <v>valid</v>
      </c>
      <c r="AC628">
        <f t="shared" si="81"/>
        <v>0</v>
      </c>
      <c r="AD628">
        <f t="shared" si="82"/>
        <v>11473.04</v>
      </c>
      <c r="AE628">
        <f t="shared" si="83"/>
        <v>2541.7100000000009</v>
      </c>
      <c r="AF628">
        <f t="shared" si="84"/>
        <v>0.22153762211236086</v>
      </c>
      <c r="AG628" t="str">
        <f t="shared" si="85"/>
        <v>June</v>
      </c>
      <c r="AH628">
        <f t="shared" si="86"/>
        <v>2025</v>
      </c>
      <c r="AI628" t="str">
        <f t="shared" si="87"/>
        <v>Clean</v>
      </c>
    </row>
    <row r="629" spans="1:35" ht="15.75" customHeight="1">
      <c r="A629" s="3" t="s">
        <v>2966</v>
      </c>
      <c r="B629" s="3" t="s">
        <v>1413</v>
      </c>
      <c r="C629" s="3" t="s">
        <v>1773</v>
      </c>
      <c r="D629" s="3" t="str">
        <f t="shared" si="68"/>
        <v>21-Feb-2025</v>
      </c>
      <c r="E629" s="3" t="str">
        <f t="shared" si="69"/>
        <v>13-Feb-2025</v>
      </c>
      <c r="F629" s="3">
        <f t="shared" si="70"/>
        <v>8</v>
      </c>
      <c r="G629" s="3" t="s">
        <v>2967</v>
      </c>
      <c r="H629" s="3" t="s">
        <v>33</v>
      </c>
      <c r="I629" s="3" t="s">
        <v>49</v>
      </c>
      <c r="J629" s="3" t="s">
        <v>70</v>
      </c>
      <c r="K629" s="3" t="s">
        <v>250</v>
      </c>
      <c r="L629" s="3" t="s">
        <v>251</v>
      </c>
      <c r="M629" s="3" t="s">
        <v>94</v>
      </c>
      <c r="N629" s="3" t="s">
        <v>231</v>
      </c>
      <c r="O629" s="3" t="s">
        <v>2968</v>
      </c>
      <c r="P629" s="3" t="s">
        <v>41</v>
      </c>
      <c r="Q629" s="3">
        <v>2</v>
      </c>
      <c r="R629" s="3">
        <v>2360.02</v>
      </c>
      <c r="S629" s="3">
        <v>0.15</v>
      </c>
      <c r="T629" s="3">
        <v>4012.03</v>
      </c>
      <c r="U629" s="3">
        <v>3142.92</v>
      </c>
      <c r="V629" s="3">
        <v>869.11</v>
      </c>
      <c r="W629" s="3" t="s">
        <v>145</v>
      </c>
      <c r="X629" s="3" t="s">
        <v>86</v>
      </c>
      <c r="Y629" s="2" t="str">
        <f t="shared" si="71"/>
        <v>Unique</v>
      </c>
      <c r="AA629" s="2" t="str">
        <f t="shared" si="72"/>
        <v>Clean</v>
      </c>
      <c r="AB629" s="2" t="str">
        <f t="shared" si="73"/>
        <v>valid</v>
      </c>
      <c r="AC629">
        <f t="shared" si="81"/>
        <v>0.15</v>
      </c>
      <c r="AD629">
        <f t="shared" si="82"/>
        <v>4012.0339999999997</v>
      </c>
      <c r="AE629">
        <f t="shared" si="83"/>
        <v>869.11399999999958</v>
      </c>
      <c r="AF629">
        <f t="shared" si="84"/>
        <v>0.21662677833737193</v>
      </c>
      <c r="AG629" t="str">
        <f t="shared" si="85"/>
        <v>February</v>
      </c>
      <c r="AH629">
        <f t="shared" si="86"/>
        <v>2025</v>
      </c>
      <c r="AI629" t="str">
        <f t="shared" si="87"/>
        <v>Warning</v>
      </c>
    </row>
    <row r="630" spans="1:35" ht="15.75" customHeight="1">
      <c r="A630" s="3" t="s">
        <v>2969</v>
      </c>
      <c r="B630" s="3" t="s">
        <v>2543</v>
      </c>
      <c r="C630" s="3" t="s">
        <v>2970</v>
      </c>
      <c r="D630" s="3" t="str">
        <f t="shared" si="68"/>
        <v>12-Oct-2025</v>
      </c>
      <c r="E630" s="3" t="str">
        <f t="shared" si="69"/>
        <v>05-Oct-2025</v>
      </c>
      <c r="F630" s="3">
        <f t="shared" si="70"/>
        <v>7</v>
      </c>
      <c r="G630" s="3" t="s">
        <v>2971</v>
      </c>
      <c r="H630" s="3" t="s">
        <v>80</v>
      </c>
      <c r="I630" s="3" t="s">
        <v>123</v>
      </c>
      <c r="J630" s="3" t="s">
        <v>50</v>
      </c>
      <c r="K630" s="3" t="s">
        <v>319</v>
      </c>
      <c r="L630" s="3" t="s">
        <v>320</v>
      </c>
      <c r="M630" s="3" t="s">
        <v>94</v>
      </c>
      <c r="N630" s="3" t="s">
        <v>95</v>
      </c>
      <c r="O630" s="3" t="s">
        <v>2972</v>
      </c>
      <c r="P630" s="3" t="s">
        <v>56</v>
      </c>
      <c r="Q630" s="3">
        <v>7</v>
      </c>
      <c r="R630" s="3">
        <v>806.67</v>
      </c>
      <c r="S630" s="3">
        <v>0.05</v>
      </c>
      <c r="T630" s="3">
        <v>5364.36</v>
      </c>
      <c r="U630" s="3">
        <v>4391.29</v>
      </c>
      <c r="V630" s="3">
        <v>973.07</v>
      </c>
      <c r="W630" s="3" t="s">
        <v>42</v>
      </c>
      <c r="X630" s="3" t="s">
        <v>43</v>
      </c>
      <c r="Y630" s="2" t="str">
        <f t="shared" si="71"/>
        <v>Unique</v>
      </c>
      <c r="AA630" s="2" t="str">
        <f t="shared" si="72"/>
        <v>Clean</v>
      </c>
      <c r="AB630" s="2" t="str">
        <f t="shared" si="73"/>
        <v>valid</v>
      </c>
      <c r="AC630">
        <f t="shared" si="81"/>
        <v>0.05</v>
      </c>
      <c r="AD630">
        <f t="shared" si="82"/>
        <v>5364.3554999999997</v>
      </c>
      <c r="AE630">
        <f t="shared" si="83"/>
        <v>973.0654999999997</v>
      </c>
      <c r="AF630">
        <f t="shared" si="84"/>
        <v>0.18139467080434915</v>
      </c>
      <c r="AG630" t="str">
        <f t="shared" si="85"/>
        <v>October</v>
      </c>
      <c r="AH630">
        <f t="shared" si="86"/>
        <v>2025</v>
      </c>
      <c r="AI630" t="str">
        <f t="shared" si="87"/>
        <v>Clean</v>
      </c>
    </row>
    <row r="631" spans="1:35" ht="15.75" customHeight="1">
      <c r="A631" s="3" t="s">
        <v>2973</v>
      </c>
      <c r="B631" s="3" t="s">
        <v>583</v>
      </c>
      <c r="C631" s="3" t="s">
        <v>2974</v>
      </c>
      <c r="D631" s="3" t="str">
        <f t="shared" si="68"/>
        <v>14-Sep-2025</v>
      </c>
      <c r="E631" s="3" t="str">
        <f t="shared" si="69"/>
        <v>09-Oct-2025</v>
      </c>
      <c r="F631" s="3">
        <f t="shared" si="70"/>
        <v>-25</v>
      </c>
      <c r="G631" s="3" t="s">
        <v>2975</v>
      </c>
      <c r="H631" s="3" t="s">
        <v>69</v>
      </c>
      <c r="I631" s="3" t="s">
        <v>123</v>
      </c>
      <c r="J631" s="3" t="s">
        <v>81</v>
      </c>
      <c r="K631" s="3" t="s">
        <v>243</v>
      </c>
      <c r="L631" s="3" t="s">
        <v>244</v>
      </c>
      <c r="M631" s="3" t="s">
        <v>53</v>
      </c>
      <c r="N631" s="3" t="s">
        <v>54</v>
      </c>
      <c r="O631" s="3" t="s">
        <v>2976</v>
      </c>
      <c r="P631" s="3" t="s">
        <v>56</v>
      </c>
      <c r="Q631" s="3">
        <v>3</v>
      </c>
      <c r="R631" s="3">
        <v>4198.46</v>
      </c>
      <c r="S631" s="3">
        <v>0.15</v>
      </c>
      <c r="T631" s="3">
        <v>10706.07</v>
      </c>
      <c r="U631" s="3">
        <v>5927.1</v>
      </c>
      <c r="V631" s="3">
        <v>4778.97</v>
      </c>
      <c r="W631" s="3" t="s">
        <v>42</v>
      </c>
      <c r="X631" s="3" t="s">
        <v>43</v>
      </c>
      <c r="Y631" s="2" t="str">
        <f t="shared" si="71"/>
        <v>Unique</v>
      </c>
      <c r="AA631" s="2" t="str">
        <f t="shared" si="72"/>
        <v>Clean</v>
      </c>
      <c r="AB631" s="2" t="str">
        <f t="shared" si="73"/>
        <v>Invalid</v>
      </c>
      <c r="AC631">
        <f t="shared" si="81"/>
        <v>0.15</v>
      </c>
      <c r="AD631">
        <f t="shared" si="82"/>
        <v>10706.073</v>
      </c>
      <c r="AE631">
        <f t="shared" si="83"/>
        <v>4778.973</v>
      </c>
      <c r="AF631">
        <f t="shared" si="84"/>
        <v>0.44637963892082555</v>
      </c>
      <c r="AG631" t="str">
        <f t="shared" si="85"/>
        <v>October</v>
      </c>
      <c r="AH631">
        <f t="shared" si="86"/>
        <v>2025</v>
      </c>
      <c r="AI631" t="str">
        <f t="shared" si="87"/>
        <v>Clean</v>
      </c>
    </row>
    <row r="632" spans="1:35" ht="15.75" customHeight="1">
      <c r="A632" s="3" t="s">
        <v>2977</v>
      </c>
      <c r="B632" s="3" t="s">
        <v>2433</v>
      </c>
      <c r="C632" s="3" t="s">
        <v>1497</v>
      </c>
      <c r="D632" s="3" t="str">
        <f t="shared" si="68"/>
        <v>10-Apr-2024</v>
      </c>
      <c r="E632" s="3" t="str">
        <f t="shared" si="69"/>
        <v>09-Apr-2024</v>
      </c>
      <c r="F632" s="3">
        <f t="shared" si="70"/>
        <v>1</v>
      </c>
      <c r="G632" s="3" t="s">
        <v>2978</v>
      </c>
      <c r="H632" s="3" t="s">
        <v>150</v>
      </c>
      <c r="I632" s="3" t="s">
        <v>116</v>
      </c>
      <c r="J632" s="3" t="s">
        <v>50</v>
      </c>
      <c r="K632" s="3" t="s">
        <v>224</v>
      </c>
      <c r="L632" s="3" t="s">
        <v>225</v>
      </c>
      <c r="M632" s="3" t="s">
        <v>38</v>
      </c>
      <c r="N632" s="3" t="s">
        <v>39</v>
      </c>
      <c r="O632" s="3" t="s">
        <v>2979</v>
      </c>
      <c r="P632" s="3" t="s">
        <v>75</v>
      </c>
      <c r="Q632" s="3">
        <v>4</v>
      </c>
      <c r="R632" s="3">
        <v>3047.05</v>
      </c>
      <c r="S632" s="3">
        <v>0.1</v>
      </c>
      <c r="T632" s="3">
        <v>10969.38</v>
      </c>
      <c r="U632" s="3">
        <v>9254.4599999999991</v>
      </c>
      <c r="V632" s="3">
        <v>1714.92</v>
      </c>
      <c r="W632" s="3" t="s">
        <v>42</v>
      </c>
      <c r="X632" s="3" t="s">
        <v>43</v>
      </c>
      <c r="Y632" s="2" t="str">
        <f t="shared" si="71"/>
        <v>Unique</v>
      </c>
      <c r="AA632" s="2" t="str">
        <f t="shared" si="72"/>
        <v>Clean</v>
      </c>
      <c r="AB632" s="2" t="str">
        <f t="shared" si="73"/>
        <v>valid</v>
      </c>
      <c r="AC632">
        <f t="shared" si="81"/>
        <v>0.1</v>
      </c>
      <c r="AD632">
        <f t="shared" si="82"/>
        <v>10969.380000000001</v>
      </c>
      <c r="AE632">
        <f t="shared" si="83"/>
        <v>1714.9200000000019</v>
      </c>
      <c r="AF632">
        <f t="shared" si="84"/>
        <v>0.15633700354988173</v>
      </c>
      <c r="AG632" t="str">
        <f t="shared" si="85"/>
        <v>April</v>
      </c>
      <c r="AH632">
        <f t="shared" si="86"/>
        <v>2024</v>
      </c>
      <c r="AI632" t="str">
        <f t="shared" si="87"/>
        <v>Clean</v>
      </c>
    </row>
    <row r="633" spans="1:35" ht="15.75" customHeight="1">
      <c r="A633" s="3" t="s">
        <v>2980</v>
      </c>
      <c r="B633" s="3" t="s">
        <v>1440</v>
      </c>
      <c r="C633" s="3" t="s">
        <v>1540</v>
      </c>
      <c r="D633" s="3" t="str">
        <f t="shared" si="68"/>
        <v>15-Apr-2024</v>
      </c>
      <c r="E633" s="3" t="str">
        <f t="shared" si="69"/>
        <v>10-Apr-2024</v>
      </c>
      <c r="F633" s="3">
        <f t="shared" si="70"/>
        <v>5</v>
      </c>
      <c r="G633" s="3" t="s">
        <v>2981</v>
      </c>
      <c r="H633" s="3" t="s">
        <v>170</v>
      </c>
      <c r="I633" s="3" t="s">
        <v>123</v>
      </c>
      <c r="J633" s="3" t="s">
        <v>81</v>
      </c>
      <c r="K633" s="3" t="s">
        <v>36</v>
      </c>
      <c r="L633" s="3" t="s">
        <v>143</v>
      </c>
      <c r="M633" s="3" t="s">
        <v>53</v>
      </c>
      <c r="N633" s="3" t="s">
        <v>84</v>
      </c>
      <c r="O633" s="3" t="s">
        <v>2982</v>
      </c>
      <c r="P633" s="3" t="s">
        <v>75</v>
      </c>
      <c r="Q633" s="3">
        <v>8</v>
      </c>
      <c r="R633" s="3">
        <v>4362.4799999999996</v>
      </c>
      <c r="S633" s="3">
        <v>0.1</v>
      </c>
      <c r="T633" s="3">
        <v>31409.86</v>
      </c>
      <c r="U633" s="3">
        <v>22523.54</v>
      </c>
      <c r="V633" s="3">
        <v>8886.32</v>
      </c>
      <c r="W633" s="3" t="s">
        <v>42</v>
      </c>
      <c r="X633" s="3" t="s">
        <v>43</v>
      </c>
      <c r="Y633" s="2" t="str">
        <f t="shared" si="71"/>
        <v>Unique</v>
      </c>
      <c r="AA633" s="2" t="str">
        <f t="shared" si="72"/>
        <v>Clean</v>
      </c>
      <c r="AB633" s="2" t="str">
        <f t="shared" si="73"/>
        <v>valid</v>
      </c>
      <c r="AC633">
        <f t="shared" si="81"/>
        <v>0.1</v>
      </c>
      <c r="AD633">
        <f t="shared" si="82"/>
        <v>31409.855999999996</v>
      </c>
      <c r="AE633">
        <f t="shared" si="83"/>
        <v>8886.3159999999953</v>
      </c>
      <c r="AF633">
        <f t="shared" si="84"/>
        <v>0.2829148914277097</v>
      </c>
      <c r="AG633" t="str">
        <f t="shared" si="85"/>
        <v>April</v>
      </c>
      <c r="AH633">
        <f t="shared" si="86"/>
        <v>2024</v>
      </c>
      <c r="AI633" t="str">
        <f t="shared" si="87"/>
        <v>Clean</v>
      </c>
    </row>
    <row r="634" spans="1:35" ht="15.75" customHeight="1">
      <c r="A634" s="3" t="s">
        <v>2983</v>
      </c>
      <c r="B634" s="3" t="s">
        <v>2984</v>
      </c>
      <c r="C634" s="3" t="s">
        <v>2985</v>
      </c>
      <c r="D634" s="3" t="str">
        <f t="shared" si="68"/>
        <v>16-Apr-2025</v>
      </c>
      <c r="E634" s="3" t="str">
        <f t="shared" si="69"/>
        <v>15-Apr-2025</v>
      </c>
      <c r="F634" s="3">
        <f t="shared" si="70"/>
        <v>1</v>
      </c>
      <c r="G634" s="3" t="s">
        <v>2986</v>
      </c>
      <c r="H634" s="3" t="s">
        <v>176</v>
      </c>
      <c r="I634" s="3" t="s">
        <v>49</v>
      </c>
      <c r="J634" s="3" t="s">
        <v>70</v>
      </c>
      <c r="K634" s="3" t="s">
        <v>237</v>
      </c>
      <c r="L634" s="3" t="s">
        <v>238</v>
      </c>
      <c r="M634" s="3" t="s">
        <v>53</v>
      </c>
      <c r="N634" s="3" t="s">
        <v>73</v>
      </c>
      <c r="O634" s="3" t="s">
        <v>2987</v>
      </c>
      <c r="P634" s="3" t="s">
        <v>64</v>
      </c>
      <c r="Q634" s="3">
        <v>5</v>
      </c>
      <c r="R634" s="3">
        <v>2850.53</v>
      </c>
      <c r="S634" s="3">
        <v>0</v>
      </c>
      <c r="T634" s="3">
        <v>14252.65</v>
      </c>
      <c r="U634" s="3">
        <v>11558.31</v>
      </c>
      <c r="V634" s="3">
        <v>2694.34</v>
      </c>
      <c r="W634" s="3" t="s">
        <v>42</v>
      </c>
      <c r="X634" s="3" t="s">
        <v>43</v>
      </c>
      <c r="Y634" s="2" t="str">
        <f t="shared" si="71"/>
        <v>Unique</v>
      </c>
      <c r="AA634" s="2" t="str">
        <f t="shared" si="72"/>
        <v>Clean</v>
      </c>
      <c r="AB634" s="2" t="str">
        <f t="shared" si="73"/>
        <v>valid</v>
      </c>
      <c r="AC634">
        <f t="shared" si="81"/>
        <v>0</v>
      </c>
      <c r="AD634">
        <f t="shared" si="82"/>
        <v>14252.650000000001</v>
      </c>
      <c r="AE634">
        <f t="shared" si="83"/>
        <v>2694.340000000002</v>
      </c>
      <c r="AF634">
        <f t="shared" si="84"/>
        <v>0.18904133617257154</v>
      </c>
      <c r="AG634" t="str">
        <f t="shared" si="85"/>
        <v>April</v>
      </c>
      <c r="AH634">
        <f t="shared" si="86"/>
        <v>2025</v>
      </c>
      <c r="AI634" t="str">
        <f t="shared" si="87"/>
        <v>Clean</v>
      </c>
    </row>
    <row r="635" spans="1:35" ht="15.75" customHeight="1">
      <c r="A635" s="3" t="s">
        <v>2988</v>
      </c>
      <c r="B635" s="3" t="s">
        <v>2989</v>
      </c>
      <c r="C635" s="3" t="s">
        <v>2990</v>
      </c>
      <c r="D635" s="3" t="str">
        <f t="shared" si="68"/>
        <v>20-Apr-2025</v>
      </c>
      <c r="E635" s="3" t="str">
        <f t="shared" si="69"/>
        <v>18-Apr-2025</v>
      </c>
      <c r="F635" s="3">
        <f t="shared" si="70"/>
        <v>2</v>
      </c>
      <c r="G635" s="3" t="s">
        <v>2991</v>
      </c>
      <c r="H635" s="3" t="s">
        <v>170</v>
      </c>
      <c r="I635" s="3" t="s">
        <v>49</v>
      </c>
      <c r="J635" s="3" t="s">
        <v>70</v>
      </c>
      <c r="K635" s="3" t="s">
        <v>347</v>
      </c>
      <c r="L635" s="3" t="s">
        <v>348</v>
      </c>
      <c r="M635" s="3" t="s">
        <v>94</v>
      </c>
      <c r="N635" s="3" t="s">
        <v>95</v>
      </c>
      <c r="O635" s="3" t="s">
        <v>2992</v>
      </c>
      <c r="P635" s="3" t="s">
        <v>41</v>
      </c>
      <c r="Q635" s="3">
        <v>1</v>
      </c>
      <c r="R635" s="3">
        <v>1626.08</v>
      </c>
      <c r="S635" s="3">
        <v>0.15</v>
      </c>
      <c r="T635" s="3">
        <v>1382.17</v>
      </c>
      <c r="U635" s="3">
        <v>810.03</v>
      </c>
      <c r="V635" s="3">
        <v>572.14</v>
      </c>
      <c r="W635" s="3" t="s">
        <v>42</v>
      </c>
      <c r="X635" s="3" t="s">
        <v>43</v>
      </c>
      <c r="Y635" s="2" t="str">
        <f t="shared" si="71"/>
        <v>Unique</v>
      </c>
      <c r="AA635" s="2" t="str">
        <f t="shared" si="72"/>
        <v>Clean</v>
      </c>
      <c r="AB635" s="2" t="str">
        <f t="shared" si="73"/>
        <v>valid</v>
      </c>
      <c r="AC635">
        <f t="shared" si="81"/>
        <v>0.15</v>
      </c>
      <c r="AD635">
        <f t="shared" si="82"/>
        <v>1382.1679999999999</v>
      </c>
      <c r="AE635">
        <f t="shared" si="83"/>
        <v>572.13799999999992</v>
      </c>
      <c r="AF635">
        <f t="shared" si="84"/>
        <v>0.4139424440444287</v>
      </c>
      <c r="AG635" t="str">
        <f t="shared" si="85"/>
        <v>April</v>
      </c>
      <c r="AH635">
        <f t="shared" si="86"/>
        <v>2025</v>
      </c>
      <c r="AI635" t="str">
        <f t="shared" si="87"/>
        <v>Clean</v>
      </c>
    </row>
    <row r="636" spans="1:35" ht="15.75" customHeight="1">
      <c r="A636" s="3" t="s">
        <v>2993</v>
      </c>
      <c r="B636" s="3" t="s">
        <v>2994</v>
      </c>
      <c r="C636" s="3" t="s">
        <v>2170</v>
      </c>
      <c r="D636" s="3" t="str">
        <f t="shared" si="68"/>
        <v>12-Jan-2025</v>
      </c>
      <c r="E636" s="3" t="str">
        <f t="shared" si="69"/>
        <v>01-Nov-2025</v>
      </c>
      <c r="F636" s="3">
        <f t="shared" si="70"/>
        <v>-293</v>
      </c>
      <c r="G636" s="3" t="s">
        <v>2995</v>
      </c>
      <c r="H636" s="3" t="s">
        <v>115</v>
      </c>
      <c r="I636" s="3" t="s">
        <v>34</v>
      </c>
      <c r="J636" s="3" t="s">
        <v>70</v>
      </c>
      <c r="K636" s="3" t="s">
        <v>71</v>
      </c>
      <c r="L636" s="3" t="s">
        <v>72</v>
      </c>
      <c r="M636" s="3" t="s">
        <v>53</v>
      </c>
      <c r="N636" s="3" t="s">
        <v>84</v>
      </c>
      <c r="O636" s="3" t="s">
        <v>2996</v>
      </c>
      <c r="P636" s="3" t="s">
        <v>41</v>
      </c>
      <c r="Q636" s="3">
        <v>4</v>
      </c>
      <c r="R636" s="3">
        <v>2427.15</v>
      </c>
      <c r="S636" s="3">
        <v>0.05</v>
      </c>
      <c r="T636" s="3">
        <v>9223.17</v>
      </c>
      <c r="U636" s="3">
        <v>5103.7</v>
      </c>
      <c r="V636" s="3">
        <v>4119.47</v>
      </c>
      <c r="W636" s="3" t="s">
        <v>42</v>
      </c>
      <c r="X636" s="3" t="s">
        <v>43</v>
      </c>
      <c r="Y636" s="2" t="str">
        <f t="shared" si="71"/>
        <v>Unique</v>
      </c>
      <c r="AA636" s="2" t="str">
        <f t="shared" si="72"/>
        <v>Clean</v>
      </c>
      <c r="AB636" s="2" t="str">
        <f t="shared" si="73"/>
        <v>Invalid</v>
      </c>
      <c r="AC636">
        <f t="shared" si="81"/>
        <v>0.05</v>
      </c>
      <c r="AD636">
        <f t="shared" si="82"/>
        <v>9223.17</v>
      </c>
      <c r="AE636">
        <f t="shared" si="83"/>
        <v>4119.47</v>
      </c>
      <c r="AF636">
        <f t="shared" si="84"/>
        <v>0.44664361602355807</v>
      </c>
      <c r="AG636" t="str">
        <f t="shared" si="85"/>
        <v>November</v>
      </c>
      <c r="AH636">
        <f t="shared" si="86"/>
        <v>2025</v>
      </c>
      <c r="AI636" t="str">
        <f t="shared" si="87"/>
        <v>Clean</v>
      </c>
    </row>
    <row r="637" spans="1:35" ht="15.75" customHeight="1">
      <c r="A637" s="3" t="s">
        <v>2997</v>
      </c>
      <c r="B637" s="3" t="s">
        <v>2893</v>
      </c>
      <c r="C637" s="3" t="s">
        <v>2998</v>
      </c>
      <c r="D637" s="3" t="str">
        <f t="shared" si="68"/>
        <v>25-May-2024</v>
      </c>
      <c r="E637" s="3" t="str">
        <f t="shared" si="69"/>
        <v>20-May-2024</v>
      </c>
      <c r="F637" s="3">
        <f t="shared" si="70"/>
        <v>5</v>
      </c>
      <c r="G637" s="3" t="s">
        <v>2999</v>
      </c>
      <c r="H637" s="3" t="s">
        <v>48</v>
      </c>
      <c r="I637" s="3" t="s">
        <v>116</v>
      </c>
      <c r="J637" s="3" t="s">
        <v>70</v>
      </c>
      <c r="K637" s="3" t="s">
        <v>108</v>
      </c>
      <c r="L637" s="3" t="s">
        <v>109</v>
      </c>
      <c r="M637" s="3" t="s">
        <v>53</v>
      </c>
      <c r="N637" s="3" t="s">
        <v>84</v>
      </c>
      <c r="O637" s="3" t="s">
        <v>3000</v>
      </c>
      <c r="P637" s="3" t="s">
        <v>56</v>
      </c>
      <c r="Q637" s="3">
        <v>7</v>
      </c>
      <c r="R637" s="3">
        <v>3122.85</v>
      </c>
      <c r="S637" s="3">
        <v>0.25</v>
      </c>
      <c r="T637" s="3">
        <v>16394.96</v>
      </c>
      <c r="U637" s="3">
        <v>10404.17</v>
      </c>
      <c r="V637" s="3">
        <v>5990.79</v>
      </c>
      <c r="W637" s="3" t="s">
        <v>42</v>
      </c>
      <c r="X637" s="3" t="s">
        <v>43</v>
      </c>
      <c r="Y637" s="2" t="str">
        <f t="shared" si="71"/>
        <v>Unique</v>
      </c>
      <c r="AA637" s="2" t="str">
        <f t="shared" si="72"/>
        <v>Clean</v>
      </c>
      <c r="AB637" s="2" t="str">
        <f t="shared" si="73"/>
        <v>valid</v>
      </c>
      <c r="AC637">
        <f t="shared" si="81"/>
        <v>0.25</v>
      </c>
      <c r="AD637">
        <f t="shared" si="82"/>
        <v>16394.962500000001</v>
      </c>
      <c r="AE637">
        <f t="shared" si="83"/>
        <v>5990.7925000000014</v>
      </c>
      <c r="AF637">
        <f t="shared" si="84"/>
        <v>0.36540446493854445</v>
      </c>
      <c r="AG637" t="str">
        <f t="shared" si="85"/>
        <v>May</v>
      </c>
      <c r="AH637">
        <f t="shared" si="86"/>
        <v>2024</v>
      </c>
      <c r="AI637" t="str">
        <f t="shared" si="87"/>
        <v>Clean</v>
      </c>
    </row>
    <row r="638" spans="1:35" ht="15.75" customHeight="1">
      <c r="A638" s="3" t="s">
        <v>3001</v>
      </c>
      <c r="B638" s="3" t="s">
        <v>3002</v>
      </c>
      <c r="C638" s="3" t="s">
        <v>3003</v>
      </c>
      <c r="D638" s="3" t="str">
        <f t="shared" si="68"/>
        <v>09-Oct-2024</v>
      </c>
      <c r="E638" s="3" t="str">
        <f t="shared" si="69"/>
        <v>02-Oct-2024</v>
      </c>
      <c r="F638" s="3">
        <f t="shared" si="70"/>
        <v>7</v>
      </c>
      <c r="G638" s="3" t="s">
        <v>3004</v>
      </c>
      <c r="H638" s="3" t="s">
        <v>80</v>
      </c>
      <c r="I638" s="3" t="s">
        <v>34</v>
      </c>
      <c r="J638" s="3" t="s">
        <v>70</v>
      </c>
      <c r="K638" s="3" t="s">
        <v>347</v>
      </c>
      <c r="L638" s="3" t="s">
        <v>348</v>
      </c>
      <c r="M638" s="3" t="s">
        <v>38</v>
      </c>
      <c r="N638" s="3" t="s">
        <v>39</v>
      </c>
      <c r="O638" s="3" t="s">
        <v>3005</v>
      </c>
      <c r="P638" s="3" t="s">
        <v>75</v>
      </c>
      <c r="Q638" s="3">
        <v>8</v>
      </c>
      <c r="R638" s="3">
        <v>1910.31</v>
      </c>
      <c r="S638" s="3">
        <v>0.15</v>
      </c>
      <c r="T638" s="3">
        <v>12990.11</v>
      </c>
      <c r="U638" s="3">
        <v>10200.799999999999</v>
      </c>
      <c r="V638" s="3">
        <v>2789.31</v>
      </c>
      <c r="W638" s="3" t="s">
        <v>42</v>
      </c>
      <c r="X638" s="3" t="s">
        <v>43</v>
      </c>
      <c r="Y638" s="2" t="str">
        <f t="shared" si="71"/>
        <v>Unique</v>
      </c>
      <c r="AA638" s="2" t="str">
        <f t="shared" si="72"/>
        <v>Clean</v>
      </c>
      <c r="AB638" s="2" t="str">
        <f t="shared" si="73"/>
        <v>valid</v>
      </c>
      <c r="AC638">
        <f t="shared" si="81"/>
        <v>0.15</v>
      </c>
      <c r="AD638">
        <f t="shared" si="82"/>
        <v>12990.108</v>
      </c>
      <c r="AE638">
        <f t="shared" si="83"/>
        <v>2789.3080000000009</v>
      </c>
      <c r="AF638">
        <f t="shared" si="84"/>
        <v>0.2147255434673831</v>
      </c>
      <c r="AG638" t="str">
        <f t="shared" si="85"/>
        <v>October</v>
      </c>
      <c r="AH638">
        <f t="shared" si="86"/>
        <v>2024</v>
      </c>
      <c r="AI638" t="str">
        <f t="shared" si="87"/>
        <v>Clean</v>
      </c>
    </row>
    <row r="639" spans="1:35" ht="15.75" customHeight="1">
      <c r="A639" s="3" t="s">
        <v>3006</v>
      </c>
      <c r="B639" s="3" t="s">
        <v>3007</v>
      </c>
      <c r="C639" s="3" t="s">
        <v>3008</v>
      </c>
      <c r="D639" s="3" t="str">
        <f t="shared" si="68"/>
        <v>26-May-2024</v>
      </c>
      <c r="E639" s="3" t="str">
        <f t="shared" si="69"/>
        <v>26-May-2024</v>
      </c>
      <c r="F639" s="3">
        <f t="shared" si="70"/>
        <v>0</v>
      </c>
      <c r="G639" s="3" t="s">
        <v>3009</v>
      </c>
      <c r="H639" s="3" t="s">
        <v>156</v>
      </c>
      <c r="I639" s="3" t="s">
        <v>49</v>
      </c>
      <c r="J639" s="3" t="s">
        <v>81</v>
      </c>
      <c r="K639" s="3" t="s">
        <v>257</v>
      </c>
      <c r="L639" s="3" t="s">
        <v>258</v>
      </c>
      <c r="M639" s="3" t="s">
        <v>94</v>
      </c>
      <c r="N639" s="3" t="s">
        <v>102</v>
      </c>
      <c r="O639" s="3" t="s">
        <v>3010</v>
      </c>
      <c r="P639" s="3" t="s">
        <v>64</v>
      </c>
      <c r="Q639" s="3">
        <v>2</v>
      </c>
      <c r="R639" s="3">
        <v>3192.47</v>
      </c>
      <c r="S639" s="3">
        <v>0.2</v>
      </c>
      <c r="T639" s="3">
        <v>5107.95</v>
      </c>
      <c r="U639" s="3">
        <v>3133.08</v>
      </c>
      <c r="V639" s="3">
        <v>1974.87</v>
      </c>
      <c r="W639" s="3" t="s">
        <v>42</v>
      </c>
      <c r="X639" s="3" t="s">
        <v>43</v>
      </c>
      <c r="Y639" s="2" t="str">
        <f t="shared" si="71"/>
        <v>Unique</v>
      </c>
      <c r="AA639" s="2" t="str">
        <f t="shared" si="72"/>
        <v>Clean</v>
      </c>
      <c r="AB639" s="2" t="str">
        <f t="shared" si="73"/>
        <v>valid</v>
      </c>
      <c r="AC639">
        <f t="shared" si="81"/>
        <v>0.2</v>
      </c>
      <c r="AD639">
        <f t="shared" si="82"/>
        <v>5107.9520000000002</v>
      </c>
      <c r="AE639">
        <f t="shared" si="83"/>
        <v>1974.8720000000003</v>
      </c>
      <c r="AF639">
        <f t="shared" si="84"/>
        <v>0.38662696908663202</v>
      </c>
      <c r="AG639" t="str">
        <f t="shared" si="85"/>
        <v>May</v>
      </c>
      <c r="AH639">
        <f t="shared" si="86"/>
        <v>2024</v>
      </c>
      <c r="AI639" t="str">
        <f t="shared" si="87"/>
        <v>Clean</v>
      </c>
    </row>
    <row r="640" spans="1:35" ht="15.75" customHeight="1">
      <c r="A640" s="3" t="s">
        <v>3011</v>
      </c>
      <c r="B640" s="3" t="s">
        <v>2859</v>
      </c>
      <c r="C640" s="3" t="s">
        <v>3012</v>
      </c>
      <c r="D640" s="3" t="str">
        <f t="shared" si="68"/>
        <v>31-Jan-2024</v>
      </c>
      <c r="E640" s="3" t="str">
        <f t="shared" si="69"/>
        <v>26-Jan-2024</v>
      </c>
      <c r="F640" s="3">
        <f t="shared" si="70"/>
        <v>5</v>
      </c>
      <c r="G640" s="3" t="s">
        <v>3013</v>
      </c>
      <c r="H640" s="3" t="s">
        <v>33</v>
      </c>
      <c r="I640" s="3" t="s">
        <v>116</v>
      </c>
      <c r="J640" s="3" t="s">
        <v>70</v>
      </c>
      <c r="K640" s="3" t="s">
        <v>250</v>
      </c>
      <c r="L640" s="3" t="s">
        <v>251</v>
      </c>
      <c r="M640" s="3" t="s">
        <v>38</v>
      </c>
      <c r="N640" s="3" t="s">
        <v>164</v>
      </c>
      <c r="O640" s="3" t="s">
        <v>3014</v>
      </c>
      <c r="P640" s="3" t="s">
        <v>41</v>
      </c>
      <c r="Q640" s="3">
        <v>3</v>
      </c>
      <c r="R640" s="3">
        <v>3224.32</v>
      </c>
      <c r="S640" s="3">
        <v>0.2</v>
      </c>
      <c r="T640" s="3">
        <v>7738.37</v>
      </c>
      <c r="U640" s="3">
        <v>4626.8500000000004</v>
      </c>
      <c r="V640" s="3">
        <v>3111.52</v>
      </c>
      <c r="W640" s="3" t="s">
        <v>208</v>
      </c>
      <c r="X640" s="3" t="s">
        <v>133</v>
      </c>
      <c r="Y640" s="2" t="str">
        <f t="shared" si="71"/>
        <v>Unique</v>
      </c>
      <c r="AA640" s="2" t="str">
        <f t="shared" si="72"/>
        <v>Clean</v>
      </c>
      <c r="AB640" s="2" t="str">
        <f t="shared" si="73"/>
        <v>valid</v>
      </c>
      <c r="AC640">
        <f t="shared" si="81"/>
        <v>0.2</v>
      </c>
      <c r="AD640">
        <f t="shared" si="82"/>
        <v>7738.3680000000013</v>
      </c>
      <c r="AE640">
        <f t="shared" si="83"/>
        <v>3111.5180000000009</v>
      </c>
      <c r="AF640">
        <f t="shared" si="84"/>
        <v>0.40208969126306743</v>
      </c>
      <c r="AG640" t="str">
        <f t="shared" si="85"/>
        <v>January</v>
      </c>
      <c r="AH640">
        <f t="shared" si="86"/>
        <v>2024</v>
      </c>
      <c r="AI640" t="str">
        <f t="shared" si="87"/>
        <v>Warning</v>
      </c>
    </row>
    <row r="641" spans="1:35" ht="15.75" customHeight="1">
      <c r="A641" s="3" t="s">
        <v>3015</v>
      </c>
      <c r="B641" s="3" t="s">
        <v>3016</v>
      </c>
      <c r="C641" s="3" t="s">
        <v>1868</v>
      </c>
      <c r="D641" s="3" t="str">
        <f t="shared" si="68"/>
        <v>31-Dec-2024</v>
      </c>
      <c r="E641" s="3" t="str">
        <f t="shared" si="69"/>
        <v>27-Dec-2024</v>
      </c>
      <c r="F641" s="3">
        <f t="shared" si="70"/>
        <v>4</v>
      </c>
      <c r="G641" s="3" t="s">
        <v>3017</v>
      </c>
      <c r="H641" s="3" t="s">
        <v>61</v>
      </c>
      <c r="I641" s="3" t="s">
        <v>49</v>
      </c>
      <c r="J641" s="3" t="s">
        <v>50</v>
      </c>
      <c r="K641" s="3" t="s">
        <v>51</v>
      </c>
      <c r="L641" s="3" t="s">
        <v>52</v>
      </c>
      <c r="M641" s="3" t="s">
        <v>53</v>
      </c>
      <c r="N641" s="3" t="s">
        <v>84</v>
      </c>
      <c r="O641" s="3" t="s">
        <v>3018</v>
      </c>
      <c r="P641" s="3" t="s">
        <v>41</v>
      </c>
      <c r="Q641" s="3">
        <v>1</v>
      </c>
      <c r="R641" s="3">
        <v>1594.7</v>
      </c>
      <c r="S641" s="3">
        <v>0.05</v>
      </c>
      <c r="T641" s="3">
        <v>1514.96</v>
      </c>
      <c r="U641" s="3">
        <v>1046.17</v>
      </c>
      <c r="V641" s="3">
        <v>468.79</v>
      </c>
      <c r="W641" s="3" t="s">
        <v>42</v>
      </c>
      <c r="X641" s="3" t="s">
        <v>43</v>
      </c>
      <c r="Y641" s="2" t="str">
        <f t="shared" si="71"/>
        <v>Unique</v>
      </c>
      <c r="AA641" s="2" t="str">
        <f t="shared" si="72"/>
        <v>Clean</v>
      </c>
      <c r="AB641" s="2" t="str">
        <f t="shared" si="73"/>
        <v>valid</v>
      </c>
      <c r="AC641">
        <f t="shared" si="81"/>
        <v>0.05</v>
      </c>
      <c r="AD641">
        <f t="shared" si="82"/>
        <v>1514.9649999999999</v>
      </c>
      <c r="AE641">
        <f t="shared" si="83"/>
        <v>468.79499999999985</v>
      </c>
      <c r="AF641">
        <f t="shared" si="84"/>
        <v>0.3094427924077453</v>
      </c>
      <c r="AG641" t="str">
        <f t="shared" si="85"/>
        <v>December</v>
      </c>
      <c r="AH641">
        <f t="shared" si="86"/>
        <v>2024</v>
      </c>
      <c r="AI641" t="str">
        <f t="shared" si="87"/>
        <v>Clean</v>
      </c>
    </row>
    <row r="642" spans="1:35" ht="15.75" customHeight="1">
      <c r="A642" s="3" t="s">
        <v>3019</v>
      </c>
      <c r="B642" s="3" t="s">
        <v>3020</v>
      </c>
      <c r="C642" s="3" t="s">
        <v>3021</v>
      </c>
      <c r="D642" s="3" t="str">
        <f t="shared" si="68"/>
        <v>17-Jan-2025</v>
      </c>
      <c r="E642" s="3" t="str">
        <f t="shared" si="69"/>
        <v>14-Jan-2025</v>
      </c>
      <c r="F642" s="3">
        <f t="shared" si="70"/>
        <v>3</v>
      </c>
      <c r="G642" s="3" t="s">
        <v>3022</v>
      </c>
      <c r="H642" s="3" t="s">
        <v>91</v>
      </c>
      <c r="I642" s="3" t="s">
        <v>34</v>
      </c>
      <c r="J642" s="3" t="s">
        <v>81</v>
      </c>
      <c r="K642" s="3" t="s">
        <v>257</v>
      </c>
      <c r="L642" s="3" t="s">
        <v>258</v>
      </c>
      <c r="M642" s="3" t="s">
        <v>38</v>
      </c>
      <c r="N642" s="3" t="s">
        <v>164</v>
      </c>
      <c r="O642" s="3" t="s">
        <v>3023</v>
      </c>
      <c r="P642" s="3" t="s">
        <v>64</v>
      </c>
      <c r="Q642" s="3">
        <v>1</v>
      </c>
      <c r="R642" s="3">
        <v>1584.12</v>
      </c>
      <c r="S642" s="3">
        <v>0.2</v>
      </c>
      <c r="T642" s="3">
        <v>1267.3</v>
      </c>
      <c r="U642" s="3">
        <v>923.53</v>
      </c>
      <c r="V642" s="3">
        <v>343.77</v>
      </c>
      <c r="W642" s="3" t="s">
        <v>42</v>
      </c>
      <c r="X642" s="3" t="s">
        <v>43</v>
      </c>
      <c r="Y642" s="2" t="str">
        <f t="shared" si="71"/>
        <v>Unique</v>
      </c>
      <c r="AA642" s="2" t="str">
        <f t="shared" si="72"/>
        <v>Clean</v>
      </c>
      <c r="AB642" s="2" t="str">
        <f t="shared" si="73"/>
        <v>valid</v>
      </c>
      <c r="AC642">
        <f t="shared" si="81"/>
        <v>0.2</v>
      </c>
      <c r="AD642">
        <f t="shared" si="82"/>
        <v>1267.296</v>
      </c>
      <c r="AE642">
        <f t="shared" si="83"/>
        <v>343.76600000000008</v>
      </c>
      <c r="AF642">
        <f t="shared" si="84"/>
        <v>0.27125943741635739</v>
      </c>
      <c r="AG642" t="str">
        <f t="shared" si="85"/>
        <v>January</v>
      </c>
      <c r="AH642">
        <f t="shared" si="86"/>
        <v>2025</v>
      </c>
      <c r="AI642" t="str">
        <f t="shared" si="87"/>
        <v>Clean</v>
      </c>
    </row>
    <row r="643" spans="1:35" ht="15.75" customHeight="1">
      <c r="A643" s="3" t="s">
        <v>3024</v>
      </c>
      <c r="B643" s="3" t="s">
        <v>3025</v>
      </c>
      <c r="C643" s="3" t="s">
        <v>1956</v>
      </c>
      <c r="D643" s="3" t="str">
        <f t="shared" si="68"/>
        <v>14-Apr-2025</v>
      </c>
      <c r="E643" s="3" t="str">
        <f t="shared" si="69"/>
        <v>09-Apr-2025</v>
      </c>
      <c r="F643" s="3">
        <f t="shared" si="70"/>
        <v>5</v>
      </c>
      <c r="G643" s="3" t="s">
        <v>3026</v>
      </c>
      <c r="H643" s="3" t="s">
        <v>33</v>
      </c>
      <c r="I643" s="3" t="s">
        <v>34</v>
      </c>
      <c r="J643" s="3" t="s">
        <v>35</v>
      </c>
      <c r="K643" s="3" t="s">
        <v>515</v>
      </c>
      <c r="L643" s="3" t="s">
        <v>516</v>
      </c>
      <c r="M643" s="3" t="s">
        <v>53</v>
      </c>
      <c r="N643" s="3" t="s">
        <v>73</v>
      </c>
      <c r="O643" s="3" t="s">
        <v>3027</v>
      </c>
      <c r="P643" s="3" t="s">
        <v>56</v>
      </c>
      <c r="Q643" s="3">
        <v>2</v>
      </c>
      <c r="R643" s="3">
        <v>3202.87</v>
      </c>
      <c r="S643" s="3">
        <v>0</v>
      </c>
      <c r="T643" s="3">
        <v>6405.74</v>
      </c>
      <c r="U643" s="3">
        <v>3561.87</v>
      </c>
      <c r="V643" s="3">
        <v>2843.87</v>
      </c>
      <c r="W643" s="3" t="s">
        <v>42</v>
      </c>
      <c r="X643" s="3" t="s">
        <v>43</v>
      </c>
      <c r="Y643" s="2" t="str">
        <f t="shared" si="71"/>
        <v>Unique</v>
      </c>
      <c r="AA643" s="2" t="str">
        <f t="shared" si="72"/>
        <v>Clean</v>
      </c>
      <c r="AB643" s="2" t="str">
        <f t="shared" si="73"/>
        <v>valid</v>
      </c>
      <c r="AC643">
        <f t="shared" ref="AC643:AC706" si="88">IF(S643="",0,IF(S643&gt;1,S643/100,S643))</f>
        <v>0</v>
      </c>
      <c r="AD643">
        <f t="shared" ref="AD643:AD706" si="89">Q643*R643*(1-AC643)</f>
        <v>6405.74</v>
      </c>
      <c r="AE643">
        <f t="shared" ref="AE643:AE706" si="90">AD643-U643</f>
        <v>2843.87</v>
      </c>
      <c r="AF643">
        <f t="shared" ref="AF643:AF706" si="91">AE643/AD643</f>
        <v>0.44395651400150488</v>
      </c>
      <c r="AG643" t="str">
        <f t="shared" ref="AG643:AG706" si="92">TEXT(E643,"mmmm")</f>
        <v>April</v>
      </c>
      <c r="AH643">
        <f t="shared" ref="AH643:AH706" si="93">YEAR(E643)</f>
        <v>2025</v>
      </c>
      <c r="AI643" t="str">
        <f t="shared" ref="AI643:AI706" si="94">IF(OR(AC643&lt;0,AC643&gt;0.5,F643="Invalid Shipping Record"),"Invalid",
IF(OR(X643="Cancelled",W643="Failed"),"Warning","Clean"))</f>
        <v>Clean</v>
      </c>
    </row>
    <row r="644" spans="1:35" ht="15.75" customHeight="1">
      <c r="A644" s="3" t="s">
        <v>3028</v>
      </c>
      <c r="B644" s="3" t="s">
        <v>1944</v>
      </c>
      <c r="C644" s="3" t="s">
        <v>45</v>
      </c>
      <c r="D644" s="3" t="str">
        <f t="shared" si="68"/>
        <v>31-Aug-2024</v>
      </c>
      <c r="E644" s="3" t="str">
        <f t="shared" si="69"/>
        <v>29-Aug-2024</v>
      </c>
      <c r="F644" s="3">
        <f t="shared" si="70"/>
        <v>2</v>
      </c>
      <c r="G644" s="3" t="s">
        <v>3029</v>
      </c>
      <c r="H644" s="3" t="s">
        <v>61</v>
      </c>
      <c r="I644" s="3" t="s">
        <v>123</v>
      </c>
      <c r="J644" s="3" t="s">
        <v>50</v>
      </c>
      <c r="K644" s="3" t="s">
        <v>224</v>
      </c>
      <c r="L644" s="3" t="s">
        <v>225</v>
      </c>
      <c r="M644" s="3" t="s">
        <v>38</v>
      </c>
      <c r="N644" s="3" t="s">
        <v>206</v>
      </c>
      <c r="O644" s="3" t="s">
        <v>3030</v>
      </c>
      <c r="P644" s="3" t="s">
        <v>41</v>
      </c>
      <c r="Q644" s="3">
        <v>9</v>
      </c>
      <c r="R644" s="3">
        <v>1275.21</v>
      </c>
      <c r="S644" s="3">
        <v>0.25</v>
      </c>
      <c r="T644" s="3">
        <v>8607.67</v>
      </c>
      <c r="U644" s="3">
        <v>5337.64</v>
      </c>
      <c r="V644" s="3">
        <v>3270.03</v>
      </c>
      <c r="W644" s="3" t="s">
        <v>208</v>
      </c>
      <c r="X644" s="3" t="s">
        <v>133</v>
      </c>
      <c r="Y644" s="2" t="str">
        <f t="shared" si="71"/>
        <v>Unique</v>
      </c>
      <c r="AA644" s="2" t="str">
        <f t="shared" si="72"/>
        <v>Clean</v>
      </c>
      <c r="AB644" s="2" t="str">
        <f t="shared" si="73"/>
        <v>valid</v>
      </c>
      <c r="AC644">
        <f t="shared" si="88"/>
        <v>0.25</v>
      </c>
      <c r="AD644">
        <f t="shared" si="89"/>
        <v>8607.6674999999996</v>
      </c>
      <c r="AE644">
        <f t="shared" si="90"/>
        <v>3270.0274999999992</v>
      </c>
      <c r="AF644">
        <f t="shared" si="91"/>
        <v>0.37989705108846261</v>
      </c>
      <c r="AG644" t="str">
        <f t="shared" si="92"/>
        <v>August</v>
      </c>
      <c r="AH644">
        <f t="shared" si="93"/>
        <v>2024</v>
      </c>
      <c r="AI644" t="str">
        <f t="shared" si="94"/>
        <v>Warning</v>
      </c>
    </row>
    <row r="645" spans="1:35" ht="15.75" customHeight="1">
      <c r="A645" s="3" t="s">
        <v>3031</v>
      </c>
      <c r="B645" s="3" t="s">
        <v>3032</v>
      </c>
      <c r="C645" s="3" t="s">
        <v>3033</v>
      </c>
      <c r="D645" s="3" t="str">
        <f t="shared" si="68"/>
        <v>13-Feb-2024</v>
      </c>
      <c r="E645" s="3" t="str">
        <f t="shared" si="69"/>
        <v>05-Feb-2024</v>
      </c>
      <c r="F645" s="3">
        <f t="shared" si="70"/>
        <v>8</v>
      </c>
      <c r="G645" s="3" t="s">
        <v>1099</v>
      </c>
      <c r="H645" s="3" t="s">
        <v>170</v>
      </c>
      <c r="I645" s="3" t="s">
        <v>123</v>
      </c>
      <c r="J645" s="3" t="s">
        <v>35</v>
      </c>
      <c r="K645" s="3" t="s">
        <v>182</v>
      </c>
      <c r="L645" s="3" t="s">
        <v>183</v>
      </c>
      <c r="M645" s="3" t="s">
        <v>38</v>
      </c>
      <c r="N645" s="3" t="s">
        <v>117</v>
      </c>
      <c r="O645" s="3" t="s">
        <v>3034</v>
      </c>
      <c r="P645" s="3" t="s">
        <v>75</v>
      </c>
      <c r="Q645" s="3">
        <v>8</v>
      </c>
      <c r="R645" s="3">
        <v>3871.18</v>
      </c>
      <c r="S645" s="3">
        <v>0.15</v>
      </c>
      <c r="T645" s="3">
        <v>26324.02</v>
      </c>
      <c r="U645" s="3">
        <v>16277.96</v>
      </c>
      <c r="V645" s="3">
        <v>10046.06</v>
      </c>
      <c r="W645" s="3" t="s">
        <v>208</v>
      </c>
      <c r="X645" s="3" t="s">
        <v>133</v>
      </c>
      <c r="Y645" s="2" t="str">
        <f t="shared" si="71"/>
        <v>Unique</v>
      </c>
      <c r="AA645" s="2" t="str">
        <f t="shared" si="72"/>
        <v>Clean</v>
      </c>
      <c r="AB645" s="2" t="str">
        <f t="shared" si="73"/>
        <v>valid</v>
      </c>
      <c r="AC645">
        <f t="shared" si="88"/>
        <v>0.15</v>
      </c>
      <c r="AD645">
        <f t="shared" si="89"/>
        <v>26324.023999999998</v>
      </c>
      <c r="AE645">
        <f t="shared" si="90"/>
        <v>10046.063999999998</v>
      </c>
      <c r="AF645">
        <f t="shared" si="91"/>
        <v>0.3816310150758106</v>
      </c>
      <c r="AG645" t="str">
        <f t="shared" si="92"/>
        <v>February</v>
      </c>
      <c r="AH645">
        <f t="shared" si="93"/>
        <v>2024</v>
      </c>
      <c r="AI645" t="str">
        <f t="shared" si="94"/>
        <v>Warning</v>
      </c>
    </row>
    <row r="646" spans="1:35" ht="15.75" customHeight="1">
      <c r="A646" s="3" t="s">
        <v>3035</v>
      </c>
      <c r="B646" s="3" t="s">
        <v>2581</v>
      </c>
      <c r="C646" s="3" t="s">
        <v>3036</v>
      </c>
      <c r="D646" s="3" t="str">
        <f t="shared" si="68"/>
        <v>17-Apr-2025</v>
      </c>
      <c r="E646" s="3" t="str">
        <f t="shared" si="69"/>
        <v>10-Apr-2025</v>
      </c>
      <c r="F646" s="3">
        <f t="shared" si="70"/>
        <v>7</v>
      </c>
      <c r="G646" s="3" t="s">
        <v>3037</v>
      </c>
      <c r="H646" s="3" t="s">
        <v>91</v>
      </c>
      <c r="I646" s="3" t="s">
        <v>34</v>
      </c>
      <c r="J646" s="3" t="s">
        <v>50</v>
      </c>
      <c r="K646" s="3" t="s">
        <v>129</v>
      </c>
      <c r="L646" s="3" t="s">
        <v>130</v>
      </c>
      <c r="M646" s="3" t="s">
        <v>53</v>
      </c>
      <c r="N646" s="3" t="s">
        <v>84</v>
      </c>
      <c r="O646" s="3" t="s">
        <v>3038</v>
      </c>
      <c r="P646" s="3" t="s">
        <v>75</v>
      </c>
      <c r="Q646" s="3">
        <v>4</v>
      </c>
      <c r="R646" s="3">
        <v>3750.02</v>
      </c>
      <c r="S646" s="3">
        <v>0.05</v>
      </c>
      <c r="T646" s="3">
        <v>14250.08</v>
      </c>
      <c r="U646" s="3">
        <v>10914.92</v>
      </c>
      <c r="V646" s="3">
        <v>3335.16</v>
      </c>
      <c r="W646" s="3" t="s">
        <v>42</v>
      </c>
      <c r="X646" s="3" t="s">
        <v>43</v>
      </c>
      <c r="Y646" s="2" t="str">
        <f t="shared" si="71"/>
        <v>Unique</v>
      </c>
      <c r="AA646" s="2" t="str">
        <f t="shared" si="72"/>
        <v>Clean</v>
      </c>
      <c r="AB646" s="2" t="str">
        <f t="shared" si="73"/>
        <v>valid</v>
      </c>
      <c r="AC646">
        <f t="shared" si="88"/>
        <v>0.05</v>
      </c>
      <c r="AD646">
        <f t="shared" si="89"/>
        <v>14250.075999999999</v>
      </c>
      <c r="AE646">
        <f t="shared" si="90"/>
        <v>3335.155999999999</v>
      </c>
      <c r="AF646">
        <f t="shared" si="91"/>
        <v>0.23404478684885605</v>
      </c>
      <c r="AG646" t="str">
        <f t="shared" si="92"/>
        <v>April</v>
      </c>
      <c r="AH646">
        <f t="shared" si="93"/>
        <v>2025</v>
      </c>
      <c r="AI646" t="str">
        <f t="shared" si="94"/>
        <v>Clean</v>
      </c>
    </row>
    <row r="647" spans="1:35" ht="15.75" customHeight="1">
      <c r="A647" s="3" t="s">
        <v>3039</v>
      </c>
      <c r="B647" s="3" t="s">
        <v>3040</v>
      </c>
      <c r="C647" s="3" t="s">
        <v>2733</v>
      </c>
      <c r="D647" s="3" t="str">
        <f t="shared" si="68"/>
        <v>09-Jan-2024</v>
      </c>
      <c r="E647" s="3" t="str">
        <f t="shared" si="69"/>
        <v>04-Jan-2024</v>
      </c>
      <c r="F647" s="3">
        <f t="shared" si="70"/>
        <v>5</v>
      </c>
      <c r="G647" s="3" t="s">
        <v>3041</v>
      </c>
      <c r="H647" s="3" t="s">
        <v>375</v>
      </c>
      <c r="I647" s="3" t="s">
        <v>34</v>
      </c>
      <c r="J647" s="3" t="s">
        <v>50</v>
      </c>
      <c r="K647" s="3" t="s">
        <v>194</v>
      </c>
      <c r="L647" s="3" t="s">
        <v>195</v>
      </c>
      <c r="M647" s="3" t="s">
        <v>53</v>
      </c>
      <c r="N647" s="3" t="s">
        <v>84</v>
      </c>
      <c r="O647" s="3" t="s">
        <v>3042</v>
      </c>
      <c r="P647" s="3" t="s">
        <v>41</v>
      </c>
      <c r="Q647" s="3">
        <v>6</v>
      </c>
      <c r="R647" s="3">
        <v>2423.61</v>
      </c>
      <c r="S647" s="3">
        <v>0.1</v>
      </c>
      <c r="T647" s="3">
        <v>13087.49</v>
      </c>
      <c r="U647" s="3">
        <v>7608.89</v>
      </c>
      <c r="V647" s="3">
        <v>5133.22</v>
      </c>
      <c r="W647" s="3" t="s">
        <v>42</v>
      </c>
      <c r="X647" s="3" t="s">
        <v>43</v>
      </c>
      <c r="Y647" s="2" t="str">
        <f t="shared" si="71"/>
        <v>Unique</v>
      </c>
      <c r="AA647" s="2" t="str">
        <f t="shared" si="72"/>
        <v>Clean</v>
      </c>
      <c r="AB647" s="2" t="str">
        <f t="shared" si="73"/>
        <v>valid</v>
      </c>
      <c r="AC647">
        <f t="shared" si="88"/>
        <v>0.1</v>
      </c>
      <c r="AD647">
        <f t="shared" si="89"/>
        <v>13087.494000000001</v>
      </c>
      <c r="AE647">
        <f t="shared" si="90"/>
        <v>5478.6040000000003</v>
      </c>
      <c r="AF647">
        <f t="shared" si="91"/>
        <v>0.41861367806548755</v>
      </c>
      <c r="AG647" t="str">
        <f t="shared" si="92"/>
        <v>January</v>
      </c>
      <c r="AH647">
        <f t="shared" si="93"/>
        <v>2024</v>
      </c>
      <c r="AI647" t="str">
        <f t="shared" si="94"/>
        <v>Clean</v>
      </c>
    </row>
    <row r="648" spans="1:35" ht="15.75" customHeight="1">
      <c r="A648" s="3" t="s">
        <v>3043</v>
      </c>
      <c r="B648" s="3" t="s">
        <v>3044</v>
      </c>
      <c r="C648" s="3" t="s">
        <v>3045</v>
      </c>
      <c r="D648" s="3" t="str">
        <f t="shared" si="68"/>
        <v>24-Sep-2024</v>
      </c>
      <c r="E648" s="3" t="str">
        <f t="shared" si="69"/>
        <v>18-Sep-2024</v>
      </c>
      <c r="F648" s="3">
        <f t="shared" si="70"/>
        <v>6</v>
      </c>
      <c r="G648" s="3" t="s">
        <v>3046</v>
      </c>
      <c r="H648" s="3" t="s">
        <v>91</v>
      </c>
      <c r="I648" s="3" t="s">
        <v>49</v>
      </c>
      <c r="J648" s="3" t="s">
        <v>50</v>
      </c>
      <c r="K648" s="3" t="s">
        <v>319</v>
      </c>
      <c r="L648" s="3" t="s">
        <v>320</v>
      </c>
      <c r="M648" s="3" t="s">
        <v>94</v>
      </c>
      <c r="N648" s="3" t="s">
        <v>391</v>
      </c>
      <c r="O648" s="3" t="s">
        <v>3047</v>
      </c>
      <c r="P648" s="3" t="s">
        <v>64</v>
      </c>
      <c r="Q648" s="3">
        <v>3</v>
      </c>
      <c r="R648" s="3">
        <v>729.14</v>
      </c>
      <c r="S648" s="3">
        <v>0.25</v>
      </c>
      <c r="T648" s="3">
        <v>1640.57</v>
      </c>
      <c r="U648" s="3">
        <v>1136.98</v>
      </c>
      <c r="V648" s="3">
        <v>503.59</v>
      </c>
      <c r="W648" s="3" t="s">
        <v>42</v>
      </c>
      <c r="X648" s="3" t="s">
        <v>43</v>
      </c>
      <c r="Y648" s="2" t="str">
        <f t="shared" si="71"/>
        <v>Unique</v>
      </c>
      <c r="AA648" s="2" t="str">
        <f t="shared" si="72"/>
        <v>Clean</v>
      </c>
      <c r="AB648" s="2" t="str">
        <f t="shared" si="73"/>
        <v>valid</v>
      </c>
      <c r="AC648">
        <f t="shared" si="88"/>
        <v>0.25</v>
      </c>
      <c r="AD648">
        <f t="shared" si="89"/>
        <v>1640.5650000000001</v>
      </c>
      <c r="AE648">
        <f t="shared" si="90"/>
        <v>503.58500000000004</v>
      </c>
      <c r="AF648">
        <f t="shared" si="91"/>
        <v>0.30695827352162214</v>
      </c>
      <c r="AG648" t="str">
        <f t="shared" si="92"/>
        <v>September</v>
      </c>
      <c r="AH648">
        <f t="shared" si="93"/>
        <v>2024</v>
      </c>
      <c r="AI648" t="str">
        <f t="shared" si="94"/>
        <v>Clean</v>
      </c>
    </row>
    <row r="649" spans="1:35" ht="15.75" customHeight="1">
      <c r="A649" s="3" t="s">
        <v>3048</v>
      </c>
      <c r="B649" s="3" t="s">
        <v>1328</v>
      </c>
      <c r="C649" s="3" t="s">
        <v>3049</v>
      </c>
      <c r="D649" s="3" t="str">
        <f t="shared" si="68"/>
        <v>09-Jan-2025</v>
      </c>
      <c r="E649" s="3" t="str">
        <f t="shared" si="69"/>
        <v>01-Jan-2025</v>
      </c>
      <c r="F649" s="3">
        <f t="shared" si="70"/>
        <v>8</v>
      </c>
      <c r="G649" s="3" t="s">
        <v>3050</v>
      </c>
      <c r="H649" s="3" t="s">
        <v>3051</v>
      </c>
      <c r="I649" s="3" t="s">
        <v>49</v>
      </c>
      <c r="J649" s="3" t="s">
        <v>35</v>
      </c>
      <c r="K649" s="3" t="s">
        <v>162</v>
      </c>
      <c r="L649" s="3" t="s">
        <v>163</v>
      </c>
      <c r="M649" s="3" t="s">
        <v>38</v>
      </c>
      <c r="N649" s="3" t="s">
        <v>62</v>
      </c>
      <c r="O649" s="3" t="s">
        <v>3052</v>
      </c>
      <c r="P649" s="3" t="s">
        <v>64</v>
      </c>
      <c r="Q649" s="3">
        <v>8</v>
      </c>
      <c r="R649" s="3">
        <v>2123.81</v>
      </c>
      <c r="S649" s="3">
        <v>0.15</v>
      </c>
      <c r="T649" s="3">
        <v>14441.91</v>
      </c>
      <c r="U649" s="3">
        <v>10872.89</v>
      </c>
      <c r="V649" s="3">
        <v>3569.02</v>
      </c>
      <c r="W649" s="3" t="s">
        <v>42</v>
      </c>
      <c r="X649" s="3" t="s">
        <v>43</v>
      </c>
      <c r="Y649" s="2" t="str">
        <f t="shared" si="71"/>
        <v>Unique</v>
      </c>
      <c r="AA649" s="2" t="str">
        <f t="shared" si="72"/>
        <v>Clean</v>
      </c>
      <c r="AB649" s="2" t="str">
        <f t="shared" si="73"/>
        <v>valid</v>
      </c>
      <c r="AC649">
        <f t="shared" si="88"/>
        <v>0.15</v>
      </c>
      <c r="AD649">
        <f t="shared" si="89"/>
        <v>14441.907999999999</v>
      </c>
      <c r="AE649">
        <f t="shared" si="90"/>
        <v>3569.018</v>
      </c>
      <c r="AF649">
        <f t="shared" si="91"/>
        <v>0.24712925743606731</v>
      </c>
      <c r="AG649" t="str">
        <f t="shared" si="92"/>
        <v>January</v>
      </c>
      <c r="AH649">
        <f t="shared" si="93"/>
        <v>2025</v>
      </c>
      <c r="AI649" t="str">
        <f t="shared" si="94"/>
        <v>Clean</v>
      </c>
    </row>
    <row r="650" spans="1:35" ht="15.75" customHeight="1">
      <c r="A650" s="3" t="s">
        <v>3053</v>
      </c>
      <c r="B650" s="3" t="s">
        <v>3054</v>
      </c>
      <c r="C650" s="3" t="s">
        <v>366</v>
      </c>
      <c r="D650" s="3" t="str">
        <f t="shared" si="68"/>
        <v>24-Apr-2024</v>
      </c>
      <c r="E650" s="3" t="str">
        <f t="shared" si="69"/>
        <v>21-Apr-2024</v>
      </c>
      <c r="F650" s="3">
        <f t="shared" si="70"/>
        <v>3</v>
      </c>
      <c r="G650" s="3" t="s">
        <v>3055</v>
      </c>
      <c r="H650" s="3" t="s">
        <v>101</v>
      </c>
      <c r="I650" s="3" t="s">
        <v>49</v>
      </c>
      <c r="J650" s="3" t="s">
        <v>70</v>
      </c>
      <c r="K650" s="3" t="s">
        <v>108</v>
      </c>
      <c r="L650" s="3" t="s">
        <v>109</v>
      </c>
      <c r="M650" s="3" t="s">
        <v>38</v>
      </c>
      <c r="N650" s="3" t="s">
        <v>62</v>
      </c>
      <c r="O650" s="3" t="s">
        <v>3056</v>
      </c>
      <c r="P650" s="3" t="s">
        <v>56</v>
      </c>
      <c r="Q650" s="3">
        <v>9</v>
      </c>
      <c r="R650" s="3">
        <v>703.59</v>
      </c>
      <c r="S650" s="3">
        <v>0.2</v>
      </c>
      <c r="T650" s="3">
        <v>5065.8500000000004</v>
      </c>
      <c r="U650" s="3">
        <v>3517.23</v>
      </c>
      <c r="V650" s="3">
        <v>1548.62</v>
      </c>
      <c r="W650" s="3" t="s">
        <v>208</v>
      </c>
      <c r="X650" s="3" t="s">
        <v>133</v>
      </c>
      <c r="Y650" s="2" t="str">
        <f t="shared" si="71"/>
        <v>Unique</v>
      </c>
      <c r="AA650" s="2" t="str">
        <f t="shared" si="72"/>
        <v>Clean</v>
      </c>
      <c r="AB650" s="2" t="str">
        <f t="shared" si="73"/>
        <v>valid</v>
      </c>
      <c r="AC650">
        <f t="shared" si="88"/>
        <v>0.2</v>
      </c>
      <c r="AD650">
        <f t="shared" si="89"/>
        <v>5065.8480000000009</v>
      </c>
      <c r="AE650">
        <f t="shared" si="90"/>
        <v>1548.6180000000008</v>
      </c>
      <c r="AF650">
        <f t="shared" si="91"/>
        <v>0.30569768378364304</v>
      </c>
      <c r="AG650" t="str">
        <f t="shared" si="92"/>
        <v>April</v>
      </c>
      <c r="AH650">
        <f t="shared" si="93"/>
        <v>2024</v>
      </c>
      <c r="AI650" t="str">
        <f t="shared" si="94"/>
        <v>Warning</v>
      </c>
    </row>
    <row r="651" spans="1:35" ht="15.75" customHeight="1">
      <c r="A651" s="3" t="s">
        <v>3057</v>
      </c>
      <c r="B651" s="3" t="s">
        <v>3058</v>
      </c>
      <c r="C651" s="3" t="s">
        <v>3059</v>
      </c>
      <c r="D651" s="3" t="str">
        <f t="shared" si="68"/>
        <v>19-Aug-2025</v>
      </c>
      <c r="E651" s="3" t="str">
        <f t="shared" si="69"/>
        <v>11-Aug-2025</v>
      </c>
      <c r="F651" s="3">
        <f t="shared" si="70"/>
        <v>8</v>
      </c>
      <c r="G651" s="3" t="s">
        <v>3060</v>
      </c>
      <c r="H651" s="3" t="s">
        <v>375</v>
      </c>
      <c r="I651" s="3" t="s">
        <v>49</v>
      </c>
      <c r="J651" s="3" t="s">
        <v>70</v>
      </c>
      <c r="K651" s="3" t="s">
        <v>250</v>
      </c>
      <c r="L651" s="3" t="s">
        <v>251</v>
      </c>
      <c r="M651" s="3" t="s">
        <v>94</v>
      </c>
      <c r="N651" s="3" t="s">
        <v>95</v>
      </c>
      <c r="O651" s="3" t="s">
        <v>3061</v>
      </c>
      <c r="P651" s="3" t="s">
        <v>75</v>
      </c>
      <c r="Q651" s="3">
        <v>4</v>
      </c>
      <c r="R651" s="3">
        <v>2258.96</v>
      </c>
      <c r="S651" s="3">
        <v>0.25</v>
      </c>
      <c r="T651" s="3">
        <v>6776.88</v>
      </c>
      <c r="U651" s="3">
        <v>3836.24</v>
      </c>
      <c r="V651" s="3">
        <v>2940.64</v>
      </c>
      <c r="W651" s="3" t="s">
        <v>42</v>
      </c>
      <c r="X651" s="3" t="s">
        <v>43</v>
      </c>
      <c r="Y651" s="2" t="str">
        <f t="shared" si="71"/>
        <v>Unique</v>
      </c>
      <c r="AA651" s="2" t="str">
        <f t="shared" si="72"/>
        <v>Clean</v>
      </c>
      <c r="AB651" s="2" t="str">
        <f t="shared" si="73"/>
        <v>valid</v>
      </c>
      <c r="AC651">
        <f t="shared" si="88"/>
        <v>0.25</v>
      </c>
      <c r="AD651">
        <f t="shared" si="89"/>
        <v>6776.88</v>
      </c>
      <c r="AE651">
        <f t="shared" si="90"/>
        <v>2940.6400000000003</v>
      </c>
      <c r="AF651">
        <f t="shared" si="91"/>
        <v>0.43392239496641527</v>
      </c>
      <c r="AG651" t="str">
        <f t="shared" si="92"/>
        <v>August</v>
      </c>
      <c r="AH651">
        <f t="shared" si="93"/>
        <v>2025</v>
      </c>
      <c r="AI651" t="str">
        <f t="shared" si="94"/>
        <v>Clean</v>
      </c>
    </row>
    <row r="652" spans="1:35" ht="15.75" customHeight="1">
      <c r="A652" s="3" t="s">
        <v>3062</v>
      </c>
      <c r="B652" s="3" t="s">
        <v>3063</v>
      </c>
      <c r="C652" s="3" t="s">
        <v>3064</v>
      </c>
      <c r="D652" s="3" t="str">
        <f t="shared" si="68"/>
        <v>21-Apr-2024</v>
      </c>
      <c r="E652" s="3" t="str">
        <f t="shared" si="69"/>
        <v>13-Apr-2024</v>
      </c>
      <c r="F652" s="3">
        <f t="shared" si="70"/>
        <v>8</v>
      </c>
      <c r="G652" s="3" t="s">
        <v>556</v>
      </c>
      <c r="H652" s="3" t="s">
        <v>170</v>
      </c>
      <c r="I652" s="3" t="s">
        <v>123</v>
      </c>
      <c r="J652" s="3" t="s">
        <v>50</v>
      </c>
      <c r="K652" s="3" t="s">
        <v>194</v>
      </c>
      <c r="L652" s="3" t="s">
        <v>195</v>
      </c>
      <c r="M652" s="3" t="s">
        <v>94</v>
      </c>
      <c r="N652" s="3" t="s">
        <v>95</v>
      </c>
      <c r="O652" s="3" t="s">
        <v>3065</v>
      </c>
      <c r="P652" s="3" t="s">
        <v>56</v>
      </c>
      <c r="Q652" s="3">
        <v>7</v>
      </c>
      <c r="R652" s="3">
        <v>2648.76</v>
      </c>
      <c r="S652" s="3">
        <v>0.15</v>
      </c>
      <c r="T652" s="3">
        <v>15760.12</v>
      </c>
      <c r="U652" s="3">
        <v>9931.5300000000007</v>
      </c>
      <c r="V652" s="3">
        <v>5828.59</v>
      </c>
      <c r="W652" s="3" t="s">
        <v>208</v>
      </c>
      <c r="X652" s="3" t="s">
        <v>133</v>
      </c>
      <c r="Y652" s="2" t="str">
        <f t="shared" si="71"/>
        <v>Unique</v>
      </c>
      <c r="AA652" s="2" t="str">
        <f t="shared" si="72"/>
        <v>Clean</v>
      </c>
      <c r="AB652" s="2" t="str">
        <f t="shared" si="73"/>
        <v>valid</v>
      </c>
      <c r="AC652">
        <f t="shared" si="88"/>
        <v>0.15</v>
      </c>
      <c r="AD652">
        <f t="shared" si="89"/>
        <v>15760.121999999999</v>
      </c>
      <c r="AE652">
        <f t="shared" si="90"/>
        <v>5828.5919999999987</v>
      </c>
      <c r="AF652">
        <f t="shared" si="91"/>
        <v>0.36983165485647884</v>
      </c>
      <c r="AG652" t="str">
        <f t="shared" si="92"/>
        <v>April</v>
      </c>
      <c r="AH652">
        <f t="shared" si="93"/>
        <v>2024</v>
      </c>
      <c r="AI652" t="str">
        <f t="shared" si="94"/>
        <v>Warning</v>
      </c>
    </row>
    <row r="653" spans="1:35" ht="15.75" customHeight="1">
      <c r="A653" s="3" t="s">
        <v>3066</v>
      </c>
      <c r="B653" s="3" t="s">
        <v>1370</v>
      </c>
      <c r="C653" s="3" t="s">
        <v>3067</v>
      </c>
      <c r="D653" s="3" t="str">
        <f t="shared" si="68"/>
        <v>09-Aug-2025</v>
      </c>
      <c r="E653" s="3" t="str">
        <f t="shared" si="69"/>
        <v>06-Aug-2025</v>
      </c>
      <c r="F653" s="3">
        <f t="shared" si="70"/>
        <v>3</v>
      </c>
      <c r="G653" s="3" t="s">
        <v>3068</v>
      </c>
      <c r="H653" s="3" t="s">
        <v>48</v>
      </c>
      <c r="I653" s="3" t="s">
        <v>49</v>
      </c>
      <c r="J653" s="3" t="s">
        <v>70</v>
      </c>
      <c r="K653" s="3" t="s">
        <v>108</v>
      </c>
      <c r="L653" s="3" t="s">
        <v>109</v>
      </c>
      <c r="M653" s="3" t="s">
        <v>38</v>
      </c>
      <c r="N653" s="3" t="s">
        <v>39</v>
      </c>
      <c r="O653" s="3" t="s">
        <v>3069</v>
      </c>
      <c r="P653" s="3" t="s">
        <v>41</v>
      </c>
      <c r="Q653" s="3">
        <v>3</v>
      </c>
      <c r="R653" s="3">
        <v>598.54999999999995</v>
      </c>
      <c r="S653" s="3">
        <v>0</v>
      </c>
      <c r="T653" s="3">
        <v>1795.65</v>
      </c>
      <c r="U653" s="3">
        <v>996.72</v>
      </c>
      <c r="V653" s="3">
        <v>798.93</v>
      </c>
      <c r="W653" s="3" t="s">
        <v>42</v>
      </c>
      <c r="X653" s="3" t="s">
        <v>43</v>
      </c>
      <c r="Y653" s="2" t="str">
        <f t="shared" si="71"/>
        <v>Unique</v>
      </c>
      <c r="AA653" s="2" t="str">
        <f t="shared" si="72"/>
        <v>Clean</v>
      </c>
      <c r="AB653" s="2" t="str">
        <f t="shared" si="73"/>
        <v>valid</v>
      </c>
      <c r="AC653">
        <f t="shared" si="88"/>
        <v>0</v>
      </c>
      <c r="AD653">
        <f t="shared" si="89"/>
        <v>1795.6499999999999</v>
      </c>
      <c r="AE653">
        <f t="shared" si="90"/>
        <v>798.92999999999984</v>
      </c>
      <c r="AF653">
        <f t="shared" si="91"/>
        <v>0.44492523598696843</v>
      </c>
      <c r="AG653" t="str">
        <f t="shared" si="92"/>
        <v>August</v>
      </c>
      <c r="AH653">
        <f t="shared" si="93"/>
        <v>2025</v>
      </c>
      <c r="AI653" t="str">
        <f t="shared" si="94"/>
        <v>Clean</v>
      </c>
    </row>
    <row r="654" spans="1:35" ht="15.75" customHeight="1">
      <c r="A654" s="3" t="s">
        <v>3070</v>
      </c>
      <c r="B654" s="3" t="s">
        <v>3071</v>
      </c>
      <c r="C654" s="3" t="s">
        <v>3072</v>
      </c>
      <c r="D654" s="3" t="str">
        <f t="shared" si="68"/>
        <v>21-Mar-2025</v>
      </c>
      <c r="E654" s="3" t="str">
        <f t="shared" si="69"/>
        <v>17-Mar-2025</v>
      </c>
      <c r="F654" s="3">
        <f t="shared" si="70"/>
        <v>4</v>
      </c>
      <c r="G654" s="3" t="s">
        <v>2557</v>
      </c>
      <c r="H654" s="3" t="s">
        <v>176</v>
      </c>
      <c r="I654" s="3" t="s">
        <v>34</v>
      </c>
      <c r="J654" s="3" t="s">
        <v>35</v>
      </c>
      <c r="K654" s="3" t="s">
        <v>182</v>
      </c>
      <c r="L654" s="3" t="s">
        <v>183</v>
      </c>
      <c r="M654" s="3" t="s">
        <v>38</v>
      </c>
      <c r="N654" s="3" t="s">
        <v>206</v>
      </c>
      <c r="O654" s="3" t="s">
        <v>3073</v>
      </c>
      <c r="P654" s="3" t="s">
        <v>75</v>
      </c>
      <c r="Q654" s="3">
        <v>5</v>
      </c>
      <c r="R654" s="3">
        <v>4320.59</v>
      </c>
      <c r="S654" s="3">
        <v>0.15</v>
      </c>
      <c r="T654" s="3">
        <v>18362.509999999998</v>
      </c>
      <c r="U654" s="3">
        <v>11133.97</v>
      </c>
      <c r="V654" s="3">
        <v>7228.54</v>
      </c>
      <c r="W654" s="3" t="s">
        <v>42</v>
      </c>
      <c r="X654" s="3" t="s">
        <v>43</v>
      </c>
      <c r="Y654" s="2" t="str">
        <f t="shared" si="71"/>
        <v>Unique</v>
      </c>
      <c r="AA654" s="2" t="str">
        <f t="shared" si="72"/>
        <v>Clean</v>
      </c>
      <c r="AB654" s="2" t="str">
        <f t="shared" si="73"/>
        <v>valid</v>
      </c>
      <c r="AC654">
        <f t="shared" si="88"/>
        <v>0.15</v>
      </c>
      <c r="AD654">
        <f t="shared" si="89"/>
        <v>18362.5075</v>
      </c>
      <c r="AE654">
        <f t="shared" si="90"/>
        <v>7228.5375000000004</v>
      </c>
      <c r="AF654">
        <f t="shared" si="91"/>
        <v>0.39365742941153326</v>
      </c>
      <c r="AG654" t="str">
        <f t="shared" si="92"/>
        <v>March</v>
      </c>
      <c r="AH654">
        <f t="shared" si="93"/>
        <v>2025</v>
      </c>
      <c r="AI654" t="str">
        <f t="shared" si="94"/>
        <v>Clean</v>
      </c>
    </row>
    <row r="655" spans="1:35" ht="15.75" customHeight="1">
      <c r="A655" s="3" t="s">
        <v>3074</v>
      </c>
      <c r="B655" s="3" t="s">
        <v>3075</v>
      </c>
      <c r="C655" s="3" t="s">
        <v>3076</v>
      </c>
      <c r="D655" s="3" t="str">
        <f t="shared" si="68"/>
        <v>04-Jul-2025</v>
      </c>
      <c r="E655" s="3" t="str">
        <f t="shared" si="69"/>
        <v>04-Apr-2025</v>
      </c>
      <c r="F655" s="3">
        <f t="shared" si="70"/>
        <v>91</v>
      </c>
      <c r="G655" s="3" t="s">
        <v>3077</v>
      </c>
      <c r="H655" s="3" t="s">
        <v>150</v>
      </c>
      <c r="I655" s="3" t="s">
        <v>49</v>
      </c>
      <c r="J655" s="3" t="s">
        <v>70</v>
      </c>
      <c r="K655" s="3" t="s">
        <v>347</v>
      </c>
      <c r="L655" s="3" t="s">
        <v>348</v>
      </c>
      <c r="M655" s="3" t="s">
        <v>94</v>
      </c>
      <c r="N655" s="3" t="s">
        <v>102</v>
      </c>
      <c r="O655" s="3" t="s">
        <v>3078</v>
      </c>
      <c r="P655" s="3" t="s">
        <v>41</v>
      </c>
      <c r="Q655" s="3">
        <v>7</v>
      </c>
      <c r="R655" s="3">
        <v>4457.93</v>
      </c>
      <c r="S655" s="3">
        <v>0.15</v>
      </c>
      <c r="T655" s="3">
        <v>26524.68</v>
      </c>
      <c r="U655" s="3">
        <v>20574.3</v>
      </c>
      <c r="V655" s="3">
        <v>5950.38</v>
      </c>
      <c r="W655" s="3" t="s">
        <v>42</v>
      </c>
      <c r="X655" s="3" t="s">
        <v>43</v>
      </c>
      <c r="Y655" s="2" t="str">
        <f t="shared" si="71"/>
        <v>Unique</v>
      </c>
      <c r="AA655" s="2" t="str">
        <f t="shared" si="72"/>
        <v>Clean</v>
      </c>
      <c r="AB655" s="2" t="str">
        <f t="shared" si="73"/>
        <v>valid</v>
      </c>
      <c r="AC655">
        <f t="shared" si="88"/>
        <v>0.15</v>
      </c>
      <c r="AD655">
        <f t="shared" si="89"/>
        <v>26524.683500000003</v>
      </c>
      <c r="AE655">
        <f t="shared" si="90"/>
        <v>5950.3835000000036</v>
      </c>
      <c r="AF655">
        <f t="shared" si="91"/>
        <v>0.22433381721595294</v>
      </c>
      <c r="AG655" t="str">
        <f t="shared" si="92"/>
        <v>April</v>
      </c>
      <c r="AH655">
        <f t="shared" si="93"/>
        <v>2025</v>
      </c>
      <c r="AI655" t="str">
        <f t="shared" si="94"/>
        <v>Clean</v>
      </c>
    </row>
    <row r="656" spans="1:35" ht="15.75" customHeight="1">
      <c r="A656" s="3" t="s">
        <v>3079</v>
      </c>
      <c r="B656" s="3" t="s">
        <v>3080</v>
      </c>
      <c r="C656" s="3" t="s">
        <v>148</v>
      </c>
      <c r="D656" s="3" t="str">
        <f t="shared" si="68"/>
        <v>16-Oct-2025</v>
      </c>
      <c r="E656" s="3" t="str">
        <f t="shared" si="69"/>
        <v>10-Dec-2025</v>
      </c>
      <c r="F656" s="3">
        <f t="shared" si="70"/>
        <v>-55</v>
      </c>
      <c r="G656" s="3" t="s">
        <v>1415</v>
      </c>
      <c r="H656" s="3" t="s">
        <v>218</v>
      </c>
      <c r="I656" s="3" t="s">
        <v>116</v>
      </c>
      <c r="J656" s="3" t="s">
        <v>50</v>
      </c>
      <c r="K656" s="3" t="s">
        <v>194</v>
      </c>
      <c r="L656" s="3" t="s">
        <v>195</v>
      </c>
      <c r="M656" s="3" t="s">
        <v>94</v>
      </c>
      <c r="N656" s="3" t="s">
        <v>391</v>
      </c>
      <c r="O656" s="3" t="s">
        <v>3081</v>
      </c>
      <c r="P656" s="3" t="s">
        <v>56</v>
      </c>
      <c r="Q656" s="3">
        <v>1</v>
      </c>
      <c r="R656" s="3">
        <v>2570.06</v>
      </c>
      <c r="S656" s="3">
        <v>0.2</v>
      </c>
      <c r="T656" s="3">
        <v>2056.0500000000002</v>
      </c>
      <c r="U656" s="3">
        <v>1662.39</v>
      </c>
      <c r="V656" s="3">
        <v>393.66</v>
      </c>
      <c r="W656" s="3" t="s">
        <v>42</v>
      </c>
      <c r="X656" s="3" t="s">
        <v>43</v>
      </c>
      <c r="Y656" s="2" t="str">
        <f t="shared" si="71"/>
        <v>Unique</v>
      </c>
      <c r="AA656" s="2" t="str">
        <f t="shared" si="72"/>
        <v>Clean</v>
      </c>
      <c r="AB656" s="2" t="str">
        <f t="shared" si="73"/>
        <v>Invalid</v>
      </c>
      <c r="AC656">
        <f t="shared" si="88"/>
        <v>0.2</v>
      </c>
      <c r="AD656">
        <f t="shared" si="89"/>
        <v>2056.0480000000002</v>
      </c>
      <c r="AE656">
        <f t="shared" si="90"/>
        <v>393.65800000000013</v>
      </c>
      <c r="AF656">
        <f t="shared" si="91"/>
        <v>0.19146342886936496</v>
      </c>
      <c r="AG656" t="str">
        <f t="shared" si="92"/>
        <v>December</v>
      </c>
      <c r="AH656">
        <f t="shared" si="93"/>
        <v>2025</v>
      </c>
      <c r="AI656" t="str">
        <f t="shared" si="94"/>
        <v>Clean</v>
      </c>
    </row>
    <row r="657" spans="1:35" ht="15.75" customHeight="1">
      <c r="A657" s="3" t="s">
        <v>3082</v>
      </c>
      <c r="B657" s="3" t="s">
        <v>709</v>
      </c>
      <c r="C657" s="3" t="s">
        <v>709</v>
      </c>
      <c r="D657" s="3" t="str">
        <f t="shared" si="68"/>
        <v>26-Aug-2025</v>
      </c>
      <c r="E657" s="3" t="str">
        <f t="shared" si="69"/>
        <v>26-Aug-2025</v>
      </c>
      <c r="F657" s="3">
        <f t="shared" si="70"/>
        <v>0</v>
      </c>
      <c r="G657" s="3" t="s">
        <v>3083</v>
      </c>
      <c r="H657" s="3" t="s">
        <v>101</v>
      </c>
      <c r="I657" s="3" t="s">
        <v>123</v>
      </c>
      <c r="J657" s="3" t="s">
        <v>50</v>
      </c>
      <c r="K657" s="3" t="s">
        <v>129</v>
      </c>
      <c r="L657" s="3" t="s">
        <v>130</v>
      </c>
      <c r="M657" s="3" t="s">
        <v>53</v>
      </c>
      <c r="N657" s="3" t="s">
        <v>73</v>
      </c>
      <c r="O657" s="3" t="s">
        <v>3084</v>
      </c>
      <c r="P657" s="3" t="s">
        <v>75</v>
      </c>
      <c r="Q657" s="3">
        <v>4</v>
      </c>
      <c r="R657" s="3">
        <v>2151.8200000000002</v>
      </c>
      <c r="S657" s="3">
        <v>0</v>
      </c>
      <c r="T657" s="3">
        <v>8607.2800000000007</v>
      </c>
      <c r="U657" s="3">
        <v>5124.01</v>
      </c>
      <c r="V657" s="3">
        <v>3483.27</v>
      </c>
      <c r="W657" s="3" t="s">
        <v>42</v>
      </c>
      <c r="X657" s="3" t="s">
        <v>43</v>
      </c>
      <c r="Y657" s="2" t="str">
        <f t="shared" si="71"/>
        <v>Unique</v>
      </c>
      <c r="AA657" s="2" t="str">
        <f t="shared" si="72"/>
        <v>Clean</v>
      </c>
      <c r="AB657" s="2" t="str">
        <f t="shared" si="73"/>
        <v>valid</v>
      </c>
      <c r="AC657">
        <f t="shared" si="88"/>
        <v>0</v>
      </c>
      <c r="AD657">
        <f t="shared" si="89"/>
        <v>8607.2800000000007</v>
      </c>
      <c r="AE657">
        <f t="shared" si="90"/>
        <v>3483.2700000000004</v>
      </c>
      <c r="AF657">
        <f t="shared" si="91"/>
        <v>0.40468882155570635</v>
      </c>
      <c r="AG657" t="str">
        <f t="shared" si="92"/>
        <v>August</v>
      </c>
      <c r="AH657">
        <f t="shared" si="93"/>
        <v>2025</v>
      </c>
      <c r="AI657" t="str">
        <f t="shared" si="94"/>
        <v>Clean</v>
      </c>
    </row>
    <row r="658" spans="1:35" ht="15.75" customHeight="1">
      <c r="A658" s="3" t="s">
        <v>3085</v>
      </c>
      <c r="B658" s="3" t="s">
        <v>3086</v>
      </c>
      <c r="C658" s="3" t="s">
        <v>2321</v>
      </c>
      <c r="D658" s="3" t="str">
        <f t="shared" si="68"/>
        <v>14-May-2024</v>
      </c>
      <c r="E658" s="3" t="str">
        <f t="shared" si="69"/>
        <v>07-May-2024</v>
      </c>
      <c r="F658" s="3">
        <f t="shared" si="70"/>
        <v>7</v>
      </c>
      <c r="G658" s="3" t="s">
        <v>3087</v>
      </c>
      <c r="H658" s="3" t="s">
        <v>101</v>
      </c>
      <c r="I658" s="3" t="s">
        <v>49</v>
      </c>
      <c r="J658" s="3" t="s">
        <v>35</v>
      </c>
      <c r="K658" s="3" t="s">
        <v>331</v>
      </c>
      <c r="L658" s="3" t="s">
        <v>332</v>
      </c>
      <c r="M658" s="3" t="s">
        <v>94</v>
      </c>
      <c r="N658" s="3" t="s">
        <v>391</v>
      </c>
      <c r="O658" s="3" t="s">
        <v>3088</v>
      </c>
      <c r="P658" s="3" t="s">
        <v>56</v>
      </c>
      <c r="Q658" s="3">
        <v>4</v>
      </c>
      <c r="R658" s="3">
        <v>2751.1</v>
      </c>
      <c r="S658" s="3">
        <v>-0.05</v>
      </c>
      <c r="T658" s="3">
        <v>9903.9599999999991</v>
      </c>
      <c r="U658" s="3">
        <v>7696.28</v>
      </c>
      <c r="V658" s="3">
        <v>2207.6799999999998</v>
      </c>
      <c r="W658" s="3" t="s">
        <v>42</v>
      </c>
      <c r="X658" s="3" t="s">
        <v>43</v>
      </c>
      <c r="Y658" s="2" t="str">
        <f t="shared" si="71"/>
        <v>Unique</v>
      </c>
      <c r="AA658" s="2" t="str">
        <f t="shared" si="72"/>
        <v>Invalid</v>
      </c>
      <c r="AB658" s="2" t="str">
        <f t="shared" si="73"/>
        <v>valid</v>
      </c>
      <c r="AC658">
        <f t="shared" si="88"/>
        <v>-0.05</v>
      </c>
      <c r="AD658">
        <f t="shared" si="89"/>
        <v>11554.62</v>
      </c>
      <c r="AE658">
        <f t="shared" si="90"/>
        <v>3858.3400000000011</v>
      </c>
      <c r="AF658">
        <f t="shared" si="91"/>
        <v>0.33392184251840396</v>
      </c>
      <c r="AG658" t="str">
        <f t="shared" si="92"/>
        <v>May</v>
      </c>
      <c r="AH658">
        <f t="shared" si="93"/>
        <v>2024</v>
      </c>
      <c r="AI658" t="str">
        <f t="shared" si="94"/>
        <v>Invalid</v>
      </c>
    </row>
    <row r="659" spans="1:35" ht="15.75" customHeight="1">
      <c r="A659" s="3" t="s">
        <v>3089</v>
      </c>
      <c r="B659" s="3" t="s">
        <v>3090</v>
      </c>
      <c r="C659" s="3" t="s">
        <v>3091</v>
      </c>
      <c r="D659" s="3" t="str">
        <f t="shared" si="68"/>
        <v>10-Aug-2025</v>
      </c>
      <c r="E659" s="3" t="str">
        <f t="shared" si="69"/>
        <v>08-Jul-2025</v>
      </c>
      <c r="F659" s="3">
        <f t="shared" si="70"/>
        <v>33</v>
      </c>
      <c r="G659" s="3" t="s">
        <v>3092</v>
      </c>
      <c r="H659" s="3" t="s">
        <v>115</v>
      </c>
      <c r="I659" s="3" t="s">
        <v>123</v>
      </c>
      <c r="J659" s="3" t="s">
        <v>50</v>
      </c>
      <c r="K659" s="3" t="s">
        <v>194</v>
      </c>
      <c r="L659" s="3" t="s">
        <v>195</v>
      </c>
      <c r="M659" s="3" t="s">
        <v>38</v>
      </c>
      <c r="N659" s="3" t="s">
        <v>164</v>
      </c>
      <c r="O659" s="3" t="s">
        <v>3093</v>
      </c>
      <c r="P659" s="3" t="s">
        <v>41</v>
      </c>
      <c r="Q659" s="3">
        <v>1</v>
      </c>
      <c r="R659" s="3">
        <v>2541.25</v>
      </c>
      <c r="S659" s="3">
        <v>0.2</v>
      </c>
      <c r="T659" s="3">
        <v>2033</v>
      </c>
      <c r="U659" s="3">
        <v>1291.4100000000001</v>
      </c>
      <c r="V659" s="3">
        <v>741.59</v>
      </c>
      <c r="W659" s="3" t="s">
        <v>42</v>
      </c>
      <c r="X659" s="3" t="s">
        <v>43</v>
      </c>
      <c r="Y659" s="2" t="str">
        <f t="shared" si="71"/>
        <v>Unique</v>
      </c>
      <c r="AA659" s="2" t="str">
        <f t="shared" si="72"/>
        <v>Clean</v>
      </c>
      <c r="AB659" s="2" t="str">
        <f t="shared" si="73"/>
        <v>valid</v>
      </c>
      <c r="AC659">
        <f t="shared" si="88"/>
        <v>0.2</v>
      </c>
      <c r="AD659">
        <f t="shared" si="89"/>
        <v>2033</v>
      </c>
      <c r="AE659">
        <f t="shared" si="90"/>
        <v>741.58999999999992</v>
      </c>
      <c r="AF659">
        <f t="shared" si="91"/>
        <v>0.36477619281849477</v>
      </c>
      <c r="AG659" t="str">
        <f t="shared" si="92"/>
        <v>July</v>
      </c>
      <c r="AH659">
        <f t="shared" si="93"/>
        <v>2025</v>
      </c>
      <c r="AI659" t="str">
        <f t="shared" si="94"/>
        <v>Clean</v>
      </c>
    </row>
    <row r="660" spans="1:35" ht="15.75" customHeight="1">
      <c r="A660" s="3" t="s">
        <v>3094</v>
      </c>
      <c r="B660" s="3" t="s">
        <v>3095</v>
      </c>
      <c r="C660" s="3" t="s">
        <v>2205</v>
      </c>
      <c r="D660" s="3" t="str">
        <f t="shared" si="68"/>
        <v>06-Dec-2025</v>
      </c>
      <c r="E660" s="3" t="str">
        <f t="shared" si="69"/>
        <v>09-Jun-2025</v>
      </c>
      <c r="F660" s="3">
        <f t="shared" si="70"/>
        <v>180</v>
      </c>
      <c r="G660" s="3" t="s">
        <v>3096</v>
      </c>
      <c r="H660" s="3" t="s">
        <v>176</v>
      </c>
      <c r="I660" s="3" t="s">
        <v>34</v>
      </c>
      <c r="J660" s="3" t="s">
        <v>280</v>
      </c>
      <c r="K660" s="3" t="s">
        <v>194</v>
      </c>
      <c r="L660" s="3" t="s">
        <v>195</v>
      </c>
      <c r="M660" s="3" t="s">
        <v>38</v>
      </c>
      <c r="N660" s="3" t="s">
        <v>62</v>
      </c>
      <c r="O660" s="3" t="s">
        <v>3097</v>
      </c>
      <c r="P660" s="3" t="s">
        <v>64</v>
      </c>
      <c r="Q660" s="3">
        <v>7</v>
      </c>
      <c r="R660" s="3">
        <v>2852.42</v>
      </c>
      <c r="S660" s="3">
        <v>0</v>
      </c>
      <c r="T660" s="3">
        <v>19966.939999999999</v>
      </c>
      <c r="U660" s="3">
        <v>12690.83</v>
      </c>
      <c r="V660" s="3">
        <v>7276.11</v>
      </c>
      <c r="W660" s="3" t="s">
        <v>132</v>
      </c>
      <c r="X660" s="3" t="s">
        <v>86</v>
      </c>
      <c r="Y660" s="2" t="str">
        <f t="shared" si="71"/>
        <v>Unique</v>
      </c>
      <c r="AA660" s="2" t="str">
        <f t="shared" si="72"/>
        <v>Clean</v>
      </c>
      <c r="AB660" s="2" t="str">
        <f t="shared" si="73"/>
        <v>valid</v>
      </c>
      <c r="AC660">
        <f t="shared" si="88"/>
        <v>0</v>
      </c>
      <c r="AD660">
        <f t="shared" si="89"/>
        <v>19966.940000000002</v>
      </c>
      <c r="AE660">
        <f t="shared" si="90"/>
        <v>7276.1100000000024</v>
      </c>
      <c r="AF660">
        <f t="shared" si="91"/>
        <v>0.36440786620283339</v>
      </c>
      <c r="AG660" t="str">
        <f t="shared" si="92"/>
        <v>June</v>
      </c>
      <c r="AH660">
        <f t="shared" si="93"/>
        <v>2025</v>
      </c>
      <c r="AI660" t="str">
        <f t="shared" si="94"/>
        <v>Warning</v>
      </c>
    </row>
    <row r="661" spans="1:35" ht="15.75" customHeight="1">
      <c r="A661" s="3" t="s">
        <v>3098</v>
      </c>
      <c r="B661" s="3" t="s">
        <v>191</v>
      </c>
      <c r="C661" s="3" t="s">
        <v>1834</v>
      </c>
      <c r="D661" s="3" t="str">
        <f t="shared" si="68"/>
        <v>22-Jan-2025</v>
      </c>
      <c r="E661" s="3" t="str">
        <f t="shared" si="69"/>
        <v>21-Jan-2025</v>
      </c>
      <c r="F661" s="3">
        <f t="shared" si="70"/>
        <v>1</v>
      </c>
      <c r="G661" s="3" t="s">
        <v>3099</v>
      </c>
      <c r="H661" s="3" t="s">
        <v>218</v>
      </c>
      <c r="I661" s="3" t="s">
        <v>116</v>
      </c>
      <c r="J661" s="3" t="s">
        <v>70</v>
      </c>
      <c r="K661" s="3" t="s">
        <v>237</v>
      </c>
      <c r="L661" s="3" t="s">
        <v>238</v>
      </c>
      <c r="M661" s="3" t="s">
        <v>94</v>
      </c>
      <c r="N661" s="3" t="s">
        <v>231</v>
      </c>
      <c r="O661" s="3" t="s">
        <v>3100</v>
      </c>
      <c r="P661" s="3" t="s">
        <v>41</v>
      </c>
      <c r="Q661" s="3">
        <v>2</v>
      </c>
      <c r="R661" s="3">
        <v>444.31</v>
      </c>
      <c r="S661" s="3">
        <v>0.2</v>
      </c>
      <c r="T661" s="3">
        <v>710.9</v>
      </c>
      <c r="U661" s="3">
        <v>513.88</v>
      </c>
      <c r="V661" s="3">
        <v>197.02</v>
      </c>
      <c r="W661" s="3" t="s">
        <v>132</v>
      </c>
      <c r="X661" s="3" t="s">
        <v>86</v>
      </c>
      <c r="Y661" s="2" t="str">
        <f t="shared" si="71"/>
        <v>Unique</v>
      </c>
      <c r="AA661" s="2" t="str">
        <f t="shared" si="72"/>
        <v>Clean</v>
      </c>
      <c r="AB661" s="2" t="str">
        <f t="shared" si="73"/>
        <v>valid</v>
      </c>
      <c r="AC661">
        <f t="shared" si="88"/>
        <v>0.2</v>
      </c>
      <c r="AD661">
        <f t="shared" si="89"/>
        <v>710.89600000000007</v>
      </c>
      <c r="AE661">
        <f t="shared" si="90"/>
        <v>197.01600000000008</v>
      </c>
      <c r="AF661">
        <f t="shared" si="91"/>
        <v>0.27713758411919615</v>
      </c>
      <c r="AG661" t="str">
        <f t="shared" si="92"/>
        <v>January</v>
      </c>
      <c r="AH661">
        <f t="shared" si="93"/>
        <v>2025</v>
      </c>
      <c r="AI661" t="str">
        <f t="shared" si="94"/>
        <v>Warning</v>
      </c>
    </row>
    <row r="662" spans="1:35" ht="15.75" customHeight="1">
      <c r="A662" s="3" t="s">
        <v>3101</v>
      </c>
      <c r="B662" s="3" t="s">
        <v>179</v>
      </c>
      <c r="C662" s="3" t="s">
        <v>3102</v>
      </c>
      <c r="D662" s="3" t="str">
        <f t="shared" si="68"/>
        <v>15-Jul-2025</v>
      </c>
      <c r="E662" s="3" t="str">
        <f t="shared" si="69"/>
        <v>15-Jul-2025</v>
      </c>
      <c r="F662" s="3">
        <f t="shared" si="70"/>
        <v>0</v>
      </c>
      <c r="G662" s="3" t="s">
        <v>3103</v>
      </c>
      <c r="H662" s="3" t="s">
        <v>69</v>
      </c>
      <c r="I662" s="3" t="s">
        <v>49</v>
      </c>
      <c r="J662" s="3" t="s">
        <v>50</v>
      </c>
      <c r="K662" s="3" t="s">
        <v>319</v>
      </c>
      <c r="L662" s="3" t="s">
        <v>320</v>
      </c>
      <c r="M662" s="3" t="s">
        <v>94</v>
      </c>
      <c r="N662" s="3" t="s">
        <v>231</v>
      </c>
      <c r="O662" s="3" t="s">
        <v>3104</v>
      </c>
      <c r="P662" s="3" t="s">
        <v>56</v>
      </c>
      <c r="Q662" s="3">
        <v>4</v>
      </c>
      <c r="R662" s="3">
        <v>4442.91</v>
      </c>
      <c r="S662" s="3">
        <v>0.1</v>
      </c>
      <c r="T662" s="3">
        <v>15994.48</v>
      </c>
      <c r="U662" s="3">
        <v>9224.2800000000007</v>
      </c>
      <c r="V662" s="3">
        <v>6770.2</v>
      </c>
      <c r="W662" s="3" t="s">
        <v>42</v>
      </c>
      <c r="X662" s="3" t="s">
        <v>43</v>
      </c>
      <c r="Y662" s="2" t="str">
        <f t="shared" si="71"/>
        <v>Unique</v>
      </c>
      <c r="AA662" s="2" t="str">
        <f t="shared" si="72"/>
        <v>Clean</v>
      </c>
      <c r="AB662" s="2" t="str">
        <f t="shared" si="73"/>
        <v>valid</v>
      </c>
      <c r="AC662">
        <f t="shared" si="88"/>
        <v>0.1</v>
      </c>
      <c r="AD662">
        <f t="shared" si="89"/>
        <v>15994.476000000001</v>
      </c>
      <c r="AE662">
        <f t="shared" si="90"/>
        <v>6770.1959999999999</v>
      </c>
      <c r="AF662">
        <f t="shared" si="91"/>
        <v>0.42328338858991066</v>
      </c>
      <c r="AG662" t="str">
        <f t="shared" si="92"/>
        <v>July</v>
      </c>
      <c r="AH662">
        <f t="shared" si="93"/>
        <v>2025</v>
      </c>
      <c r="AI662" t="str">
        <f t="shared" si="94"/>
        <v>Clean</v>
      </c>
    </row>
    <row r="663" spans="1:35" ht="15.75" customHeight="1">
      <c r="A663" s="3" t="s">
        <v>3105</v>
      </c>
      <c r="B663" s="3" t="s">
        <v>3106</v>
      </c>
      <c r="C663" s="3" t="s">
        <v>3107</v>
      </c>
      <c r="D663" s="3" t="str">
        <f t="shared" si="68"/>
        <v>22-May-2024</v>
      </c>
      <c r="E663" s="3" t="str">
        <f t="shared" si="69"/>
        <v>17-May-2024</v>
      </c>
      <c r="F663" s="3">
        <f t="shared" si="70"/>
        <v>5</v>
      </c>
      <c r="G663" s="3" t="s">
        <v>3108</v>
      </c>
      <c r="H663" s="3" t="s">
        <v>176</v>
      </c>
      <c r="I663" s="3" t="s">
        <v>34</v>
      </c>
      <c r="J663" s="3" t="s">
        <v>70</v>
      </c>
      <c r="K663" s="3" t="s">
        <v>108</v>
      </c>
      <c r="L663" s="3" t="s">
        <v>109</v>
      </c>
      <c r="M663" s="3" t="s">
        <v>94</v>
      </c>
      <c r="N663" s="3" t="s">
        <v>391</v>
      </c>
      <c r="O663" s="3" t="s">
        <v>3109</v>
      </c>
      <c r="P663" s="3" t="s">
        <v>41</v>
      </c>
      <c r="Q663" s="3">
        <v>7</v>
      </c>
      <c r="R663" s="3">
        <v>232.5</v>
      </c>
      <c r="S663" s="3">
        <v>0</v>
      </c>
      <c r="T663" s="3">
        <v>1627.5</v>
      </c>
      <c r="U663" s="3">
        <v>939.9</v>
      </c>
      <c r="V663" s="3">
        <v>687.6</v>
      </c>
      <c r="W663" s="3" t="s">
        <v>42</v>
      </c>
      <c r="X663" s="3" t="s">
        <v>43</v>
      </c>
      <c r="Y663" s="2" t="str">
        <f t="shared" si="71"/>
        <v>Unique</v>
      </c>
      <c r="AA663" s="2" t="str">
        <f t="shared" si="72"/>
        <v>Clean</v>
      </c>
      <c r="AB663" s="2" t="str">
        <f t="shared" si="73"/>
        <v>valid</v>
      </c>
      <c r="AC663">
        <f t="shared" si="88"/>
        <v>0</v>
      </c>
      <c r="AD663">
        <f t="shared" si="89"/>
        <v>1627.5</v>
      </c>
      <c r="AE663">
        <f t="shared" si="90"/>
        <v>687.6</v>
      </c>
      <c r="AF663">
        <f t="shared" si="91"/>
        <v>0.4224884792626728</v>
      </c>
      <c r="AG663" t="str">
        <f t="shared" si="92"/>
        <v>May</v>
      </c>
      <c r="AH663">
        <f t="shared" si="93"/>
        <v>2024</v>
      </c>
      <c r="AI663" t="str">
        <f t="shared" si="94"/>
        <v>Clean</v>
      </c>
    </row>
    <row r="664" spans="1:35" ht="15.75" customHeight="1">
      <c r="A664" s="3" t="s">
        <v>3110</v>
      </c>
      <c r="B664" s="3" t="s">
        <v>3111</v>
      </c>
      <c r="C664" s="3" t="s">
        <v>3112</v>
      </c>
      <c r="D664" s="3" t="str">
        <f t="shared" si="68"/>
        <v>18-Jan-2024</v>
      </c>
      <c r="E664" s="3" t="str">
        <f t="shared" si="69"/>
        <v>14-Jan-2024</v>
      </c>
      <c r="F664" s="3">
        <f t="shared" si="70"/>
        <v>4</v>
      </c>
      <c r="G664" s="3" t="s">
        <v>3113</v>
      </c>
      <c r="H664" s="3" t="s">
        <v>48</v>
      </c>
      <c r="I664" s="3" t="s">
        <v>123</v>
      </c>
      <c r="J664" s="3" t="s">
        <v>81</v>
      </c>
      <c r="K664" s="3" t="s">
        <v>36</v>
      </c>
      <c r="L664" s="3" t="s">
        <v>143</v>
      </c>
      <c r="M664" s="3" t="s">
        <v>94</v>
      </c>
      <c r="N664" s="3" t="s">
        <v>391</v>
      </c>
      <c r="O664" s="3" t="s">
        <v>3114</v>
      </c>
      <c r="P664" s="3" t="s">
        <v>56</v>
      </c>
      <c r="Q664" s="3">
        <v>6</v>
      </c>
      <c r="R664" s="3">
        <v>1784.8</v>
      </c>
      <c r="S664" s="3">
        <v>0.1</v>
      </c>
      <c r="T664" s="3">
        <v>9637.92</v>
      </c>
      <c r="U664" s="3">
        <v>7329.29</v>
      </c>
      <c r="V664" s="3">
        <v>2308.63</v>
      </c>
      <c r="W664" s="3" t="s">
        <v>42</v>
      </c>
      <c r="X664" s="3" t="s">
        <v>43</v>
      </c>
      <c r="Y664" s="2" t="str">
        <f t="shared" si="71"/>
        <v>Unique</v>
      </c>
      <c r="AA664" s="2" t="str">
        <f t="shared" si="72"/>
        <v>Clean</v>
      </c>
      <c r="AB664" s="2" t="str">
        <f t="shared" si="73"/>
        <v>valid</v>
      </c>
      <c r="AC664">
        <f t="shared" si="88"/>
        <v>0.1</v>
      </c>
      <c r="AD664">
        <f t="shared" si="89"/>
        <v>9637.92</v>
      </c>
      <c r="AE664">
        <f t="shared" si="90"/>
        <v>2308.63</v>
      </c>
      <c r="AF664">
        <f t="shared" si="91"/>
        <v>0.2395361239769577</v>
      </c>
      <c r="AG664" t="str">
        <f t="shared" si="92"/>
        <v>January</v>
      </c>
      <c r="AH664">
        <f t="shared" si="93"/>
        <v>2024</v>
      </c>
      <c r="AI664" t="str">
        <f t="shared" si="94"/>
        <v>Clean</v>
      </c>
    </row>
    <row r="665" spans="1:35" ht="15.75" customHeight="1">
      <c r="A665" s="3" t="s">
        <v>3115</v>
      </c>
      <c r="B665" s="3" t="s">
        <v>1226</v>
      </c>
      <c r="C665" s="3" t="s">
        <v>2670</v>
      </c>
      <c r="D665" s="3" t="str">
        <f t="shared" si="68"/>
        <v>08-May-2024</v>
      </c>
      <c r="E665" s="3" t="str">
        <f t="shared" si="69"/>
        <v>05-Feb-2024</v>
      </c>
      <c r="F665" s="3">
        <f t="shared" si="70"/>
        <v>93</v>
      </c>
      <c r="G665" s="3" t="s">
        <v>3116</v>
      </c>
      <c r="H665" s="3" t="s">
        <v>156</v>
      </c>
      <c r="I665" s="3" t="s">
        <v>123</v>
      </c>
      <c r="J665" s="3" t="s">
        <v>50</v>
      </c>
      <c r="K665" s="3" t="s">
        <v>319</v>
      </c>
      <c r="L665" s="3" t="s">
        <v>320</v>
      </c>
      <c r="M665" s="3" t="s">
        <v>94</v>
      </c>
      <c r="N665" s="3" t="s">
        <v>102</v>
      </c>
      <c r="O665" s="3" t="s">
        <v>3117</v>
      </c>
      <c r="P665" s="3" t="s">
        <v>41</v>
      </c>
      <c r="Q665" s="3">
        <v>2</v>
      </c>
      <c r="R665" s="3">
        <v>3185.01</v>
      </c>
      <c r="S665" s="3">
        <v>-0.24</v>
      </c>
      <c r="T665" s="3">
        <v>4777.5200000000004</v>
      </c>
      <c r="U665" s="3">
        <v>3152.98</v>
      </c>
      <c r="V665" s="3">
        <v>1624.54</v>
      </c>
      <c r="W665" s="3" t="s">
        <v>42</v>
      </c>
      <c r="X665" s="3" t="s">
        <v>43</v>
      </c>
      <c r="Y665" s="2" t="str">
        <f t="shared" si="71"/>
        <v>Unique</v>
      </c>
      <c r="AA665" s="2" t="str">
        <f t="shared" si="72"/>
        <v>Invalid</v>
      </c>
      <c r="AB665" s="2" t="str">
        <f t="shared" si="73"/>
        <v>valid</v>
      </c>
      <c r="AC665">
        <f t="shared" si="88"/>
        <v>-0.24</v>
      </c>
      <c r="AD665">
        <f t="shared" si="89"/>
        <v>7898.8248000000003</v>
      </c>
      <c r="AE665">
        <f t="shared" si="90"/>
        <v>4745.8448000000008</v>
      </c>
      <c r="AF665">
        <f t="shared" si="91"/>
        <v>0.60082922715287979</v>
      </c>
      <c r="AG665" t="str">
        <f t="shared" si="92"/>
        <v>February</v>
      </c>
      <c r="AH665">
        <f t="shared" si="93"/>
        <v>2024</v>
      </c>
      <c r="AI665" t="str">
        <f t="shared" si="94"/>
        <v>Invalid</v>
      </c>
    </row>
    <row r="666" spans="1:35" ht="15.75" customHeight="1">
      <c r="A666" s="3" t="s">
        <v>3118</v>
      </c>
      <c r="B666" s="3" t="s">
        <v>3119</v>
      </c>
      <c r="C666" s="3" t="s">
        <v>3120</v>
      </c>
      <c r="D666" s="3" t="str">
        <f t="shared" si="68"/>
        <v>10-Dec-2024</v>
      </c>
      <c r="E666" s="3" t="str">
        <f t="shared" si="69"/>
        <v>07-Dec-2024</v>
      </c>
      <c r="F666" s="3">
        <f t="shared" si="70"/>
        <v>3</v>
      </c>
      <c r="G666" s="3" t="s">
        <v>3121</v>
      </c>
      <c r="H666" s="3" t="s">
        <v>48</v>
      </c>
      <c r="I666" s="3" t="s">
        <v>123</v>
      </c>
      <c r="J666" s="3" t="s">
        <v>70</v>
      </c>
      <c r="K666" s="3" t="s">
        <v>71</v>
      </c>
      <c r="L666" s="3" t="s">
        <v>72</v>
      </c>
      <c r="M666" s="3" t="s">
        <v>94</v>
      </c>
      <c r="N666" s="3" t="s">
        <v>95</v>
      </c>
      <c r="O666" s="3" t="s">
        <v>3122</v>
      </c>
      <c r="P666" s="3" t="s">
        <v>75</v>
      </c>
      <c r="Q666" s="3">
        <v>1</v>
      </c>
      <c r="R666" s="3">
        <v>1908.83</v>
      </c>
      <c r="S666" s="3">
        <v>0.2</v>
      </c>
      <c r="T666" s="3">
        <v>1527.06</v>
      </c>
      <c r="U666" s="3">
        <v>1055.8900000000001</v>
      </c>
      <c r="V666" s="3">
        <v>471.17</v>
      </c>
      <c r="W666" s="3" t="s">
        <v>42</v>
      </c>
      <c r="X666" s="3" t="s">
        <v>43</v>
      </c>
      <c r="Y666" s="2" t="str">
        <f t="shared" si="71"/>
        <v>Unique</v>
      </c>
      <c r="AA666" s="2" t="str">
        <f t="shared" si="72"/>
        <v>Clean</v>
      </c>
      <c r="AB666" s="2" t="str">
        <f t="shared" si="73"/>
        <v>valid</v>
      </c>
      <c r="AC666">
        <f t="shared" si="88"/>
        <v>0.2</v>
      </c>
      <c r="AD666">
        <f t="shared" si="89"/>
        <v>1527.0640000000001</v>
      </c>
      <c r="AE666">
        <f t="shared" si="90"/>
        <v>471.17399999999998</v>
      </c>
      <c r="AF666">
        <f t="shared" si="91"/>
        <v>0.30854895407134209</v>
      </c>
      <c r="AG666" t="str">
        <f t="shared" si="92"/>
        <v>December</v>
      </c>
      <c r="AH666">
        <f t="shared" si="93"/>
        <v>2024</v>
      </c>
      <c r="AI666" t="str">
        <f t="shared" si="94"/>
        <v>Clean</v>
      </c>
    </row>
    <row r="667" spans="1:35" ht="15.75" customHeight="1">
      <c r="A667" s="3" t="s">
        <v>3123</v>
      </c>
      <c r="B667" s="3" t="s">
        <v>3124</v>
      </c>
      <c r="C667" s="3" t="s">
        <v>3125</v>
      </c>
      <c r="D667" s="3" t="str">
        <f t="shared" si="68"/>
        <v>13-Jan-2025</v>
      </c>
      <c r="E667" s="3" t="str">
        <f t="shared" si="69"/>
        <v>13-Jan-2025</v>
      </c>
      <c r="F667" s="3">
        <f t="shared" si="70"/>
        <v>0</v>
      </c>
      <c r="G667" s="3" t="s">
        <v>3126</v>
      </c>
      <c r="H667" s="3" t="s">
        <v>3127</v>
      </c>
      <c r="I667" s="3" t="s">
        <v>123</v>
      </c>
      <c r="J667" s="3" t="s">
        <v>81</v>
      </c>
      <c r="K667" s="3" t="s">
        <v>243</v>
      </c>
      <c r="L667" s="3" t="s">
        <v>244</v>
      </c>
      <c r="M667" s="3" t="s">
        <v>38</v>
      </c>
      <c r="N667" s="3" t="s">
        <v>62</v>
      </c>
      <c r="O667" s="3" t="s">
        <v>3128</v>
      </c>
      <c r="P667" s="3" t="s">
        <v>75</v>
      </c>
      <c r="Q667" s="3">
        <v>3</v>
      </c>
      <c r="R667" s="3">
        <v>2110.52</v>
      </c>
      <c r="S667" s="3">
        <v>0.1</v>
      </c>
      <c r="T667" s="3">
        <v>5698.4</v>
      </c>
      <c r="U667" s="3">
        <v>3640.89</v>
      </c>
      <c r="V667" s="3">
        <v>2057.5100000000002</v>
      </c>
      <c r="W667" s="3" t="s">
        <v>208</v>
      </c>
      <c r="X667" s="3" t="s">
        <v>86</v>
      </c>
      <c r="Y667" s="2" t="str">
        <f t="shared" si="71"/>
        <v>Unique</v>
      </c>
      <c r="AA667" s="2" t="str">
        <f t="shared" si="72"/>
        <v>Clean</v>
      </c>
      <c r="AB667" s="2" t="str">
        <f t="shared" si="73"/>
        <v>valid</v>
      </c>
      <c r="AC667">
        <f t="shared" si="88"/>
        <v>0.1</v>
      </c>
      <c r="AD667">
        <f t="shared" si="89"/>
        <v>5698.4039999999995</v>
      </c>
      <c r="AE667">
        <f t="shared" si="90"/>
        <v>2057.5139999999997</v>
      </c>
      <c r="AF667">
        <f t="shared" si="91"/>
        <v>0.36106846759197836</v>
      </c>
      <c r="AG667" t="str">
        <f t="shared" si="92"/>
        <v>January</v>
      </c>
      <c r="AH667">
        <f t="shared" si="93"/>
        <v>2025</v>
      </c>
      <c r="AI667" t="str">
        <f t="shared" si="94"/>
        <v>Warning</v>
      </c>
    </row>
    <row r="668" spans="1:35" ht="15.75" customHeight="1">
      <c r="A668" s="3" t="s">
        <v>3129</v>
      </c>
      <c r="B668" s="3" t="s">
        <v>2144</v>
      </c>
      <c r="C668" s="3" t="s">
        <v>2086</v>
      </c>
      <c r="D668" s="3" t="str">
        <f t="shared" si="68"/>
        <v>26-Jun-2024</v>
      </c>
      <c r="E668" s="3" t="str">
        <f t="shared" si="69"/>
        <v>21-Jun-2024</v>
      </c>
      <c r="F668" s="3">
        <f t="shared" si="70"/>
        <v>5</v>
      </c>
      <c r="G668" s="3" t="s">
        <v>3130</v>
      </c>
      <c r="H668" s="3" t="s">
        <v>188</v>
      </c>
      <c r="I668" s="3" t="s">
        <v>49</v>
      </c>
      <c r="J668" s="3" t="s">
        <v>35</v>
      </c>
      <c r="K668" s="3" t="s">
        <v>162</v>
      </c>
      <c r="L668" s="3" t="s">
        <v>163</v>
      </c>
      <c r="M668" s="3" t="s">
        <v>94</v>
      </c>
      <c r="N668" s="3" t="s">
        <v>102</v>
      </c>
      <c r="O668" s="3" t="s">
        <v>3131</v>
      </c>
      <c r="P668" s="3" t="s">
        <v>56</v>
      </c>
      <c r="Q668" s="3">
        <v>1</v>
      </c>
      <c r="R668" s="3">
        <v>279.83</v>
      </c>
      <c r="S668" s="3">
        <v>0.05</v>
      </c>
      <c r="T668" s="3">
        <v>265.83999999999997</v>
      </c>
      <c r="U668" s="3">
        <v>223.49</v>
      </c>
      <c r="V668" s="3">
        <v>42.35</v>
      </c>
      <c r="W668" s="3" t="s">
        <v>42</v>
      </c>
      <c r="X668" s="3" t="s">
        <v>43</v>
      </c>
      <c r="Y668" s="2" t="str">
        <f t="shared" si="71"/>
        <v>Unique</v>
      </c>
      <c r="AA668" s="2" t="str">
        <f t="shared" si="72"/>
        <v>Clean</v>
      </c>
      <c r="AB668" s="2" t="str">
        <f t="shared" si="73"/>
        <v>valid</v>
      </c>
      <c r="AC668">
        <f t="shared" si="88"/>
        <v>0.05</v>
      </c>
      <c r="AD668">
        <f t="shared" si="89"/>
        <v>265.83849999999995</v>
      </c>
      <c r="AE668">
        <f t="shared" si="90"/>
        <v>42.348499999999945</v>
      </c>
      <c r="AF668">
        <f t="shared" si="91"/>
        <v>0.15930160605028976</v>
      </c>
      <c r="AG668" t="str">
        <f t="shared" si="92"/>
        <v>June</v>
      </c>
      <c r="AH668">
        <f t="shared" si="93"/>
        <v>2024</v>
      </c>
      <c r="AI668" t="str">
        <f t="shared" si="94"/>
        <v>Clean</v>
      </c>
    </row>
    <row r="669" spans="1:35" ht="15.75" customHeight="1">
      <c r="A669" s="3" t="s">
        <v>3132</v>
      </c>
      <c r="B669" s="3" t="s">
        <v>3133</v>
      </c>
      <c r="C669" s="3" t="s">
        <v>3134</v>
      </c>
      <c r="D669" s="3" t="str">
        <f t="shared" si="68"/>
        <v>27-May-2025</v>
      </c>
      <c r="E669" s="3" t="str">
        <f t="shared" si="69"/>
        <v>20-May-2025</v>
      </c>
      <c r="F669" s="3">
        <f t="shared" si="70"/>
        <v>7</v>
      </c>
      <c r="G669" s="3" t="s">
        <v>3135</v>
      </c>
      <c r="H669" s="3" t="s">
        <v>218</v>
      </c>
      <c r="I669" s="3" t="s">
        <v>49</v>
      </c>
      <c r="J669" s="3" t="s">
        <v>50</v>
      </c>
      <c r="K669" s="3" t="s">
        <v>194</v>
      </c>
      <c r="L669" s="3" t="s">
        <v>195</v>
      </c>
      <c r="M669" s="3" t="s">
        <v>94</v>
      </c>
      <c r="N669" s="3" t="s">
        <v>391</v>
      </c>
      <c r="O669" s="3" t="s">
        <v>3136</v>
      </c>
      <c r="P669" s="3" t="s">
        <v>75</v>
      </c>
      <c r="Q669" s="3">
        <v>1</v>
      </c>
      <c r="R669" s="3">
        <v>3959.14</v>
      </c>
      <c r="S669" s="3">
        <v>0</v>
      </c>
      <c r="T669" s="3">
        <v>3959.14</v>
      </c>
      <c r="U669" s="3">
        <v>3239.53</v>
      </c>
      <c r="V669" s="3">
        <v>719.61</v>
      </c>
      <c r="W669" s="3" t="s">
        <v>145</v>
      </c>
      <c r="X669" s="3" t="s">
        <v>133</v>
      </c>
      <c r="Y669" s="2" t="str">
        <f t="shared" si="71"/>
        <v>Unique</v>
      </c>
      <c r="AA669" s="2" t="str">
        <f t="shared" si="72"/>
        <v>Clean</v>
      </c>
      <c r="AB669" s="2" t="str">
        <f t="shared" si="73"/>
        <v>valid</v>
      </c>
      <c r="AC669">
        <f t="shared" si="88"/>
        <v>0</v>
      </c>
      <c r="AD669">
        <f t="shared" si="89"/>
        <v>3959.14</v>
      </c>
      <c r="AE669">
        <f t="shared" si="90"/>
        <v>719.60999999999967</v>
      </c>
      <c r="AF669">
        <f t="shared" si="91"/>
        <v>0.18175916992074029</v>
      </c>
      <c r="AG669" t="str">
        <f t="shared" si="92"/>
        <v>May</v>
      </c>
      <c r="AH669">
        <f t="shared" si="93"/>
        <v>2025</v>
      </c>
      <c r="AI669" t="str">
        <f t="shared" si="94"/>
        <v>Clean</v>
      </c>
    </row>
    <row r="670" spans="1:35" ht="15.75" customHeight="1">
      <c r="A670" s="3" t="s">
        <v>3137</v>
      </c>
      <c r="B670" s="3" t="s">
        <v>3138</v>
      </c>
      <c r="C670" s="3" t="s">
        <v>229</v>
      </c>
      <c r="D670" s="3" t="str">
        <f t="shared" si="68"/>
        <v>23-Nov-2024</v>
      </c>
      <c r="E670" s="3" t="str">
        <f t="shared" si="69"/>
        <v>21-Nov-2024</v>
      </c>
      <c r="F670" s="3">
        <f t="shared" si="70"/>
        <v>2</v>
      </c>
      <c r="G670" s="3" t="s">
        <v>3139</v>
      </c>
      <c r="H670" s="3" t="s">
        <v>48</v>
      </c>
      <c r="I670" s="3" t="s">
        <v>116</v>
      </c>
      <c r="J670" s="3" t="s">
        <v>81</v>
      </c>
      <c r="K670" s="3" t="s">
        <v>243</v>
      </c>
      <c r="L670" s="3" t="s">
        <v>244</v>
      </c>
      <c r="M670" s="3" t="s">
        <v>38</v>
      </c>
      <c r="N670" s="3" t="s">
        <v>39</v>
      </c>
      <c r="O670" s="3" t="s">
        <v>3140</v>
      </c>
      <c r="P670" s="3" t="s">
        <v>41</v>
      </c>
      <c r="Q670" s="3">
        <v>5</v>
      </c>
      <c r="R670" s="3">
        <v>600.46</v>
      </c>
      <c r="S670" s="3">
        <v>0.2</v>
      </c>
      <c r="T670" s="3">
        <v>2401.84</v>
      </c>
      <c r="U670" s="3">
        <v>1873.11</v>
      </c>
      <c r="V670" s="3">
        <v>528.73</v>
      </c>
      <c r="W670" s="3" t="s">
        <v>42</v>
      </c>
      <c r="X670" s="3" t="s">
        <v>43</v>
      </c>
      <c r="Y670" s="2" t="str">
        <f t="shared" si="71"/>
        <v>Unique</v>
      </c>
      <c r="AA670" s="2" t="str">
        <f t="shared" si="72"/>
        <v>Clean</v>
      </c>
      <c r="AB670" s="2" t="str">
        <f t="shared" si="73"/>
        <v>valid</v>
      </c>
      <c r="AC670">
        <f t="shared" si="88"/>
        <v>0.2</v>
      </c>
      <c r="AD670">
        <f t="shared" si="89"/>
        <v>2401.84</v>
      </c>
      <c r="AE670">
        <f t="shared" si="90"/>
        <v>528.73000000000025</v>
      </c>
      <c r="AF670">
        <f t="shared" si="91"/>
        <v>0.22013539619624964</v>
      </c>
      <c r="AG670" t="str">
        <f t="shared" si="92"/>
        <v>November</v>
      </c>
      <c r="AH670">
        <f t="shared" si="93"/>
        <v>2024</v>
      </c>
      <c r="AI670" t="str">
        <f t="shared" si="94"/>
        <v>Clean</v>
      </c>
    </row>
    <row r="671" spans="1:35" ht="15.75" customHeight="1">
      <c r="A671" s="3" t="s">
        <v>3141</v>
      </c>
      <c r="B671" s="3" t="s">
        <v>3142</v>
      </c>
      <c r="C671" s="3" t="s">
        <v>3143</v>
      </c>
      <c r="D671" s="3" t="str">
        <f t="shared" si="68"/>
        <v>01-Apr-2024</v>
      </c>
      <c r="E671" s="3" t="str">
        <f t="shared" si="69"/>
        <v>24-Mar-2024</v>
      </c>
      <c r="F671" s="3">
        <f t="shared" si="70"/>
        <v>8</v>
      </c>
      <c r="G671" s="3" t="s">
        <v>3144</v>
      </c>
      <c r="H671" s="3" t="s">
        <v>80</v>
      </c>
      <c r="I671" s="3" t="s">
        <v>123</v>
      </c>
      <c r="J671" s="3" t="s">
        <v>81</v>
      </c>
      <c r="K671" s="3" t="s">
        <v>82</v>
      </c>
      <c r="L671" s="3" t="s">
        <v>83</v>
      </c>
      <c r="M671" s="3" t="s">
        <v>53</v>
      </c>
      <c r="N671" s="3" t="s">
        <v>54</v>
      </c>
      <c r="O671" s="3" t="s">
        <v>3145</v>
      </c>
      <c r="P671" s="3" t="s">
        <v>41</v>
      </c>
      <c r="Q671" s="3">
        <v>4</v>
      </c>
      <c r="R671" s="3">
        <v>1700.72</v>
      </c>
      <c r="S671" s="3">
        <v>0.25</v>
      </c>
      <c r="T671" s="3">
        <v>5102.16</v>
      </c>
      <c r="U671" s="3">
        <v>3226.45</v>
      </c>
      <c r="V671" s="3">
        <v>1875.71</v>
      </c>
      <c r="W671" s="3" t="s">
        <v>42</v>
      </c>
      <c r="X671" s="3" t="s">
        <v>43</v>
      </c>
      <c r="Y671" s="2" t="str">
        <f t="shared" si="71"/>
        <v>Unique</v>
      </c>
      <c r="AA671" s="2" t="str">
        <f t="shared" si="72"/>
        <v>Clean</v>
      </c>
      <c r="AB671" s="2" t="str">
        <f t="shared" si="73"/>
        <v>valid</v>
      </c>
      <c r="AC671">
        <f t="shared" si="88"/>
        <v>0.25</v>
      </c>
      <c r="AD671">
        <f t="shared" si="89"/>
        <v>5102.16</v>
      </c>
      <c r="AE671">
        <f t="shared" si="90"/>
        <v>1875.71</v>
      </c>
      <c r="AF671">
        <f t="shared" si="91"/>
        <v>0.36763057214983458</v>
      </c>
      <c r="AG671" t="str">
        <f t="shared" si="92"/>
        <v>March</v>
      </c>
      <c r="AH671">
        <f t="shared" si="93"/>
        <v>2024</v>
      </c>
      <c r="AI671" t="str">
        <f t="shared" si="94"/>
        <v>Clean</v>
      </c>
    </row>
    <row r="672" spans="1:35" ht="15.75" customHeight="1">
      <c r="A672" s="3" t="s">
        <v>3146</v>
      </c>
      <c r="B672" s="3" t="s">
        <v>3147</v>
      </c>
      <c r="C672" s="3" t="s">
        <v>2945</v>
      </c>
      <c r="D672" s="3" t="str">
        <f t="shared" si="68"/>
        <v>06-Feb-2025</v>
      </c>
      <c r="E672" s="3" t="str">
        <f t="shared" si="69"/>
        <v>02-Feb-2025</v>
      </c>
      <c r="F672" s="3">
        <f t="shared" si="70"/>
        <v>4</v>
      </c>
      <c r="G672" s="3" t="s">
        <v>2421</v>
      </c>
      <c r="H672" s="3" t="s">
        <v>176</v>
      </c>
      <c r="I672" s="3" t="s">
        <v>116</v>
      </c>
      <c r="J672" s="3" t="s">
        <v>35</v>
      </c>
      <c r="K672" s="3" t="s">
        <v>182</v>
      </c>
      <c r="L672" s="3" t="s">
        <v>183</v>
      </c>
      <c r="M672" s="3" t="s">
        <v>53</v>
      </c>
      <c r="N672" s="3" t="s">
        <v>54</v>
      </c>
      <c r="O672" s="3" t="s">
        <v>3148</v>
      </c>
      <c r="P672" s="3" t="s">
        <v>75</v>
      </c>
      <c r="Q672" s="3">
        <v>8</v>
      </c>
      <c r="R672" s="3">
        <v>857.86</v>
      </c>
      <c r="S672" s="3">
        <v>0.1</v>
      </c>
      <c r="T672" s="3">
        <v>6176.59</v>
      </c>
      <c r="U672" s="3">
        <v>3560.96</v>
      </c>
      <c r="V672" s="3">
        <v>2615.63</v>
      </c>
      <c r="W672" s="3" t="s">
        <v>42</v>
      </c>
      <c r="X672" s="3" t="s">
        <v>43</v>
      </c>
      <c r="Y672" s="2" t="str">
        <f t="shared" si="71"/>
        <v>Unique</v>
      </c>
      <c r="AA672" s="2" t="str">
        <f t="shared" si="72"/>
        <v>Clean</v>
      </c>
      <c r="AB672" s="2" t="str">
        <f t="shared" si="73"/>
        <v>valid</v>
      </c>
      <c r="AC672">
        <f t="shared" si="88"/>
        <v>0.1</v>
      </c>
      <c r="AD672">
        <f t="shared" si="89"/>
        <v>6176.5920000000006</v>
      </c>
      <c r="AE672">
        <f t="shared" si="90"/>
        <v>2615.6320000000005</v>
      </c>
      <c r="AF672">
        <f t="shared" si="91"/>
        <v>0.42347495188285067</v>
      </c>
      <c r="AG672" t="str">
        <f t="shared" si="92"/>
        <v>February</v>
      </c>
      <c r="AH672">
        <f t="shared" si="93"/>
        <v>2025</v>
      </c>
      <c r="AI672" t="str">
        <f t="shared" si="94"/>
        <v>Clean</v>
      </c>
    </row>
    <row r="673" spans="1:35" ht="15.75" customHeight="1">
      <c r="A673" s="3" t="s">
        <v>3149</v>
      </c>
      <c r="B673" s="3" t="s">
        <v>3150</v>
      </c>
      <c r="C673" s="3" t="s">
        <v>3151</v>
      </c>
      <c r="D673" s="3" t="str">
        <f t="shared" si="68"/>
        <v>27-Mar-2024</v>
      </c>
      <c r="E673" s="3" t="str">
        <f t="shared" si="69"/>
        <v>22-Mar-2024</v>
      </c>
      <c r="F673" s="3">
        <f t="shared" si="70"/>
        <v>5</v>
      </c>
      <c r="G673" s="3" t="s">
        <v>3152</v>
      </c>
      <c r="H673" s="3" t="s">
        <v>115</v>
      </c>
      <c r="I673" s="3" t="s">
        <v>123</v>
      </c>
      <c r="J673" s="3" t="s">
        <v>81</v>
      </c>
      <c r="K673" s="3" t="s">
        <v>257</v>
      </c>
      <c r="L673" s="3" t="s">
        <v>258</v>
      </c>
      <c r="M673" s="3" t="s">
        <v>94</v>
      </c>
      <c r="N673" s="3" t="s">
        <v>102</v>
      </c>
      <c r="O673" s="3" t="s">
        <v>3153</v>
      </c>
      <c r="P673" s="3" t="s">
        <v>41</v>
      </c>
      <c r="Q673" s="3">
        <v>9</v>
      </c>
      <c r="R673" s="3">
        <v>3649.51</v>
      </c>
      <c r="S673" s="3">
        <v>0.05</v>
      </c>
      <c r="T673" s="3">
        <v>31203.31</v>
      </c>
      <c r="U673" s="3">
        <v>17738.13</v>
      </c>
      <c r="V673" s="3">
        <v>13465.18</v>
      </c>
      <c r="W673" s="3" t="s">
        <v>42</v>
      </c>
      <c r="X673" s="3" t="s">
        <v>43</v>
      </c>
      <c r="Y673" s="2" t="str">
        <f t="shared" si="71"/>
        <v>Unique</v>
      </c>
      <c r="AA673" s="2" t="str">
        <f t="shared" si="72"/>
        <v>Clean</v>
      </c>
      <c r="AB673" s="2" t="str">
        <f t="shared" si="73"/>
        <v>valid</v>
      </c>
      <c r="AC673">
        <f t="shared" si="88"/>
        <v>0.05</v>
      </c>
      <c r="AD673">
        <f t="shared" si="89"/>
        <v>31203.310500000003</v>
      </c>
      <c r="AE673">
        <f t="shared" si="90"/>
        <v>13465.180500000002</v>
      </c>
      <c r="AF673">
        <f t="shared" si="91"/>
        <v>0.43153051020019179</v>
      </c>
      <c r="AG673" t="str">
        <f t="shared" si="92"/>
        <v>March</v>
      </c>
      <c r="AH673">
        <f t="shared" si="93"/>
        <v>2024</v>
      </c>
      <c r="AI673" t="str">
        <f t="shared" si="94"/>
        <v>Clean</v>
      </c>
    </row>
    <row r="674" spans="1:35" ht="15.75" customHeight="1">
      <c r="A674" s="3" t="s">
        <v>3154</v>
      </c>
      <c r="B674" s="3" t="s">
        <v>3155</v>
      </c>
      <c r="C674" s="3" t="s">
        <v>3156</v>
      </c>
      <c r="D674" s="3" t="str">
        <f t="shared" si="68"/>
        <v>05-Sep-2024</v>
      </c>
      <c r="E674" s="3" t="str">
        <f t="shared" si="69"/>
        <v>04-Sep-2024</v>
      </c>
      <c r="F674" s="3">
        <f t="shared" si="70"/>
        <v>1</v>
      </c>
      <c r="G674" s="3" t="s">
        <v>3157</v>
      </c>
      <c r="H674" s="3" t="s">
        <v>115</v>
      </c>
      <c r="I674" s="3" t="s">
        <v>116</v>
      </c>
      <c r="J674" s="3" t="s">
        <v>81</v>
      </c>
      <c r="K674" s="3" t="s">
        <v>92</v>
      </c>
      <c r="L674" s="3" t="s">
        <v>93</v>
      </c>
      <c r="M674" s="3" t="s">
        <v>53</v>
      </c>
      <c r="N674" s="3" t="s">
        <v>84</v>
      </c>
      <c r="O674" s="3" t="s">
        <v>3158</v>
      </c>
      <c r="P674" s="3" t="s">
        <v>75</v>
      </c>
      <c r="Q674" s="3">
        <v>5</v>
      </c>
      <c r="R674" s="3">
        <v>2528.5300000000002</v>
      </c>
      <c r="S674" s="3">
        <v>0.05</v>
      </c>
      <c r="T674" s="3">
        <v>12010.52</v>
      </c>
      <c r="U674" s="3">
        <v>7864.61</v>
      </c>
      <c r="V674" s="3">
        <v>4145.91</v>
      </c>
      <c r="W674" s="3" t="s">
        <v>42</v>
      </c>
      <c r="X674" s="3" t="s">
        <v>133</v>
      </c>
      <c r="Y674" s="2" t="str">
        <f t="shared" si="71"/>
        <v>Unique</v>
      </c>
      <c r="AA674" s="2" t="str">
        <f t="shared" si="72"/>
        <v>Clean</v>
      </c>
      <c r="AB674" s="2" t="str">
        <f t="shared" si="73"/>
        <v>valid</v>
      </c>
      <c r="AC674">
        <f t="shared" si="88"/>
        <v>0.05</v>
      </c>
      <c r="AD674">
        <f t="shared" si="89"/>
        <v>12010.5175</v>
      </c>
      <c r="AE674">
        <f t="shared" si="90"/>
        <v>4145.9075000000003</v>
      </c>
      <c r="AF674">
        <f t="shared" si="91"/>
        <v>0.34518974723612039</v>
      </c>
      <c r="AG674" t="str">
        <f t="shared" si="92"/>
        <v>September</v>
      </c>
      <c r="AH674">
        <f t="shared" si="93"/>
        <v>2024</v>
      </c>
      <c r="AI674" t="str">
        <f t="shared" si="94"/>
        <v>Clean</v>
      </c>
    </row>
    <row r="675" spans="1:35" ht="15.75" customHeight="1">
      <c r="A675" s="3" t="s">
        <v>3159</v>
      </c>
      <c r="B675" s="3" t="s">
        <v>2393</v>
      </c>
      <c r="C675" s="3" t="s">
        <v>3160</v>
      </c>
      <c r="D675" s="3" t="str">
        <f t="shared" si="68"/>
        <v>16-Feb-2025</v>
      </c>
      <c r="E675" s="3" t="str">
        <f t="shared" si="69"/>
        <v>13-Feb-2025</v>
      </c>
      <c r="F675" s="3">
        <f t="shared" si="70"/>
        <v>3</v>
      </c>
      <c r="G675" s="3" t="s">
        <v>3161</v>
      </c>
      <c r="H675" s="3" t="s">
        <v>69</v>
      </c>
      <c r="I675" s="3" t="s">
        <v>49</v>
      </c>
      <c r="J675" s="3" t="s">
        <v>81</v>
      </c>
      <c r="K675" s="3" t="s">
        <v>36</v>
      </c>
      <c r="L675" s="3" t="s">
        <v>143</v>
      </c>
      <c r="M675" s="3" t="s">
        <v>53</v>
      </c>
      <c r="N675" s="3" t="s">
        <v>212</v>
      </c>
      <c r="O675" s="3" t="s">
        <v>3162</v>
      </c>
      <c r="P675" s="3" t="s">
        <v>41</v>
      </c>
      <c r="Q675" s="3">
        <v>4</v>
      </c>
      <c r="R675" s="3">
        <v>4072.9</v>
      </c>
      <c r="S675" s="3">
        <v>0.15</v>
      </c>
      <c r="T675" s="3">
        <v>13847.86</v>
      </c>
      <c r="U675" s="3">
        <v>8471.7800000000007</v>
      </c>
      <c r="V675" s="3">
        <v>5376.08</v>
      </c>
      <c r="W675" s="3" t="s">
        <v>42</v>
      </c>
      <c r="X675" s="3" t="s">
        <v>43</v>
      </c>
      <c r="Y675" s="2" t="str">
        <f t="shared" si="71"/>
        <v>Unique</v>
      </c>
      <c r="AA675" s="2" t="str">
        <f t="shared" si="72"/>
        <v>Clean</v>
      </c>
      <c r="AB675" s="2" t="str">
        <f t="shared" si="73"/>
        <v>valid</v>
      </c>
      <c r="AC675">
        <f t="shared" si="88"/>
        <v>0.15</v>
      </c>
      <c r="AD675">
        <f t="shared" si="89"/>
        <v>13847.86</v>
      </c>
      <c r="AE675">
        <f t="shared" si="90"/>
        <v>5376.08</v>
      </c>
      <c r="AF675">
        <f t="shared" si="91"/>
        <v>0.38822460654570451</v>
      </c>
      <c r="AG675" t="str">
        <f t="shared" si="92"/>
        <v>February</v>
      </c>
      <c r="AH675">
        <f t="shared" si="93"/>
        <v>2025</v>
      </c>
      <c r="AI675" t="str">
        <f t="shared" si="94"/>
        <v>Clean</v>
      </c>
    </row>
    <row r="676" spans="1:35" ht="15.75" customHeight="1">
      <c r="A676" s="3" t="s">
        <v>3163</v>
      </c>
      <c r="B676" s="3" t="s">
        <v>3164</v>
      </c>
      <c r="C676" s="3" t="s">
        <v>3165</v>
      </c>
      <c r="D676" s="3" t="str">
        <f t="shared" si="68"/>
        <v>21-May-2024</v>
      </c>
      <c r="E676" s="3" t="str">
        <f t="shared" si="69"/>
        <v>18-May-2024</v>
      </c>
      <c r="F676" s="3">
        <f t="shared" si="70"/>
        <v>3</v>
      </c>
      <c r="G676" s="3" t="s">
        <v>3166</v>
      </c>
      <c r="H676" s="3" t="s">
        <v>91</v>
      </c>
      <c r="I676" s="3" t="s">
        <v>116</v>
      </c>
      <c r="J676" s="3" t="s">
        <v>50</v>
      </c>
      <c r="K676" s="3" t="s">
        <v>319</v>
      </c>
      <c r="L676" s="3" t="s">
        <v>320</v>
      </c>
      <c r="M676" s="3" t="s">
        <v>94</v>
      </c>
      <c r="N676" s="3" t="s">
        <v>95</v>
      </c>
      <c r="O676" s="3" t="s">
        <v>3167</v>
      </c>
      <c r="P676" s="3" t="s">
        <v>41</v>
      </c>
      <c r="Q676" s="3">
        <v>1</v>
      </c>
      <c r="R676" s="3">
        <v>1033.71</v>
      </c>
      <c r="S676" s="3">
        <v>0</v>
      </c>
      <c r="T676" s="3">
        <v>1033.71</v>
      </c>
      <c r="U676" s="3">
        <v>630.82000000000005</v>
      </c>
      <c r="V676" s="3">
        <v>402.89</v>
      </c>
      <c r="W676" s="3" t="s">
        <v>145</v>
      </c>
      <c r="X676" s="3" t="s">
        <v>133</v>
      </c>
      <c r="Y676" s="2" t="str">
        <f t="shared" si="71"/>
        <v>Unique</v>
      </c>
      <c r="AA676" s="2" t="str">
        <f t="shared" si="72"/>
        <v>Clean</v>
      </c>
      <c r="AB676" s="2" t="str">
        <f t="shared" si="73"/>
        <v>valid</v>
      </c>
      <c r="AC676">
        <f t="shared" si="88"/>
        <v>0</v>
      </c>
      <c r="AD676">
        <f t="shared" si="89"/>
        <v>1033.71</v>
      </c>
      <c r="AE676">
        <f t="shared" si="90"/>
        <v>402.89</v>
      </c>
      <c r="AF676">
        <f t="shared" si="91"/>
        <v>0.38975147768716562</v>
      </c>
      <c r="AG676" t="str">
        <f t="shared" si="92"/>
        <v>May</v>
      </c>
      <c r="AH676">
        <f t="shared" si="93"/>
        <v>2024</v>
      </c>
      <c r="AI676" t="str">
        <f t="shared" si="94"/>
        <v>Clean</v>
      </c>
    </row>
    <row r="677" spans="1:35" ht="15.75" customHeight="1">
      <c r="A677" s="3" t="s">
        <v>3168</v>
      </c>
      <c r="B677" s="3" t="s">
        <v>3169</v>
      </c>
      <c r="C677" s="3" t="s">
        <v>3170</v>
      </c>
      <c r="D677" s="3" t="str">
        <f t="shared" si="68"/>
        <v>06-Oct-2025</v>
      </c>
      <c r="E677" s="3" t="str">
        <f t="shared" si="69"/>
        <v>07-Jun-2025</v>
      </c>
      <c r="F677" s="3">
        <f t="shared" si="70"/>
        <v>121</v>
      </c>
      <c r="G677" s="3" t="s">
        <v>3022</v>
      </c>
      <c r="H677" s="3" t="s">
        <v>170</v>
      </c>
      <c r="I677" s="3" t="s">
        <v>34</v>
      </c>
      <c r="J677" s="3" t="s">
        <v>35</v>
      </c>
      <c r="K677" s="3" t="s">
        <v>36</v>
      </c>
      <c r="L677" s="3" t="s">
        <v>37</v>
      </c>
      <c r="M677" s="3" t="s">
        <v>53</v>
      </c>
      <c r="N677" s="3" t="s">
        <v>73</v>
      </c>
      <c r="O677" s="3" t="s">
        <v>3171</v>
      </c>
      <c r="P677" s="3" t="s">
        <v>56</v>
      </c>
      <c r="Q677" s="3">
        <v>3</v>
      </c>
      <c r="R677" s="3">
        <v>963.26</v>
      </c>
      <c r="S677" s="3">
        <v>0</v>
      </c>
      <c r="T677" s="3">
        <v>2889.78</v>
      </c>
      <c r="U677" s="3">
        <v>1811.23</v>
      </c>
      <c r="V677" s="3">
        <v>1078.55</v>
      </c>
      <c r="W677" s="3" t="s">
        <v>42</v>
      </c>
      <c r="X677" s="3" t="s">
        <v>43</v>
      </c>
      <c r="Y677" s="2" t="str">
        <f t="shared" si="71"/>
        <v>Unique</v>
      </c>
      <c r="AA677" s="2" t="str">
        <f t="shared" si="72"/>
        <v>Clean</v>
      </c>
      <c r="AB677" s="2" t="str">
        <f t="shared" si="73"/>
        <v>valid</v>
      </c>
      <c r="AC677">
        <f t="shared" si="88"/>
        <v>0</v>
      </c>
      <c r="AD677">
        <f t="shared" si="89"/>
        <v>2889.7799999999997</v>
      </c>
      <c r="AE677">
        <f t="shared" si="90"/>
        <v>1078.5499999999997</v>
      </c>
      <c r="AF677">
        <f t="shared" si="91"/>
        <v>0.37322910394562903</v>
      </c>
      <c r="AG677" t="str">
        <f t="shared" si="92"/>
        <v>June</v>
      </c>
      <c r="AH677">
        <f t="shared" si="93"/>
        <v>2025</v>
      </c>
      <c r="AI677" t="str">
        <f t="shared" si="94"/>
        <v>Clean</v>
      </c>
    </row>
    <row r="678" spans="1:35" ht="15.75" customHeight="1">
      <c r="A678" s="3" t="s">
        <v>3172</v>
      </c>
      <c r="B678" s="3" t="s">
        <v>3173</v>
      </c>
      <c r="C678" s="3" t="s">
        <v>3174</v>
      </c>
      <c r="D678" s="3" t="str">
        <f t="shared" si="68"/>
        <v>18-Sep-2025</v>
      </c>
      <c r="E678" s="3" t="str">
        <f t="shared" si="69"/>
        <v>09-Nov-2025</v>
      </c>
      <c r="F678" s="3">
        <f t="shared" si="70"/>
        <v>-52</v>
      </c>
      <c r="G678" s="3" t="s">
        <v>3175</v>
      </c>
      <c r="H678" s="3" t="s">
        <v>156</v>
      </c>
      <c r="I678" s="3" t="s">
        <v>49</v>
      </c>
      <c r="J678" s="3" t="s">
        <v>35</v>
      </c>
      <c r="K678" s="3" t="s">
        <v>515</v>
      </c>
      <c r="L678" s="3" t="s">
        <v>516</v>
      </c>
      <c r="M678" s="3" t="s">
        <v>94</v>
      </c>
      <c r="N678" s="3" t="s">
        <v>231</v>
      </c>
      <c r="O678" s="3" t="s">
        <v>3176</v>
      </c>
      <c r="P678" s="3" t="s">
        <v>56</v>
      </c>
      <c r="Q678" s="3">
        <v>7</v>
      </c>
      <c r="R678" s="3">
        <v>3411.21</v>
      </c>
      <c r="S678" s="3">
        <v>0.15</v>
      </c>
      <c r="T678" s="3">
        <v>20296.7</v>
      </c>
      <c r="U678" s="3">
        <v>14920.87</v>
      </c>
      <c r="V678" s="3">
        <v>5375.83</v>
      </c>
      <c r="W678" s="3" t="s">
        <v>42</v>
      </c>
      <c r="X678" s="3" t="s">
        <v>43</v>
      </c>
      <c r="Y678" s="2" t="str">
        <f t="shared" si="71"/>
        <v>Unique</v>
      </c>
      <c r="AA678" s="2" t="str">
        <f t="shared" si="72"/>
        <v>Clean</v>
      </c>
      <c r="AB678" s="2" t="str">
        <f t="shared" si="73"/>
        <v>Invalid</v>
      </c>
      <c r="AC678">
        <f t="shared" si="88"/>
        <v>0.15</v>
      </c>
      <c r="AD678">
        <f t="shared" si="89"/>
        <v>20296.699499999999</v>
      </c>
      <c r="AE678">
        <f t="shared" si="90"/>
        <v>5375.829499999998</v>
      </c>
      <c r="AF678">
        <f t="shared" si="91"/>
        <v>0.26486225014071862</v>
      </c>
      <c r="AG678" t="str">
        <f t="shared" si="92"/>
        <v>November</v>
      </c>
      <c r="AH678">
        <f t="shared" si="93"/>
        <v>2025</v>
      </c>
      <c r="AI678" t="str">
        <f t="shared" si="94"/>
        <v>Clean</v>
      </c>
    </row>
    <row r="679" spans="1:35" ht="15.75" customHeight="1">
      <c r="A679" s="3" t="s">
        <v>3177</v>
      </c>
      <c r="B679" s="3" t="s">
        <v>3178</v>
      </c>
      <c r="C679" s="3" t="s">
        <v>3179</v>
      </c>
      <c r="D679" s="3" t="str">
        <f t="shared" si="68"/>
        <v>27-Jun-2024</v>
      </c>
      <c r="E679" s="3" t="str">
        <f t="shared" si="69"/>
        <v>22-Jun-2024</v>
      </c>
      <c r="F679" s="3">
        <f t="shared" si="70"/>
        <v>5</v>
      </c>
      <c r="G679" s="3" t="s">
        <v>32</v>
      </c>
      <c r="H679" s="3" t="s">
        <v>61</v>
      </c>
      <c r="I679" s="3" t="s">
        <v>123</v>
      </c>
      <c r="J679" s="3" t="s">
        <v>70</v>
      </c>
      <c r="K679" s="3" t="s">
        <v>237</v>
      </c>
      <c r="L679" s="3" t="s">
        <v>238</v>
      </c>
      <c r="M679" s="3" t="s">
        <v>53</v>
      </c>
      <c r="N679" s="3" t="s">
        <v>84</v>
      </c>
      <c r="O679" s="3" t="s">
        <v>3180</v>
      </c>
      <c r="P679" s="3" t="s">
        <v>56</v>
      </c>
      <c r="Q679" s="3">
        <v>7</v>
      </c>
      <c r="R679" s="3">
        <v>2623.48</v>
      </c>
      <c r="S679" s="3">
        <v>0</v>
      </c>
      <c r="T679" s="3">
        <v>18364.36</v>
      </c>
      <c r="U679" s="3">
        <v>15445.81</v>
      </c>
      <c r="V679" s="3">
        <v>2918.55</v>
      </c>
      <c r="W679" s="3" t="s">
        <v>42</v>
      </c>
      <c r="X679" s="3" t="s">
        <v>43</v>
      </c>
      <c r="Y679" s="2" t="str">
        <f t="shared" si="71"/>
        <v>Unique</v>
      </c>
      <c r="AA679" s="2" t="str">
        <f t="shared" si="72"/>
        <v>Clean</v>
      </c>
      <c r="AB679" s="2" t="str">
        <f t="shared" si="73"/>
        <v>valid</v>
      </c>
      <c r="AC679">
        <f t="shared" si="88"/>
        <v>0</v>
      </c>
      <c r="AD679">
        <f t="shared" si="89"/>
        <v>18364.36</v>
      </c>
      <c r="AE679">
        <f t="shared" si="90"/>
        <v>2918.5500000000011</v>
      </c>
      <c r="AF679">
        <f t="shared" si="91"/>
        <v>0.15892467801763857</v>
      </c>
      <c r="AG679" t="str">
        <f t="shared" si="92"/>
        <v>June</v>
      </c>
      <c r="AH679">
        <f t="shared" si="93"/>
        <v>2024</v>
      </c>
      <c r="AI679" t="str">
        <f t="shared" si="94"/>
        <v>Clean</v>
      </c>
    </row>
    <row r="680" spans="1:35" ht="15.75" customHeight="1">
      <c r="A680" s="3" t="s">
        <v>3181</v>
      </c>
      <c r="B680" s="3" t="s">
        <v>3182</v>
      </c>
      <c r="C680" s="3" t="s">
        <v>3183</v>
      </c>
      <c r="D680" s="3" t="str">
        <f t="shared" si="68"/>
        <v>12-Jan-2024</v>
      </c>
      <c r="E680" s="3" t="str">
        <f t="shared" si="69"/>
        <v>24-Nov-2024</v>
      </c>
      <c r="F680" s="3">
        <f t="shared" si="70"/>
        <v>-317</v>
      </c>
      <c r="G680" s="3" t="s">
        <v>3184</v>
      </c>
      <c r="H680" s="3" t="s">
        <v>375</v>
      </c>
      <c r="I680" s="3" t="s">
        <v>116</v>
      </c>
      <c r="J680" s="3" t="s">
        <v>70</v>
      </c>
      <c r="K680" s="3" t="s">
        <v>237</v>
      </c>
      <c r="L680" s="3" t="s">
        <v>238</v>
      </c>
      <c r="M680" s="3" t="s">
        <v>53</v>
      </c>
      <c r="N680" s="3" t="s">
        <v>54</v>
      </c>
      <c r="O680" s="3" t="s">
        <v>3185</v>
      </c>
      <c r="P680" s="3" t="s">
        <v>41</v>
      </c>
      <c r="Q680" s="3">
        <v>9</v>
      </c>
      <c r="R680" s="3">
        <v>2763.61</v>
      </c>
      <c r="S680" s="3">
        <v>0.15</v>
      </c>
      <c r="T680" s="3">
        <v>21141.62</v>
      </c>
      <c r="U680" s="3">
        <v>11676.33</v>
      </c>
      <c r="V680" s="3">
        <v>9465.2900000000009</v>
      </c>
      <c r="W680" s="3" t="s">
        <v>42</v>
      </c>
      <c r="X680" s="3" t="s">
        <v>43</v>
      </c>
      <c r="Y680" s="2" t="str">
        <f t="shared" si="71"/>
        <v>Unique</v>
      </c>
      <c r="AA680" s="2" t="str">
        <f t="shared" si="72"/>
        <v>Clean</v>
      </c>
      <c r="AB680" s="2" t="str">
        <f t="shared" si="73"/>
        <v>Invalid</v>
      </c>
      <c r="AC680">
        <f t="shared" si="88"/>
        <v>0.15</v>
      </c>
      <c r="AD680">
        <f t="shared" si="89"/>
        <v>21141.6165</v>
      </c>
      <c r="AE680">
        <f t="shared" si="90"/>
        <v>9465.2865000000002</v>
      </c>
      <c r="AF680">
        <f t="shared" si="91"/>
        <v>0.44770874071999178</v>
      </c>
      <c r="AG680" t="str">
        <f t="shared" si="92"/>
        <v>November</v>
      </c>
      <c r="AH680">
        <f t="shared" si="93"/>
        <v>2024</v>
      </c>
      <c r="AI680" t="str">
        <f t="shared" si="94"/>
        <v>Clean</v>
      </c>
    </row>
    <row r="681" spans="1:35" ht="15.75" customHeight="1">
      <c r="A681" s="3" t="s">
        <v>3186</v>
      </c>
      <c r="B681" s="3" t="s">
        <v>3187</v>
      </c>
      <c r="C681" s="3" t="s">
        <v>650</v>
      </c>
      <c r="D681" s="3" t="str">
        <f t="shared" si="68"/>
        <v>23-Aug-2025</v>
      </c>
      <c r="E681" s="3" t="str">
        <f t="shared" si="69"/>
        <v>16-Aug-2025</v>
      </c>
      <c r="F681" s="3">
        <f t="shared" si="70"/>
        <v>7</v>
      </c>
      <c r="G681" s="3" t="s">
        <v>3188</v>
      </c>
      <c r="H681" s="3" t="s">
        <v>188</v>
      </c>
      <c r="I681" s="3" t="s">
        <v>116</v>
      </c>
      <c r="J681" s="3" t="s">
        <v>35</v>
      </c>
      <c r="K681" s="3" t="s">
        <v>162</v>
      </c>
      <c r="L681" s="3" t="s">
        <v>163</v>
      </c>
      <c r="M681" s="3" t="s">
        <v>94</v>
      </c>
      <c r="N681" s="3" t="s">
        <v>102</v>
      </c>
      <c r="O681" s="3" t="s">
        <v>3189</v>
      </c>
      <c r="P681" s="3" t="s">
        <v>56</v>
      </c>
      <c r="Q681" s="3">
        <v>4</v>
      </c>
      <c r="R681" s="3">
        <v>1410.57</v>
      </c>
      <c r="S681" s="3" t="s">
        <v>691</v>
      </c>
      <c r="T681" s="3">
        <v>5360.17</v>
      </c>
      <c r="U681" s="3">
        <v>3881.51</v>
      </c>
      <c r="V681" s="3">
        <v>1478.66</v>
      </c>
      <c r="W681" s="3" t="s">
        <v>132</v>
      </c>
      <c r="X681" s="3" t="s">
        <v>86</v>
      </c>
      <c r="Y681" s="2" t="str">
        <f t="shared" si="71"/>
        <v>Unique</v>
      </c>
      <c r="AA681" s="2" t="str">
        <f t="shared" si="72"/>
        <v>Invalid</v>
      </c>
      <c r="AB681" s="2" t="str">
        <f t="shared" si="73"/>
        <v>valid</v>
      </c>
      <c r="AC681">
        <f t="shared" si="88"/>
        <v>6.9999999999999993E-3</v>
      </c>
      <c r="AD681">
        <f t="shared" si="89"/>
        <v>5602.7840399999995</v>
      </c>
      <c r="AE681">
        <f t="shared" si="90"/>
        <v>1721.2740399999993</v>
      </c>
      <c r="AF681">
        <f t="shared" si="91"/>
        <v>0.30721763104044242</v>
      </c>
      <c r="AG681" t="str">
        <f t="shared" si="92"/>
        <v>August</v>
      </c>
      <c r="AH681">
        <f t="shared" si="93"/>
        <v>2025</v>
      </c>
      <c r="AI681" t="str">
        <f t="shared" si="94"/>
        <v>Warning</v>
      </c>
    </row>
    <row r="682" spans="1:35" ht="15.75" customHeight="1">
      <c r="A682" s="3" t="s">
        <v>3190</v>
      </c>
      <c r="B682" s="3" t="s">
        <v>283</v>
      </c>
      <c r="C682" s="3" t="s">
        <v>587</v>
      </c>
      <c r="D682" s="3" t="str">
        <f t="shared" si="68"/>
        <v>05-Jun-2024</v>
      </c>
      <c r="E682" s="3" t="str">
        <f t="shared" si="69"/>
        <v>29-May-2024</v>
      </c>
      <c r="F682" s="3">
        <f t="shared" si="70"/>
        <v>7</v>
      </c>
      <c r="G682" s="3" t="s">
        <v>3191</v>
      </c>
      <c r="H682" s="3" t="s">
        <v>375</v>
      </c>
      <c r="I682" s="3" t="s">
        <v>116</v>
      </c>
      <c r="J682" s="3" t="s">
        <v>70</v>
      </c>
      <c r="K682" s="3" t="s">
        <v>347</v>
      </c>
      <c r="L682" s="3" t="s">
        <v>348</v>
      </c>
      <c r="M682" s="3" t="s">
        <v>94</v>
      </c>
      <c r="N682" s="3" t="s">
        <v>95</v>
      </c>
      <c r="O682" s="3" t="s">
        <v>3192</v>
      </c>
      <c r="P682" s="3" t="s">
        <v>64</v>
      </c>
      <c r="Q682" s="3">
        <v>4</v>
      </c>
      <c r="R682" s="3">
        <v>3700.24</v>
      </c>
      <c r="S682" s="3">
        <v>0</v>
      </c>
      <c r="T682" s="3">
        <v>14800.96</v>
      </c>
      <c r="U682" s="3">
        <v>12048.39</v>
      </c>
      <c r="V682" s="3">
        <v>2752.57</v>
      </c>
      <c r="W682" s="3" t="s">
        <v>42</v>
      </c>
      <c r="X682" s="3" t="s">
        <v>43</v>
      </c>
      <c r="Y682" s="2" t="str">
        <f t="shared" si="71"/>
        <v>Unique</v>
      </c>
      <c r="AA682" s="2" t="str">
        <f t="shared" si="72"/>
        <v>Clean</v>
      </c>
      <c r="AB682" s="2" t="str">
        <f t="shared" si="73"/>
        <v>valid</v>
      </c>
      <c r="AC682">
        <f t="shared" si="88"/>
        <v>0</v>
      </c>
      <c r="AD682">
        <f t="shared" si="89"/>
        <v>14800.96</v>
      </c>
      <c r="AE682">
        <f t="shared" si="90"/>
        <v>2752.5699999999997</v>
      </c>
      <c r="AF682">
        <f t="shared" si="91"/>
        <v>0.18597239638509933</v>
      </c>
      <c r="AG682" t="str">
        <f t="shared" si="92"/>
        <v>May</v>
      </c>
      <c r="AH682">
        <f t="shared" si="93"/>
        <v>2024</v>
      </c>
      <c r="AI682" t="str">
        <f t="shared" si="94"/>
        <v>Clean</v>
      </c>
    </row>
    <row r="683" spans="1:35" ht="15.75" customHeight="1">
      <c r="A683" s="3" t="s">
        <v>3193</v>
      </c>
      <c r="B683" s="3" t="s">
        <v>3194</v>
      </c>
      <c r="C683" s="3" t="s">
        <v>3195</v>
      </c>
      <c r="D683" s="3" t="str">
        <f t="shared" si="68"/>
        <v>10-Jul-2024</v>
      </c>
      <c r="E683" s="3" t="str">
        <f t="shared" si="69"/>
        <v>07-Apr-2024</v>
      </c>
      <c r="F683" s="3">
        <f t="shared" si="70"/>
        <v>94</v>
      </c>
      <c r="G683" s="3" t="s">
        <v>3196</v>
      </c>
      <c r="H683" s="3" t="s">
        <v>91</v>
      </c>
      <c r="I683" s="3" t="s">
        <v>116</v>
      </c>
      <c r="J683" s="3" t="s">
        <v>35</v>
      </c>
      <c r="K683" s="3" t="s">
        <v>515</v>
      </c>
      <c r="L683" s="3" t="s">
        <v>516</v>
      </c>
      <c r="M683" s="3" t="s">
        <v>53</v>
      </c>
      <c r="N683" s="3" t="s">
        <v>54</v>
      </c>
      <c r="O683" s="3" t="s">
        <v>3197</v>
      </c>
      <c r="P683" s="3" t="s">
        <v>41</v>
      </c>
      <c r="Q683" s="3">
        <v>5</v>
      </c>
      <c r="R683" s="3">
        <v>1200.27</v>
      </c>
      <c r="S683" s="3">
        <v>0</v>
      </c>
      <c r="T683" s="3">
        <v>6001.35</v>
      </c>
      <c r="U683" s="3">
        <v>4182.99</v>
      </c>
      <c r="V683" s="3">
        <v>1818.36</v>
      </c>
      <c r="W683" s="3" t="s">
        <v>42</v>
      </c>
      <c r="X683" s="3" t="s">
        <v>86</v>
      </c>
      <c r="Y683" s="2" t="str">
        <f t="shared" si="71"/>
        <v>Unique</v>
      </c>
      <c r="AA683" s="2" t="str">
        <f t="shared" si="72"/>
        <v>Clean</v>
      </c>
      <c r="AB683" s="2" t="str">
        <f t="shared" si="73"/>
        <v>valid</v>
      </c>
      <c r="AC683">
        <f t="shared" si="88"/>
        <v>0</v>
      </c>
      <c r="AD683">
        <f t="shared" si="89"/>
        <v>6001.35</v>
      </c>
      <c r="AE683">
        <f t="shared" si="90"/>
        <v>1818.3600000000006</v>
      </c>
      <c r="AF683">
        <f t="shared" si="91"/>
        <v>0.30299182683896131</v>
      </c>
      <c r="AG683" t="str">
        <f t="shared" si="92"/>
        <v>April</v>
      </c>
      <c r="AH683">
        <f t="shared" si="93"/>
        <v>2024</v>
      </c>
      <c r="AI683" t="str">
        <f t="shared" si="94"/>
        <v>Warning</v>
      </c>
    </row>
    <row r="684" spans="1:35" ht="15.75" customHeight="1">
      <c r="A684" s="3" t="s">
        <v>3198</v>
      </c>
      <c r="B684" s="3" t="s">
        <v>352</v>
      </c>
      <c r="C684" s="3" t="s">
        <v>2872</v>
      </c>
      <c r="D684" s="3" t="str">
        <f t="shared" si="68"/>
        <v>05-Feb-2025</v>
      </c>
      <c r="E684" s="3" t="str">
        <f t="shared" si="69"/>
        <v>05-Feb-2025</v>
      </c>
      <c r="F684" s="3">
        <f t="shared" si="70"/>
        <v>0</v>
      </c>
      <c r="G684" s="3" t="s">
        <v>3199</v>
      </c>
      <c r="H684" s="3" t="s">
        <v>3200</v>
      </c>
      <c r="I684" s="3" t="s">
        <v>116</v>
      </c>
      <c r="J684" s="3" t="s">
        <v>35</v>
      </c>
      <c r="K684" s="3" t="s">
        <v>331</v>
      </c>
      <c r="L684" s="3" t="s">
        <v>332</v>
      </c>
      <c r="M684" s="3" t="s">
        <v>38</v>
      </c>
      <c r="N684" s="3" t="s">
        <v>164</v>
      </c>
      <c r="O684" s="3" t="s">
        <v>3201</v>
      </c>
      <c r="P684" s="3" t="s">
        <v>56</v>
      </c>
      <c r="Q684" s="3">
        <v>3</v>
      </c>
      <c r="R684" s="3">
        <v>2590.7800000000002</v>
      </c>
      <c r="S684" s="3">
        <v>0</v>
      </c>
      <c r="T684" s="3">
        <v>7383.72</v>
      </c>
      <c r="U684" s="3">
        <v>4113.66</v>
      </c>
      <c r="V684" s="3">
        <v>3270.06</v>
      </c>
      <c r="W684" s="3" t="s">
        <v>42</v>
      </c>
      <c r="X684" s="3" t="s">
        <v>43</v>
      </c>
      <c r="Y684" s="4" t="str">
        <f t="shared" si="71"/>
        <v>Unique</v>
      </c>
      <c r="AA684" s="2" t="str">
        <f t="shared" si="72"/>
        <v>Clean</v>
      </c>
      <c r="AB684" s="2" t="str">
        <f t="shared" si="73"/>
        <v>valid</v>
      </c>
      <c r="AC684">
        <f t="shared" si="88"/>
        <v>0</v>
      </c>
      <c r="AD684">
        <f t="shared" si="89"/>
        <v>7772.34</v>
      </c>
      <c r="AE684">
        <f t="shared" si="90"/>
        <v>3658.6800000000003</v>
      </c>
      <c r="AF684">
        <f t="shared" si="91"/>
        <v>0.47073082237781677</v>
      </c>
      <c r="AG684" t="str">
        <f t="shared" si="92"/>
        <v>February</v>
      </c>
      <c r="AH684">
        <f t="shared" si="93"/>
        <v>2025</v>
      </c>
      <c r="AI684" t="str">
        <f t="shared" si="94"/>
        <v>Clean</v>
      </c>
    </row>
    <row r="685" spans="1:35" ht="15.75" customHeight="1">
      <c r="A685" s="3" t="s">
        <v>3202</v>
      </c>
      <c r="B685" s="3" t="s">
        <v>3203</v>
      </c>
      <c r="C685" s="3" t="s">
        <v>1727</v>
      </c>
      <c r="D685" s="3" t="str">
        <f t="shared" si="68"/>
        <v>24-Jul-2025</v>
      </c>
      <c r="E685" s="3" t="str">
        <f t="shared" si="69"/>
        <v>20-Jul-2025</v>
      </c>
      <c r="F685" s="3">
        <f t="shared" si="70"/>
        <v>4</v>
      </c>
      <c r="G685" s="3" t="s">
        <v>3204</v>
      </c>
      <c r="H685" s="3" t="s">
        <v>69</v>
      </c>
      <c r="I685" s="3" t="s">
        <v>49</v>
      </c>
      <c r="J685" s="3" t="s">
        <v>70</v>
      </c>
      <c r="K685" s="3" t="s">
        <v>71</v>
      </c>
      <c r="L685" s="3" t="s">
        <v>72</v>
      </c>
      <c r="M685" s="3" t="s">
        <v>53</v>
      </c>
      <c r="N685" s="3" t="s">
        <v>73</v>
      </c>
      <c r="O685" s="3" t="s">
        <v>3205</v>
      </c>
      <c r="P685" s="3" t="s">
        <v>41</v>
      </c>
      <c r="Q685" s="3">
        <v>6</v>
      </c>
      <c r="R685" s="3">
        <v>1646.45</v>
      </c>
      <c r="S685" s="3">
        <v>0.2</v>
      </c>
      <c r="T685" s="3">
        <v>7902.96</v>
      </c>
      <c r="U685" s="3">
        <v>5512.03</v>
      </c>
      <c r="V685" s="3">
        <v>2390.9299999999998</v>
      </c>
      <c r="W685" s="3" t="s">
        <v>132</v>
      </c>
      <c r="X685" s="3" t="s">
        <v>86</v>
      </c>
      <c r="Y685" s="2" t="str">
        <f t="shared" si="71"/>
        <v>Unique</v>
      </c>
      <c r="AA685" s="2" t="str">
        <f t="shared" si="72"/>
        <v>Clean</v>
      </c>
      <c r="AB685" s="2" t="str">
        <f t="shared" si="73"/>
        <v>valid</v>
      </c>
      <c r="AC685">
        <f t="shared" si="88"/>
        <v>0.2</v>
      </c>
      <c r="AD685">
        <f t="shared" si="89"/>
        <v>7902.9600000000009</v>
      </c>
      <c r="AE685">
        <f t="shared" si="90"/>
        <v>2390.9300000000012</v>
      </c>
      <c r="AF685">
        <f t="shared" si="91"/>
        <v>0.30253601182341816</v>
      </c>
      <c r="AG685" t="str">
        <f t="shared" si="92"/>
        <v>July</v>
      </c>
      <c r="AH685">
        <f t="shared" si="93"/>
        <v>2025</v>
      </c>
      <c r="AI685" t="str">
        <f t="shared" si="94"/>
        <v>Warning</v>
      </c>
    </row>
    <row r="686" spans="1:35" ht="15.75" customHeight="1">
      <c r="A686" s="3" t="s">
        <v>3206</v>
      </c>
      <c r="B686" s="3" t="s">
        <v>3207</v>
      </c>
      <c r="C686" s="3" t="s">
        <v>503</v>
      </c>
      <c r="D686" s="3" t="str">
        <f t="shared" si="68"/>
        <v>21-Jul-2025</v>
      </c>
      <c r="E686" s="3" t="str">
        <f t="shared" si="69"/>
        <v>21-Jul-2025</v>
      </c>
      <c r="F686" s="3">
        <f t="shared" si="70"/>
        <v>0</v>
      </c>
      <c r="G686" s="3" t="s">
        <v>3208</v>
      </c>
      <c r="H686" s="3" t="s">
        <v>61</v>
      </c>
      <c r="I686" s="3" t="s">
        <v>123</v>
      </c>
      <c r="J686" s="3" t="s">
        <v>70</v>
      </c>
      <c r="K686" s="3" t="s">
        <v>347</v>
      </c>
      <c r="L686" s="3" t="s">
        <v>348</v>
      </c>
      <c r="M686" s="3" t="s">
        <v>53</v>
      </c>
      <c r="N686" s="3" t="s">
        <v>212</v>
      </c>
      <c r="O686" s="3" t="s">
        <v>3209</v>
      </c>
      <c r="P686" s="3" t="s">
        <v>64</v>
      </c>
      <c r="Q686" s="3">
        <v>7</v>
      </c>
      <c r="R686" s="3">
        <v>4396.6499999999996</v>
      </c>
      <c r="S686" s="3">
        <v>0.2</v>
      </c>
      <c r="T686" s="3">
        <v>24621.24</v>
      </c>
      <c r="U686" s="3">
        <v>17155.48</v>
      </c>
      <c r="V686" s="3">
        <v>7465.76</v>
      </c>
      <c r="W686" s="3" t="s">
        <v>132</v>
      </c>
      <c r="X686" s="3" t="s">
        <v>86</v>
      </c>
      <c r="Y686" s="2" t="str">
        <f t="shared" si="71"/>
        <v>Unique</v>
      </c>
      <c r="AA686" s="2" t="str">
        <f t="shared" si="72"/>
        <v>Clean</v>
      </c>
      <c r="AB686" s="2" t="str">
        <f t="shared" si="73"/>
        <v>valid</v>
      </c>
      <c r="AC686">
        <f t="shared" si="88"/>
        <v>0.2</v>
      </c>
      <c r="AD686">
        <f t="shared" si="89"/>
        <v>24621.239999999998</v>
      </c>
      <c r="AE686">
        <f t="shared" si="90"/>
        <v>7465.7599999999984</v>
      </c>
      <c r="AF686">
        <f t="shared" si="91"/>
        <v>0.3032243705028666</v>
      </c>
      <c r="AG686" t="str">
        <f t="shared" si="92"/>
        <v>July</v>
      </c>
      <c r="AH686">
        <f t="shared" si="93"/>
        <v>2025</v>
      </c>
      <c r="AI686" t="str">
        <f t="shared" si="94"/>
        <v>Warning</v>
      </c>
    </row>
    <row r="687" spans="1:35" ht="15.75" customHeight="1">
      <c r="A687" s="3" t="s">
        <v>3210</v>
      </c>
      <c r="B687" s="3" t="s">
        <v>3211</v>
      </c>
      <c r="C687" s="3" t="s">
        <v>508</v>
      </c>
      <c r="D687" s="3" t="str">
        <f t="shared" si="68"/>
        <v>03-Oct-2025</v>
      </c>
      <c r="E687" s="3" t="str">
        <f t="shared" si="69"/>
        <v>01-Oct-2025</v>
      </c>
      <c r="F687" s="3">
        <f t="shared" si="70"/>
        <v>2</v>
      </c>
      <c r="G687" s="3" t="s">
        <v>2722</v>
      </c>
      <c r="H687" s="3" t="s">
        <v>101</v>
      </c>
      <c r="I687" s="3" t="s">
        <v>116</v>
      </c>
      <c r="J687" s="3" t="s">
        <v>81</v>
      </c>
      <c r="K687" s="3" t="s">
        <v>257</v>
      </c>
      <c r="L687" s="3" t="s">
        <v>258</v>
      </c>
      <c r="M687" s="3" t="s">
        <v>38</v>
      </c>
      <c r="N687" s="3" t="s">
        <v>62</v>
      </c>
      <c r="O687" s="3" t="s">
        <v>3212</v>
      </c>
      <c r="P687" s="3" t="s">
        <v>75</v>
      </c>
      <c r="Q687" s="3">
        <v>9</v>
      </c>
      <c r="R687" s="3">
        <v>818.15</v>
      </c>
      <c r="S687" s="3">
        <v>0.55000000000000004</v>
      </c>
      <c r="T687" s="3">
        <v>6627.01</v>
      </c>
      <c r="U687" s="3">
        <v>5606.79</v>
      </c>
      <c r="V687" s="3">
        <v>1020.22</v>
      </c>
      <c r="W687" s="3" t="s">
        <v>208</v>
      </c>
      <c r="X687" s="3" t="s">
        <v>86</v>
      </c>
      <c r="Y687" s="2" t="str">
        <f t="shared" si="71"/>
        <v>Unique</v>
      </c>
      <c r="AA687" s="2" t="str">
        <f t="shared" si="72"/>
        <v>Invalid</v>
      </c>
      <c r="AB687" s="2" t="str">
        <f t="shared" si="73"/>
        <v>valid</v>
      </c>
      <c r="AC687">
        <f t="shared" si="88"/>
        <v>0.55000000000000004</v>
      </c>
      <c r="AD687">
        <f t="shared" si="89"/>
        <v>3313.5074999999993</v>
      </c>
      <c r="AE687">
        <f t="shared" si="90"/>
        <v>-2293.2825000000007</v>
      </c>
      <c r="AF687">
        <f t="shared" si="91"/>
        <v>-0.69210119488185895</v>
      </c>
      <c r="AG687" t="str">
        <f t="shared" si="92"/>
        <v>October</v>
      </c>
      <c r="AH687">
        <f t="shared" si="93"/>
        <v>2025</v>
      </c>
      <c r="AI687" t="str">
        <f t="shared" si="94"/>
        <v>Invalid</v>
      </c>
    </row>
    <row r="688" spans="1:35" ht="15.75" customHeight="1">
      <c r="A688" s="3" t="s">
        <v>3213</v>
      </c>
      <c r="B688" s="3" t="s">
        <v>3214</v>
      </c>
      <c r="C688" s="3" t="s">
        <v>2162</v>
      </c>
      <c r="D688" s="3" t="str">
        <f t="shared" si="68"/>
        <v>04-Feb-2024</v>
      </c>
      <c r="E688" s="3" t="str">
        <f t="shared" si="69"/>
        <v>25-Mar-2024</v>
      </c>
      <c r="F688" s="3">
        <f t="shared" si="70"/>
        <v>-50</v>
      </c>
      <c r="G688" s="3" t="s">
        <v>3215</v>
      </c>
      <c r="H688" s="3" t="s">
        <v>176</v>
      </c>
      <c r="I688" s="3" t="s">
        <v>123</v>
      </c>
      <c r="J688" s="3" t="s">
        <v>70</v>
      </c>
      <c r="K688" s="3" t="s">
        <v>347</v>
      </c>
      <c r="L688" s="3" t="s">
        <v>348</v>
      </c>
      <c r="M688" s="3" t="s">
        <v>94</v>
      </c>
      <c r="N688" s="3" t="s">
        <v>102</v>
      </c>
      <c r="O688" s="3" t="s">
        <v>3216</v>
      </c>
      <c r="P688" s="3" t="s">
        <v>75</v>
      </c>
      <c r="Q688" s="3">
        <v>2</v>
      </c>
      <c r="R688" s="3">
        <v>2349.13</v>
      </c>
      <c r="S688" s="3">
        <v>0</v>
      </c>
      <c r="T688" s="3">
        <v>4698.26</v>
      </c>
      <c r="U688" s="3">
        <v>2654.92</v>
      </c>
      <c r="V688" s="3">
        <v>2043.34</v>
      </c>
      <c r="W688" s="3" t="s">
        <v>42</v>
      </c>
      <c r="X688" s="3" t="s">
        <v>43</v>
      </c>
      <c r="Y688" s="2" t="str">
        <f t="shared" si="71"/>
        <v>Unique</v>
      </c>
      <c r="AA688" s="2" t="str">
        <f t="shared" si="72"/>
        <v>Clean</v>
      </c>
      <c r="AB688" s="2" t="str">
        <f t="shared" si="73"/>
        <v>Invalid</v>
      </c>
      <c r="AC688">
        <f t="shared" si="88"/>
        <v>0</v>
      </c>
      <c r="AD688">
        <f t="shared" si="89"/>
        <v>4698.26</v>
      </c>
      <c r="AE688">
        <f t="shared" si="90"/>
        <v>2043.3400000000001</v>
      </c>
      <c r="AF688">
        <f t="shared" si="91"/>
        <v>0.43491420227914163</v>
      </c>
      <c r="AG688" t="str">
        <f t="shared" si="92"/>
        <v>March</v>
      </c>
      <c r="AH688">
        <f t="shared" si="93"/>
        <v>2024</v>
      </c>
      <c r="AI688" t="str">
        <f t="shared" si="94"/>
        <v>Clean</v>
      </c>
    </row>
    <row r="689" spans="1:35" ht="15.75" customHeight="1">
      <c r="A689" s="3" t="s">
        <v>3217</v>
      </c>
      <c r="B689" s="3" t="s">
        <v>1193</v>
      </c>
      <c r="C689" s="3" t="s">
        <v>3218</v>
      </c>
      <c r="D689" s="3" t="str">
        <f t="shared" si="68"/>
        <v>13-Oct-2025</v>
      </c>
      <c r="E689" s="3" t="str">
        <f t="shared" si="69"/>
        <v>08-Oct-2025</v>
      </c>
      <c r="F689" s="3">
        <f t="shared" si="70"/>
        <v>5</v>
      </c>
      <c r="G689" s="3" t="s">
        <v>3219</v>
      </c>
      <c r="H689" s="3" t="s">
        <v>48</v>
      </c>
      <c r="I689" s="3" t="s">
        <v>123</v>
      </c>
      <c r="J689" s="3" t="s">
        <v>35</v>
      </c>
      <c r="K689" s="3" t="s">
        <v>162</v>
      </c>
      <c r="L689" s="3" t="s">
        <v>163</v>
      </c>
      <c r="M689" s="3" t="s">
        <v>53</v>
      </c>
      <c r="N689" s="3" t="s">
        <v>54</v>
      </c>
      <c r="O689" s="3" t="s">
        <v>3220</v>
      </c>
      <c r="P689" s="3" t="s">
        <v>64</v>
      </c>
      <c r="Q689" s="3">
        <v>4</v>
      </c>
      <c r="R689" s="3">
        <v>172.05</v>
      </c>
      <c r="S689" s="3">
        <v>0</v>
      </c>
      <c r="T689" s="3">
        <v>688.2</v>
      </c>
      <c r="U689" s="3">
        <v>497.68</v>
      </c>
      <c r="V689" s="3">
        <v>190.52</v>
      </c>
      <c r="W689" s="3" t="s">
        <v>208</v>
      </c>
      <c r="X689" s="3" t="s">
        <v>86</v>
      </c>
      <c r="Y689" s="2" t="str">
        <f t="shared" si="71"/>
        <v>Unique</v>
      </c>
      <c r="AA689" s="2" t="str">
        <f t="shared" si="72"/>
        <v>Clean</v>
      </c>
      <c r="AB689" s="2" t="str">
        <f t="shared" si="73"/>
        <v>valid</v>
      </c>
      <c r="AC689">
        <f t="shared" si="88"/>
        <v>0</v>
      </c>
      <c r="AD689">
        <f t="shared" si="89"/>
        <v>688.2</v>
      </c>
      <c r="AE689">
        <f t="shared" si="90"/>
        <v>190.52000000000004</v>
      </c>
      <c r="AF689">
        <f t="shared" si="91"/>
        <v>0.27683812845103173</v>
      </c>
      <c r="AG689" t="str">
        <f t="shared" si="92"/>
        <v>October</v>
      </c>
      <c r="AH689">
        <f t="shared" si="93"/>
        <v>2025</v>
      </c>
      <c r="AI689" t="str">
        <f t="shared" si="94"/>
        <v>Warning</v>
      </c>
    </row>
    <row r="690" spans="1:35" ht="15.75" customHeight="1">
      <c r="A690" s="3" t="s">
        <v>3221</v>
      </c>
      <c r="B690" s="3" t="s">
        <v>1164</v>
      </c>
      <c r="C690" s="3" t="s">
        <v>3222</v>
      </c>
      <c r="D690" s="3" t="str">
        <f t="shared" si="68"/>
        <v>27-Feb-2025</v>
      </c>
      <c r="E690" s="3" t="str">
        <f t="shared" si="69"/>
        <v>26-Feb-2025</v>
      </c>
      <c r="F690" s="3">
        <f t="shared" si="70"/>
        <v>1</v>
      </c>
      <c r="G690" s="3" t="s">
        <v>3223</v>
      </c>
      <c r="H690" s="3" t="s">
        <v>101</v>
      </c>
      <c r="I690" s="3" t="s">
        <v>123</v>
      </c>
      <c r="J690" s="3" t="s">
        <v>35</v>
      </c>
      <c r="K690" s="3" t="s">
        <v>331</v>
      </c>
      <c r="L690" s="3" t="s">
        <v>332</v>
      </c>
      <c r="M690" s="3" t="s">
        <v>38</v>
      </c>
      <c r="N690" s="3" t="s">
        <v>62</v>
      </c>
      <c r="O690" s="3" t="s">
        <v>3224</v>
      </c>
      <c r="P690" s="3" t="s">
        <v>41</v>
      </c>
      <c r="Q690" s="3">
        <v>6</v>
      </c>
      <c r="R690" s="3">
        <v>3037.66</v>
      </c>
      <c r="S690" s="3">
        <v>0.15</v>
      </c>
      <c r="T690" s="3">
        <v>15492.07</v>
      </c>
      <c r="U690" s="3">
        <v>12581.23</v>
      </c>
      <c r="V690" s="3">
        <v>2910.84</v>
      </c>
      <c r="W690" s="3" t="s">
        <v>42</v>
      </c>
      <c r="X690" s="3" t="s">
        <v>43</v>
      </c>
      <c r="Y690" s="2" t="str">
        <f t="shared" si="71"/>
        <v>Unique</v>
      </c>
      <c r="AA690" s="2" t="str">
        <f t="shared" si="72"/>
        <v>Clean</v>
      </c>
      <c r="AB690" s="2" t="str">
        <f t="shared" si="73"/>
        <v>valid</v>
      </c>
      <c r="AC690">
        <f t="shared" si="88"/>
        <v>0.15</v>
      </c>
      <c r="AD690">
        <f t="shared" si="89"/>
        <v>15492.065999999999</v>
      </c>
      <c r="AE690">
        <f t="shared" si="90"/>
        <v>2910.8359999999993</v>
      </c>
      <c r="AF690">
        <f t="shared" si="91"/>
        <v>0.18789204745190213</v>
      </c>
      <c r="AG690" t="str">
        <f t="shared" si="92"/>
        <v>February</v>
      </c>
      <c r="AH690">
        <f t="shared" si="93"/>
        <v>2025</v>
      </c>
      <c r="AI690" t="str">
        <f t="shared" si="94"/>
        <v>Clean</v>
      </c>
    </row>
    <row r="691" spans="1:35" ht="15.75" customHeight="1">
      <c r="A691" s="3" t="s">
        <v>3225</v>
      </c>
      <c r="B691" s="3" t="s">
        <v>3226</v>
      </c>
      <c r="C691" s="3" t="s">
        <v>3227</v>
      </c>
      <c r="D691" s="3" t="str">
        <f t="shared" si="68"/>
        <v>06-Oct-2024</v>
      </c>
      <c r="E691" s="3" t="str">
        <f t="shared" si="69"/>
        <v>05-Oct-2024</v>
      </c>
      <c r="F691" s="3">
        <f t="shared" si="70"/>
        <v>1</v>
      </c>
      <c r="G691" s="3" t="s">
        <v>3228</v>
      </c>
      <c r="H691" s="3" t="s">
        <v>188</v>
      </c>
      <c r="I691" s="3" t="s">
        <v>49</v>
      </c>
      <c r="J691" s="3" t="s">
        <v>35</v>
      </c>
      <c r="K691" s="3" t="s">
        <v>162</v>
      </c>
      <c r="L691" s="3" t="s">
        <v>163</v>
      </c>
      <c r="M691" s="3" t="s">
        <v>53</v>
      </c>
      <c r="N691" s="3" t="s">
        <v>54</v>
      </c>
      <c r="O691" s="3" t="s">
        <v>3229</v>
      </c>
      <c r="P691" s="3" t="s">
        <v>75</v>
      </c>
      <c r="Q691" s="3">
        <v>9</v>
      </c>
      <c r="R691" s="3">
        <v>489.58</v>
      </c>
      <c r="S691" s="3">
        <v>0.15</v>
      </c>
      <c r="T691" s="3">
        <v>3745.29</v>
      </c>
      <c r="U691" s="3">
        <v>2302.65</v>
      </c>
      <c r="V691" s="3">
        <v>1442.64</v>
      </c>
      <c r="W691" s="3" t="s">
        <v>208</v>
      </c>
      <c r="X691" s="3" t="s">
        <v>86</v>
      </c>
      <c r="Y691" s="2" t="str">
        <f t="shared" si="71"/>
        <v>Unique</v>
      </c>
      <c r="AA691" s="2" t="str">
        <f t="shared" si="72"/>
        <v>Clean</v>
      </c>
      <c r="AB691" s="2" t="str">
        <f t="shared" si="73"/>
        <v>valid</v>
      </c>
      <c r="AC691">
        <f t="shared" si="88"/>
        <v>0.15</v>
      </c>
      <c r="AD691">
        <f t="shared" si="89"/>
        <v>3745.2870000000003</v>
      </c>
      <c r="AE691">
        <f t="shared" si="90"/>
        <v>1442.6370000000002</v>
      </c>
      <c r="AF691">
        <f t="shared" si="91"/>
        <v>0.38518730340291679</v>
      </c>
      <c r="AG691" t="str">
        <f t="shared" si="92"/>
        <v>October</v>
      </c>
      <c r="AH691">
        <f t="shared" si="93"/>
        <v>2024</v>
      </c>
      <c r="AI691" t="str">
        <f t="shared" si="94"/>
        <v>Warning</v>
      </c>
    </row>
    <row r="692" spans="1:35" ht="15.75" customHeight="1">
      <c r="A692" s="3" t="s">
        <v>3230</v>
      </c>
      <c r="B692" s="3" t="s">
        <v>884</v>
      </c>
      <c r="C692" s="3" t="s">
        <v>3231</v>
      </c>
      <c r="D692" s="3" t="str">
        <f t="shared" si="68"/>
        <v>15-Sep-2024</v>
      </c>
      <c r="E692" s="3" t="str">
        <f t="shared" si="69"/>
        <v>09-Nov-2024</v>
      </c>
      <c r="F692" s="3">
        <f t="shared" si="70"/>
        <v>-55</v>
      </c>
      <c r="G692" s="3" t="s">
        <v>3232</v>
      </c>
      <c r="H692" s="3" t="s">
        <v>176</v>
      </c>
      <c r="I692" s="3" t="s">
        <v>116</v>
      </c>
      <c r="J692" s="3" t="s">
        <v>70</v>
      </c>
      <c r="K692" s="3" t="s">
        <v>347</v>
      </c>
      <c r="L692" s="3" t="s">
        <v>348</v>
      </c>
      <c r="M692" s="3" t="s">
        <v>38</v>
      </c>
      <c r="N692" s="3" t="s">
        <v>62</v>
      </c>
      <c r="O692" s="3" t="s">
        <v>3233</v>
      </c>
      <c r="P692" s="3" t="s">
        <v>75</v>
      </c>
      <c r="Q692" s="3">
        <v>4</v>
      </c>
      <c r="R692" s="3">
        <v>865.63</v>
      </c>
      <c r="S692" s="3">
        <v>0</v>
      </c>
      <c r="T692" s="3">
        <v>3462.52</v>
      </c>
      <c r="U692" s="3">
        <v>2797.29</v>
      </c>
      <c r="V692" s="3">
        <v>665.23</v>
      </c>
      <c r="W692" s="3" t="s">
        <v>208</v>
      </c>
      <c r="X692" s="3" t="s">
        <v>133</v>
      </c>
      <c r="Y692" s="2" t="str">
        <f t="shared" si="71"/>
        <v>Unique</v>
      </c>
      <c r="AA692" s="2" t="str">
        <f t="shared" si="72"/>
        <v>Clean</v>
      </c>
      <c r="AB692" s="2" t="str">
        <f t="shared" si="73"/>
        <v>Invalid</v>
      </c>
      <c r="AC692">
        <f t="shared" si="88"/>
        <v>0</v>
      </c>
      <c r="AD692">
        <f t="shared" si="89"/>
        <v>3462.52</v>
      </c>
      <c r="AE692">
        <f t="shared" si="90"/>
        <v>665.23</v>
      </c>
      <c r="AF692">
        <f t="shared" si="91"/>
        <v>0.19212307798944123</v>
      </c>
      <c r="AG692" t="str">
        <f t="shared" si="92"/>
        <v>November</v>
      </c>
      <c r="AH692">
        <f t="shared" si="93"/>
        <v>2024</v>
      </c>
      <c r="AI692" t="str">
        <f t="shared" si="94"/>
        <v>Warning</v>
      </c>
    </row>
    <row r="693" spans="1:35" ht="15.75" customHeight="1">
      <c r="A693" s="3" t="s">
        <v>3234</v>
      </c>
      <c r="B693" s="3" t="s">
        <v>2451</v>
      </c>
      <c r="C693" s="3" t="s">
        <v>3235</v>
      </c>
      <c r="D693" s="3" t="str">
        <f t="shared" si="68"/>
        <v>16-Dec-2024</v>
      </c>
      <c r="E693" s="3" t="str">
        <f t="shared" si="69"/>
        <v>15-Dec-2024</v>
      </c>
      <c r="F693" s="3">
        <f t="shared" si="70"/>
        <v>1</v>
      </c>
      <c r="G693" s="3" t="s">
        <v>3236</v>
      </c>
      <c r="H693" s="3" t="s">
        <v>188</v>
      </c>
      <c r="I693" s="3" t="s">
        <v>34</v>
      </c>
      <c r="J693" s="3" t="s">
        <v>50</v>
      </c>
      <c r="K693" s="3" t="s">
        <v>51</v>
      </c>
      <c r="L693" s="3" t="s">
        <v>52</v>
      </c>
      <c r="M693" s="3" t="s">
        <v>94</v>
      </c>
      <c r="N693" s="3" t="s">
        <v>102</v>
      </c>
      <c r="O693" s="3" t="s">
        <v>3237</v>
      </c>
      <c r="P693" s="3" t="s">
        <v>41</v>
      </c>
      <c r="Q693" s="3">
        <v>6</v>
      </c>
      <c r="R693" s="3">
        <v>1538.1</v>
      </c>
      <c r="S693" s="3">
        <v>0.05</v>
      </c>
      <c r="T693" s="3">
        <v>8767.17</v>
      </c>
      <c r="U693" s="3">
        <v>5098.2</v>
      </c>
      <c r="V693" s="3">
        <v>3668.97</v>
      </c>
      <c r="W693" s="3" t="s">
        <v>42</v>
      </c>
      <c r="X693" s="3" t="s">
        <v>43</v>
      </c>
      <c r="Y693" s="2" t="str">
        <f t="shared" si="71"/>
        <v>Unique</v>
      </c>
      <c r="AA693" s="2" t="str">
        <f t="shared" si="72"/>
        <v>Clean</v>
      </c>
      <c r="AB693" s="2" t="str">
        <f t="shared" si="73"/>
        <v>valid</v>
      </c>
      <c r="AC693">
        <f t="shared" si="88"/>
        <v>0.05</v>
      </c>
      <c r="AD693">
        <f t="shared" si="89"/>
        <v>8767.1699999999983</v>
      </c>
      <c r="AE693">
        <f t="shared" si="90"/>
        <v>3668.9699999999984</v>
      </c>
      <c r="AF693">
        <f t="shared" si="91"/>
        <v>0.41848966085977563</v>
      </c>
      <c r="AG693" t="str">
        <f t="shared" si="92"/>
        <v>December</v>
      </c>
      <c r="AH693">
        <f t="shared" si="93"/>
        <v>2024</v>
      </c>
      <c r="AI693" t="str">
        <f t="shared" si="94"/>
        <v>Clean</v>
      </c>
    </row>
    <row r="694" spans="1:35" ht="15.75" customHeight="1">
      <c r="A694" s="3" t="s">
        <v>3238</v>
      </c>
      <c r="B694" s="3" t="s">
        <v>235</v>
      </c>
      <c r="C694" s="3" t="s">
        <v>3239</v>
      </c>
      <c r="D694" s="3" t="str">
        <f t="shared" si="68"/>
        <v>10-Oct-2025</v>
      </c>
      <c r="E694" s="3" t="str">
        <f t="shared" si="69"/>
        <v>05-Oct-2025</v>
      </c>
      <c r="F694" s="3">
        <f t="shared" si="70"/>
        <v>5</v>
      </c>
      <c r="G694" s="3" t="s">
        <v>3240</v>
      </c>
      <c r="H694" s="3" t="s">
        <v>61</v>
      </c>
      <c r="I694" s="3" t="s">
        <v>116</v>
      </c>
      <c r="J694" s="3" t="s">
        <v>70</v>
      </c>
      <c r="K694" s="3" t="s">
        <v>237</v>
      </c>
      <c r="L694" s="3" t="s">
        <v>238</v>
      </c>
      <c r="M694" s="3" t="s">
        <v>53</v>
      </c>
      <c r="N694" s="3" t="s">
        <v>73</v>
      </c>
      <c r="O694" s="3" t="s">
        <v>3241</v>
      </c>
      <c r="P694" s="3" t="s">
        <v>41</v>
      </c>
      <c r="Q694" s="3">
        <v>4</v>
      </c>
      <c r="R694" s="3">
        <v>2365.6799999999998</v>
      </c>
      <c r="S694" s="3">
        <v>0.1</v>
      </c>
      <c r="T694" s="3">
        <v>8516.4500000000007</v>
      </c>
      <c r="U694" s="3">
        <v>5903.81</v>
      </c>
      <c r="V694" s="3">
        <v>2612.64</v>
      </c>
      <c r="W694" s="3" t="s">
        <v>42</v>
      </c>
      <c r="X694" s="3" t="s">
        <v>43</v>
      </c>
      <c r="Y694" s="2" t="str">
        <f t="shared" si="71"/>
        <v>Unique</v>
      </c>
      <c r="AA694" s="2" t="str">
        <f t="shared" si="72"/>
        <v>Clean</v>
      </c>
      <c r="AB694" s="2" t="str">
        <f t="shared" si="73"/>
        <v>valid</v>
      </c>
      <c r="AC694">
        <f t="shared" si="88"/>
        <v>0.1</v>
      </c>
      <c r="AD694">
        <f t="shared" si="89"/>
        <v>8516.4480000000003</v>
      </c>
      <c r="AE694">
        <f t="shared" si="90"/>
        <v>2612.6379999999999</v>
      </c>
      <c r="AF694">
        <f t="shared" si="91"/>
        <v>0.30677554774009069</v>
      </c>
      <c r="AG694" t="str">
        <f t="shared" si="92"/>
        <v>October</v>
      </c>
      <c r="AH694">
        <f t="shared" si="93"/>
        <v>2025</v>
      </c>
      <c r="AI694" t="str">
        <f t="shared" si="94"/>
        <v>Clean</v>
      </c>
    </row>
    <row r="695" spans="1:35" ht="15.75" customHeight="1">
      <c r="A695" s="3" t="s">
        <v>3242</v>
      </c>
      <c r="B695" s="3" t="s">
        <v>3243</v>
      </c>
      <c r="C695" s="3" t="s">
        <v>2488</v>
      </c>
      <c r="D695" s="3" t="str">
        <f t="shared" si="68"/>
        <v>11-Apr-2025</v>
      </c>
      <c r="E695" s="3" t="str">
        <f t="shared" si="69"/>
        <v>03-Apr-2025</v>
      </c>
      <c r="F695" s="3">
        <f t="shared" si="70"/>
        <v>8</v>
      </c>
      <c r="G695" s="3" t="s">
        <v>3244</v>
      </c>
      <c r="H695" s="3" t="s">
        <v>69</v>
      </c>
      <c r="I695" s="3" t="s">
        <v>34</v>
      </c>
      <c r="J695" s="3" t="s">
        <v>70</v>
      </c>
      <c r="K695" s="3" t="s">
        <v>347</v>
      </c>
      <c r="L695" s="3" t="s">
        <v>348</v>
      </c>
      <c r="M695" s="3" t="s">
        <v>53</v>
      </c>
      <c r="N695" s="3" t="s">
        <v>212</v>
      </c>
      <c r="O695" s="3" t="s">
        <v>3245</v>
      </c>
      <c r="P695" s="3" t="s">
        <v>41</v>
      </c>
      <c r="Q695" s="3">
        <v>3</v>
      </c>
      <c r="R695" s="3">
        <v>4149.7700000000004</v>
      </c>
      <c r="S695" s="3">
        <v>0.05</v>
      </c>
      <c r="T695" s="3">
        <v>11826.84</v>
      </c>
      <c r="U695" s="3">
        <v>8035.96</v>
      </c>
      <c r="V695" s="3">
        <v>3790.88</v>
      </c>
      <c r="W695" s="3" t="s">
        <v>42</v>
      </c>
      <c r="X695" s="3" t="s">
        <v>43</v>
      </c>
      <c r="Y695" s="2" t="str">
        <f t="shared" si="71"/>
        <v>Unique</v>
      </c>
      <c r="AA695" s="2" t="str">
        <f t="shared" si="72"/>
        <v>Clean</v>
      </c>
      <c r="AB695" s="2" t="str">
        <f t="shared" si="73"/>
        <v>valid</v>
      </c>
      <c r="AC695">
        <f t="shared" si="88"/>
        <v>0.05</v>
      </c>
      <c r="AD695">
        <f t="shared" si="89"/>
        <v>11826.844500000001</v>
      </c>
      <c r="AE695">
        <f t="shared" si="90"/>
        <v>3790.884500000001</v>
      </c>
      <c r="AF695">
        <f t="shared" si="91"/>
        <v>0.32053220112938835</v>
      </c>
      <c r="AG695" t="str">
        <f t="shared" si="92"/>
        <v>April</v>
      </c>
      <c r="AH695">
        <f t="shared" si="93"/>
        <v>2025</v>
      </c>
      <c r="AI695" t="str">
        <f t="shared" si="94"/>
        <v>Clean</v>
      </c>
    </row>
    <row r="696" spans="1:35" ht="15.75" customHeight="1">
      <c r="A696" s="3" t="s">
        <v>3246</v>
      </c>
      <c r="B696" s="3" t="s">
        <v>1728</v>
      </c>
      <c r="C696" s="3" t="s">
        <v>3067</v>
      </c>
      <c r="D696" s="3" t="str">
        <f t="shared" si="68"/>
        <v>09-Aug-2025</v>
      </c>
      <c r="E696" s="3" t="str">
        <f t="shared" si="69"/>
        <v>01-Aug-2025</v>
      </c>
      <c r="F696" s="3">
        <f t="shared" si="70"/>
        <v>8</v>
      </c>
      <c r="G696" s="3" t="s">
        <v>1736</v>
      </c>
      <c r="H696" s="3" t="s">
        <v>61</v>
      </c>
      <c r="I696" s="3" t="s">
        <v>34</v>
      </c>
      <c r="J696" s="3" t="s">
        <v>70</v>
      </c>
      <c r="K696" s="3" t="s">
        <v>108</v>
      </c>
      <c r="L696" s="3" t="s">
        <v>109</v>
      </c>
      <c r="M696" s="3" t="s">
        <v>38</v>
      </c>
      <c r="N696" s="3" t="s">
        <v>164</v>
      </c>
      <c r="O696" s="3" t="s">
        <v>3247</v>
      </c>
      <c r="P696" s="3" t="s">
        <v>64</v>
      </c>
      <c r="Q696" s="3">
        <v>5</v>
      </c>
      <c r="R696" s="3">
        <v>2736.24</v>
      </c>
      <c r="S696" s="3">
        <v>0.15</v>
      </c>
      <c r="T696" s="3">
        <v>11629.02</v>
      </c>
      <c r="U696" s="3">
        <v>9627.2099999999991</v>
      </c>
      <c r="V696" s="3">
        <v>2001.81</v>
      </c>
      <c r="W696" s="3" t="s">
        <v>42</v>
      </c>
      <c r="X696" s="3" t="s">
        <v>43</v>
      </c>
      <c r="Y696" s="2" t="str">
        <f t="shared" si="71"/>
        <v>Unique</v>
      </c>
      <c r="AA696" s="2" t="str">
        <f t="shared" si="72"/>
        <v>Clean</v>
      </c>
      <c r="AB696" s="2" t="str">
        <f t="shared" si="73"/>
        <v>valid</v>
      </c>
      <c r="AC696">
        <f t="shared" si="88"/>
        <v>0.15</v>
      </c>
      <c r="AD696">
        <f t="shared" si="89"/>
        <v>11629.019999999999</v>
      </c>
      <c r="AE696">
        <f t="shared" si="90"/>
        <v>2001.8099999999995</v>
      </c>
      <c r="AF696">
        <f t="shared" si="91"/>
        <v>0.17213918283741877</v>
      </c>
      <c r="AG696" t="str">
        <f t="shared" si="92"/>
        <v>August</v>
      </c>
      <c r="AH696">
        <f t="shared" si="93"/>
        <v>2025</v>
      </c>
      <c r="AI696" t="str">
        <f t="shared" si="94"/>
        <v>Clean</v>
      </c>
    </row>
    <row r="697" spans="1:35" ht="15.75" customHeight="1">
      <c r="A697" s="3" t="s">
        <v>3248</v>
      </c>
      <c r="B697" s="3" t="s">
        <v>3249</v>
      </c>
      <c r="C697" s="3" t="s">
        <v>2097</v>
      </c>
      <c r="D697" s="3" t="str">
        <f t="shared" si="68"/>
        <v>01-Jul-2024</v>
      </c>
      <c r="E697" s="3" t="str">
        <f t="shared" si="69"/>
        <v>01-Jul-2024</v>
      </c>
      <c r="F697" s="3">
        <f t="shared" si="70"/>
        <v>0</v>
      </c>
      <c r="G697" s="3" t="s">
        <v>3250</v>
      </c>
      <c r="H697" s="3" t="s">
        <v>170</v>
      </c>
      <c r="I697" s="3" t="s">
        <v>34</v>
      </c>
      <c r="J697" s="3" t="s">
        <v>81</v>
      </c>
      <c r="K697" s="3" t="s">
        <v>92</v>
      </c>
      <c r="L697" s="3" t="s">
        <v>93</v>
      </c>
      <c r="M697" s="3" t="s">
        <v>94</v>
      </c>
      <c r="N697" s="3" t="s">
        <v>391</v>
      </c>
      <c r="O697" s="3" t="s">
        <v>3251</v>
      </c>
      <c r="P697" s="3" t="s">
        <v>75</v>
      </c>
      <c r="Q697" s="3">
        <v>4</v>
      </c>
      <c r="R697" s="3">
        <v>257.39</v>
      </c>
      <c r="S697" s="3">
        <v>0</v>
      </c>
      <c r="T697" s="3">
        <v>1029.56</v>
      </c>
      <c r="U697" s="3">
        <v>626.33000000000004</v>
      </c>
      <c r="V697" s="3">
        <v>403.23</v>
      </c>
      <c r="W697" s="3" t="s">
        <v>42</v>
      </c>
      <c r="X697" s="3" t="s">
        <v>43</v>
      </c>
      <c r="Y697" s="2" t="str">
        <f t="shared" si="71"/>
        <v>Unique</v>
      </c>
      <c r="AA697" s="2" t="str">
        <f t="shared" si="72"/>
        <v>Clean</v>
      </c>
      <c r="AB697" s="2" t="str">
        <f t="shared" si="73"/>
        <v>valid</v>
      </c>
      <c r="AC697">
        <f t="shared" si="88"/>
        <v>0</v>
      </c>
      <c r="AD697">
        <f t="shared" si="89"/>
        <v>1029.56</v>
      </c>
      <c r="AE697">
        <f t="shared" si="90"/>
        <v>403.2299999999999</v>
      </c>
      <c r="AF697">
        <f t="shared" si="91"/>
        <v>0.39165274486188267</v>
      </c>
      <c r="AG697" t="str">
        <f t="shared" si="92"/>
        <v>July</v>
      </c>
      <c r="AH697">
        <f t="shared" si="93"/>
        <v>2024</v>
      </c>
      <c r="AI697" t="str">
        <f t="shared" si="94"/>
        <v>Clean</v>
      </c>
    </row>
    <row r="698" spans="1:35" ht="15.75" customHeight="1">
      <c r="A698" s="3" t="s">
        <v>3252</v>
      </c>
      <c r="B698" s="3" t="s">
        <v>3253</v>
      </c>
      <c r="C698" s="3" t="s">
        <v>3254</v>
      </c>
      <c r="D698" s="3" t="str">
        <f t="shared" si="68"/>
        <v>25-Sep-2025</v>
      </c>
      <c r="E698" s="3" t="str">
        <f t="shared" si="69"/>
        <v>22-Sep-2025</v>
      </c>
      <c r="F698" s="3">
        <f t="shared" si="70"/>
        <v>3</v>
      </c>
      <c r="G698" s="3" t="s">
        <v>3255</v>
      </c>
      <c r="H698" s="3" t="s">
        <v>61</v>
      </c>
      <c r="I698" s="3" t="s">
        <v>49</v>
      </c>
      <c r="J698" s="3" t="s">
        <v>70</v>
      </c>
      <c r="K698" s="3" t="s">
        <v>250</v>
      </c>
      <c r="L698" s="3" t="s">
        <v>251</v>
      </c>
      <c r="M698" s="3" t="s">
        <v>94</v>
      </c>
      <c r="N698" s="3" t="s">
        <v>231</v>
      </c>
      <c r="O698" s="3" t="s">
        <v>3256</v>
      </c>
      <c r="P698" s="3" t="s">
        <v>280</v>
      </c>
      <c r="Q698" s="3">
        <v>4</v>
      </c>
      <c r="R698" s="3">
        <v>1178.8399999999999</v>
      </c>
      <c r="S698" s="3">
        <v>0.25</v>
      </c>
      <c r="T698" s="3">
        <v>3536.52</v>
      </c>
      <c r="U698" s="3">
        <v>2102.41</v>
      </c>
      <c r="V698" s="3">
        <v>1363.28</v>
      </c>
      <c r="W698" s="3" t="s">
        <v>42</v>
      </c>
      <c r="X698" s="3" t="s">
        <v>43</v>
      </c>
      <c r="Y698" s="2" t="str">
        <f t="shared" si="71"/>
        <v>Unique</v>
      </c>
      <c r="AA698" s="2" t="str">
        <f t="shared" si="72"/>
        <v>Clean</v>
      </c>
      <c r="AB698" s="2" t="str">
        <f t="shared" si="73"/>
        <v>valid</v>
      </c>
      <c r="AC698">
        <f t="shared" si="88"/>
        <v>0.25</v>
      </c>
      <c r="AD698">
        <f t="shared" si="89"/>
        <v>3536.5199999999995</v>
      </c>
      <c r="AE698">
        <f t="shared" si="90"/>
        <v>1434.1099999999997</v>
      </c>
      <c r="AF698">
        <f t="shared" si="91"/>
        <v>0.40551446054313278</v>
      </c>
      <c r="AG698" t="str">
        <f t="shared" si="92"/>
        <v>September</v>
      </c>
      <c r="AH698">
        <f t="shared" si="93"/>
        <v>2025</v>
      </c>
      <c r="AI698" t="str">
        <f t="shared" si="94"/>
        <v>Clean</v>
      </c>
    </row>
    <row r="699" spans="1:35" ht="15.75" customHeight="1">
      <c r="A699" s="3" t="s">
        <v>3257</v>
      </c>
      <c r="B699" s="3" t="s">
        <v>2315</v>
      </c>
      <c r="C699" s="3" t="s">
        <v>795</v>
      </c>
      <c r="D699" s="3" t="str">
        <f t="shared" si="68"/>
        <v>07-Mar-2025</v>
      </c>
      <c r="E699" s="3" t="str">
        <f t="shared" si="69"/>
        <v>03-Jan-2025</v>
      </c>
      <c r="F699" s="3">
        <f t="shared" si="70"/>
        <v>63</v>
      </c>
      <c r="G699" s="3" t="s">
        <v>3258</v>
      </c>
      <c r="H699" s="3" t="s">
        <v>69</v>
      </c>
      <c r="I699" s="3" t="s">
        <v>116</v>
      </c>
      <c r="J699" s="3" t="s">
        <v>70</v>
      </c>
      <c r="K699" s="3" t="s">
        <v>108</v>
      </c>
      <c r="L699" s="3" t="s">
        <v>109</v>
      </c>
      <c r="M699" s="3" t="s">
        <v>38</v>
      </c>
      <c r="N699" s="3" t="s">
        <v>117</v>
      </c>
      <c r="O699" s="3" t="s">
        <v>3259</v>
      </c>
      <c r="P699" s="3" t="s">
        <v>64</v>
      </c>
      <c r="Q699" s="3">
        <v>7</v>
      </c>
      <c r="R699" s="3">
        <v>567.15</v>
      </c>
      <c r="S699" s="3">
        <v>0</v>
      </c>
      <c r="T699" s="3">
        <v>2977.54</v>
      </c>
      <c r="U699" s="3">
        <v>1849.3</v>
      </c>
      <c r="V699" s="3">
        <v>1128.24</v>
      </c>
      <c r="W699" s="3" t="s">
        <v>132</v>
      </c>
      <c r="X699" s="3" t="s">
        <v>133</v>
      </c>
      <c r="Y699" s="4" t="str">
        <f t="shared" si="71"/>
        <v>Unique</v>
      </c>
      <c r="AA699" s="2" t="str">
        <f t="shared" si="72"/>
        <v>Clean</v>
      </c>
      <c r="AB699" s="2" t="str">
        <f t="shared" si="73"/>
        <v>valid</v>
      </c>
      <c r="AC699">
        <f t="shared" si="88"/>
        <v>0</v>
      </c>
      <c r="AD699">
        <f t="shared" si="89"/>
        <v>3970.0499999999997</v>
      </c>
      <c r="AE699">
        <f t="shared" si="90"/>
        <v>2120.75</v>
      </c>
      <c r="AF699">
        <f t="shared" si="91"/>
        <v>0.53418722686112274</v>
      </c>
      <c r="AG699" t="str">
        <f t="shared" si="92"/>
        <v>January</v>
      </c>
      <c r="AH699">
        <f t="shared" si="93"/>
        <v>2025</v>
      </c>
      <c r="AI699" t="str">
        <f t="shared" si="94"/>
        <v>Clean</v>
      </c>
    </row>
    <row r="700" spans="1:35" ht="15.75" customHeight="1">
      <c r="A700" s="3" t="s">
        <v>3260</v>
      </c>
      <c r="B700" s="3" t="s">
        <v>3261</v>
      </c>
      <c r="C700" s="3" t="s">
        <v>1739</v>
      </c>
      <c r="D700" s="3" t="str">
        <f t="shared" si="68"/>
        <v>14-Sep-2024</v>
      </c>
      <c r="E700" s="3" t="str">
        <f t="shared" si="69"/>
        <v>14-Sep-2024</v>
      </c>
      <c r="F700" s="3">
        <f t="shared" si="70"/>
        <v>0</v>
      </c>
      <c r="G700" s="3" t="s">
        <v>3262</v>
      </c>
      <c r="H700" s="3" t="s">
        <v>48</v>
      </c>
      <c r="I700" s="3" t="s">
        <v>116</v>
      </c>
      <c r="J700" s="3" t="s">
        <v>35</v>
      </c>
      <c r="K700" s="3" t="s">
        <v>36</v>
      </c>
      <c r="L700" s="3" t="s">
        <v>37</v>
      </c>
      <c r="M700" s="3" t="s">
        <v>94</v>
      </c>
      <c r="N700" s="3" t="s">
        <v>391</v>
      </c>
      <c r="O700" s="3" t="s">
        <v>3263</v>
      </c>
      <c r="P700" s="3" t="s">
        <v>75</v>
      </c>
      <c r="Q700" s="3">
        <v>8</v>
      </c>
      <c r="R700" s="3">
        <v>4081.66</v>
      </c>
      <c r="S700" s="3">
        <v>0.15</v>
      </c>
      <c r="T700" s="3">
        <v>28208.1</v>
      </c>
      <c r="U700" s="3">
        <v>23751.91</v>
      </c>
      <c r="V700" s="3">
        <v>4003.38</v>
      </c>
      <c r="W700" s="3" t="s">
        <v>42</v>
      </c>
      <c r="X700" s="3" t="s">
        <v>133</v>
      </c>
      <c r="Y700" s="2" t="str">
        <f t="shared" si="71"/>
        <v>Unique</v>
      </c>
      <c r="AA700" s="2" t="str">
        <f t="shared" si="72"/>
        <v>Clean</v>
      </c>
      <c r="AB700" s="2" t="str">
        <f t="shared" si="73"/>
        <v>valid</v>
      </c>
      <c r="AC700">
        <f t="shared" si="88"/>
        <v>0.15</v>
      </c>
      <c r="AD700">
        <f t="shared" si="89"/>
        <v>27755.287999999997</v>
      </c>
      <c r="AE700">
        <f t="shared" si="90"/>
        <v>4003.377999999997</v>
      </c>
      <c r="AF700">
        <f t="shared" si="91"/>
        <v>0.14423838801456493</v>
      </c>
      <c r="AG700" t="str">
        <f t="shared" si="92"/>
        <v>September</v>
      </c>
      <c r="AH700">
        <f t="shared" si="93"/>
        <v>2024</v>
      </c>
      <c r="AI700" t="str">
        <f t="shared" si="94"/>
        <v>Clean</v>
      </c>
    </row>
    <row r="701" spans="1:35" ht="15.75" customHeight="1">
      <c r="A701" s="3" t="s">
        <v>3264</v>
      </c>
      <c r="B701" s="3" t="s">
        <v>3265</v>
      </c>
      <c r="C701" s="3" t="s">
        <v>3266</v>
      </c>
      <c r="D701" s="3" t="str">
        <f t="shared" si="68"/>
        <v>11-Jun-2024</v>
      </c>
      <c r="E701" s="3" t="str">
        <f t="shared" si="69"/>
        <v>11-Jun-2024</v>
      </c>
      <c r="F701" s="3">
        <f t="shared" si="70"/>
        <v>0</v>
      </c>
      <c r="G701" s="3" t="s">
        <v>3267</v>
      </c>
      <c r="H701" s="3" t="s">
        <v>69</v>
      </c>
      <c r="I701" s="3" t="s">
        <v>49</v>
      </c>
      <c r="J701" s="3" t="s">
        <v>70</v>
      </c>
      <c r="K701" s="3" t="s">
        <v>237</v>
      </c>
      <c r="L701" s="3" t="s">
        <v>238</v>
      </c>
      <c r="M701" s="3" t="s">
        <v>53</v>
      </c>
      <c r="N701" s="3" t="s">
        <v>212</v>
      </c>
      <c r="O701" s="3" t="s">
        <v>3268</v>
      </c>
      <c r="P701" s="3" t="s">
        <v>75</v>
      </c>
      <c r="Q701" s="3">
        <v>9</v>
      </c>
      <c r="R701" s="3">
        <v>1400.11</v>
      </c>
      <c r="S701" s="3">
        <v>0.25</v>
      </c>
      <c r="T701" s="3">
        <v>9450.74</v>
      </c>
      <c r="U701" s="3">
        <v>7798.56</v>
      </c>
      <c r="V701" s="3">
        <v>1652.18</v>
      </c>
      <c r="W701" s="3" t="s">
        <v>42</v>
      </c>
      <c r="X701" s="3" t="s">
        <v>43</v>
      </c>
      <c r="Y701" s="2" t="str">
        <f t="shared" si="71"/>
        <v>Unique</v>
      </c>
      <c r="AA701" s="2" t="str">
        <f t="shared" si="72"/>
        <v>Clean</v>
      </c>
      <c r="AB701" s="2" t="str">
        <f t="shared" si="73"/>
        <v>valid</v>
      </c>
      <c r="AC701">
        <f t="shared" si="88"/>
        <v>0.25</v>
      </c>
      <c r="AD701">
        <f t="shared" si="89"/>
        <v>9450.7425000000003</v>
      </c>
      <c r="AE701">
        <f t="shared" si="90"/>
        <v>1652.1824999999999</v>
      </c>
      <c r="AF701">
        <f t="shared" si="91"/>
        <v>0.17482039109625511</v>
      </c>
      <c r="AG701" t="str">
        <f t="shared" si="92"/>
        <v>June</v>
      </c>
      <c r="AH701">
        <f t="shared" si="93"/>
        <v>2024</v>
      </c>
      <c r="AI701" t="str">
        <f t="shared" si="94"/>
        <v>Clean</v>
      </c>
    </row>
    <row r="702" spans="1:35" ht="15.75" customHeight="1">
      <c r="A702" s="3" t="s">
        <v>3269</v>
      </c>
      <c r="B702" s="3" t="s">
        <v>3270</v>
      </c>
      <c r="C702" s="3" t="s">
        <v>1136</v>
      </c>
      <c r="D702" s="3" t="str">
        <f t="shared" si="68"/>
        <v>21-Sep-2024</v>
      </c>
      <c r="E702" s="3" t="str">
        <f t="shared" si="69"/>
        <v>18-Sep-2024</v>
      </c>
      <c r="F702" s="3">
        <f t="shared" si="70"/>
        <v>3</v>
      </c>
      <c r="G702" s="3" t="s">
        <v>3271</v>
      </c>
      <c r="H702" s="3" t="s">
        <v>101</v>
      </c>
      <c r="I702" s="3" t="s">
        <v>116</v>
      </c>
      <c r="J702" s="3" t="s">
        <v>50</v>
      </c>
      <c r="K702" s="3" t="s">
        <v>129</v>
      </c>
      <c r="L702" s="3" t="s">
        <v>130</v>
      </c>
      <c r="M702" s="3" t="s">
        <v>94</v>
      </c>
      <c r="N702" s="3" t="s">
        <v>391</v>
      </c>
      <c r="O702" s="3" t="s">
        <v>3272</v>
      </c>
      <c r="P702" s="3" t="s">
        <v>75</v>
      </c>
      <c r="Q702" s="3">
        <v>3</v>
      </c>
      <c r="R702" s="3">
        <v>3055.9</v>
      </c>
      <c r="S702" s="3">
        <v>0.15</v>
      </c>
      <c r="T702" s="3">
        <v>7792.55</v>
      </c>
      <c r="U702" s="3">
        <v>4691.7299999999996</v>
      </c>
      <c r="V702" s="3">
        <v>3100.82</v>
      </c>
      <c r="W702" s="3" t="s">
        <v>42</v>
      </c>
      <c r="X702" s="3" t="s">
        <v>43</v>
      </c>
      <c r="Y702" s="2" t="str">
        <f t="shared" si="71"/>
        <v>Unique</v>
      </c>
      <c r="AA702" s="2" t="str">
        <f t="shared" si="72"/>
        <v>Clean</v>
      </c>
      <c r="AB702" s="2" t="str">
        <f t="shared" si="73"/>
        <v>valid</v>
      </c>
      <c r="AC702">
        <f t="shared" si="88"/>
        <v>0.15</v>
      </c>
      <c r="AD702">
        <f t="shared" si="89"/>
        <v>7792.5450000000001</v>
      </c>
      <c r="AE702">
        <f t="shared" si="90"/>
        <v>3100.8150000000005</v>
      </c>
      <c r="AF702">
        <f t="shared" si="91"/>
        <v>0.39792070498149201</v>
      </c>
      <c r="AG702" t="str">
        <f t="shared" si="92"/>
        <v>September</v>
      </c>
      <c r="AH702">
        <f t="shared" si="93"/>
        <v>2024</v>
      </c>
      <c r="AI702" t="str">
        <f t="shared" si="94"/>
        <v>Clean</v>
      </c>
    </row>
    <row r="703" spans="1:35" ht="15.75" customHeight="1">
      <c r="A703" s="3" t="s">
        <v>3273</v>
      </c>
      <c r="B703" s="3" t="s">
        <v>1621</v>
      </c>
      <c r="C703" s="3" t="s">
        <v>1292</v>
      </c>
      <c r="D703" s="3" t="str">
        <f t="shared" si="68"/>
        <v>04-May-2024</v>
      </c>
      <c r="E703" s="3" t="str">
        <f t="shared" si="69"/>
        <v>30-Apr-2024</v>
      </c>
      <c r="F703" s="3">
        <f t="shared" si="70"/>
        <v>4</v>
      </c>
      <c r="G703" s="3" t="s">
        <v>3274</v>
      </c>
      <c r="H703" s="3" t="s">
        <v>188</v>
      </c>
      <c r="I703" s="3" t="s">
        <v>49</v>
      </c>
      <c r="J703" s="3" t="s">
        <v>81</v>
      </c>
      <c r="K703" s="3" t="s">
        <v>243</v>
      </c>
      <c r="L703" s="3" t="s">
        <v>244</v>
      </c>
      <c r="M703" s="3" t="s">
        <v>38</v>
      </c>
      <c r="N703" s="3" t="s">
        <v>62</v>
      </c>
      <c r="O703" s="3" t="s">
        <v>3275</v>
      </c>
      <c r="P703" s="3" t="s">
        <v>56</v>
      </c>
      <c r="Q703" s="3">
        <v>7</v>
      </c>
      <c r="R703" s="3">
        <v>1224.94</v>
      </c>
      <c r="S703" s="3">
        <v>0</v>
      </c>
      <c r="T703" s="3">
        <v>8574.58</v>
      </c>
      <c r="U703" s="3">
        <v>6685.81</v>
      </c>
      <c r="V703" s="3">
        <v>1888.77</v>
      </c>
      <c r="W703" s="3" t="s">
        <v>42</v>
      </c>
      <c r="X703" s="3" t="s">
        <v>133</v>
      </c>
      <c r="Y703" s="2" t="str">
        <f t="shared" si="71"/>
        <v>Unique</v>
      </c>
      <c r="AA703" s="2" t="str">
        <f t="shared" si="72"/>
        <v>Clean</v>
      </c>
      <c r="AB703" s="2" t="str">
        <f t="shared" si="73"/>
        <v>valid</v>
      </c>
      <c r="AC703">
        <f t="shared" si="88"/>
        <v>0</v>
      </c>
      <c r="AD703">
        <f t="shared" si="89"/>
        <v>8574.58</v>
      </c>
      <c r="AE703">
        <f t="shared" si="90"/>
        <v>1888.7699999999995</v>
      </c>
      <c r="AF703">
        <f t="shared" si="91"/>
        <v>0.22027551203674112</v>
      </c>
      <c r="AG703" t="str">
        <f t="shared" si="92"/>
        <v>April</v>
      </c>
      <c r="AH703">
        <f t="shared" si="93"/>
        <v>2024</v>
      </c>
      <c r="AI703" t="str">
        <f t="shared" si="94"/>
        <v>Clean</v>
      </c>
    </row>
    <row r="704" spans="1:35" ht="15.75" customHeight="1">
      <c r="A704" s="3" t="s">
        <v>3276</v>
      </c>
      <c r="B704" s="3" t="s">
        <v>3277</v>
      </c>
      <c r="C704" s="3" t="s">
        <v>2873</v>
      </c>
      <c r="D704" s="3" t="str">
        <f t="shared" si="68"/>
        <v>02-Jun-2025</v>
      </c>
      <c r="E704" s="3" t="str">
        <f t="shared" si="69"/>
        <v>02-Feb-2025</v>
      </c>
      <c r="F704" s="3">
        <f t="shared" si="70"/>
        <v>120</v>
      </c>
      <c r="G704" s="3" t="s">
        <v>3278</v>
      </c>
      <c r="H704" s="3" t="s">
        <v>33</v>
      </c>
      <c r="I704" s="3" t="s">
        <v>49</v>
      </c>
      <c r="J704" s="3" t="s">
        <v>81</v>
      </c>
      <c r="K704" s="3" t="s">
        <v>36</v>
      </c>
      <c r="L704" s="3" t="s">
        <v>143</v>
      </c>
      <c r="M704" s="3" t="s">
        <v>53</v>
      </c>
      <c r="N704" s="3" t="s">
        <v>54</v>
      </c>
      <c r="O704" s="3" t="s">
        <v>3279</v>
      </c>
      <c r="P704" s="3" t="s">
        <v>41</v>
      </c>
      <c r="Q704" s="3">
        <v>3</v>
      </c>
      <c r="R704" s="3">
        <v>997.34</v>
      </c>
      <c r="S704" s="3">
        <v>0.1</v>
      </c>
      <c r="T704" s="3">
        <v>2692.82</v>
      </c>
      <c r="U704" s="3">
        <v>1820.08</v>
      </c>
      <c r="V704" s="3">
        <v>872.74</v>
      </c>
      <c r="W704" s="3" t="s">
        <v>42</v>
      </c>
      <c r="X704" s="3" t="s">
        <v>43</v>
      </c>
      <c r="Y704" s="2" t="str">
        <f t="shared" si="71"/>
        <v>Unique</v>
      </c>
      <c r="AA704" s="2" t="str">
        <f t="shared" si="72"/>
        <v>Clean</v>
      </c>
      <c r="AB704" s="2" t="str">
        <f t="shared" si="73"/>
        <v>valid</v>
      </c>
      <c r="AC704">
        <f t="shared" si="88"/>
        <v>0.1</v>
      </c>
      <c r="AD704">
        <f t="shared" si="89"/>
        <v>2692.8180000000002</v>
      </c>
      <c r="AE704">
        <f t="shared" si="90"/>
        <v>872.73800000000028</v>
      </c>
      <c r="AF704">
        <f t="shared" si="91"/>
        <v>0.32409839803506968</v>
      </c>
      <c r="AG704" t="str">
        <f t="shared" si="92"/>
        <v>February</v>
      </c>
      <c r="AH704">
        <f t="shared" si="93"/>
        <v>2025</v>
      </c>
      <c r="AI704" t="str">
        <f t="shared" si="94"/>
        <v>Clean</v>
      </c>
    </row>
    <row r="705" spans="1:35" ht="15.75" customHeight="1">
      <c r="A705" s="3" t="s">
        <v>3280</v>
      </c>
      <c r="B705" s="3" t="s">
        <v>3281</v>
      </c>
      <c r="C705" s="3" t="s">
        <v>2372</v>
      </c>
      <c r="D705" s="3" t="str">
        <f t="shared" si="68"/>
        <v>20-Oct-2024</v>
      </c>
      <c r="E705" s="3" t="str">
        <f t="shared" si="69"/>
        <v>19-Oct-2024</v>
      </c>
      <c r="F705" s="3">
        <f t="shared" si="70"/>
        <v>1</v>
      </c>
      <c r="G705" s="3" t="s">
        <v>3282</v>
      </c>
      <c r="H705" s="3" t="s">
        <v>115</v>
      </c>
      <c r="I705" s="3" t="s">
        <v>116</v>
      </c>
      <c r="J705" s="3" t="s">
        <v>35</v>
      </c>
      <c r="K705" s="3" t="s">
        <v>36</v>
      </c>
      <c r="L705" s="3" t="s">
        <v>37</v>
      </c>
      <c r="M705" s="3" t="s">
        <v>53</v>
      </c>
      <c r="N705" s="3" t="s">
        <v>54</v>
      </c>
      <c r="O705" s="3" t="s">
        <v>3283</v>
      </c>
      <c r="P705" s="3" t="s">
        <v>64</v>
      </c>
      <c r="Q705" s="3">
        <v>1</v>
      </c>
      <c r="R705" s="3">
        <v>1150.03</v>
      </c>
      <c r="S705" s="3">
        <v>0.1</v>
      </c>
      <c r="T705" s="3">
        <v>1035.03</v>
      </c>
      <c r="U705" s="3">
        <v>854.35</v>
      </c>
      <c r="V705" s="3">
        <v>180.68</v>
      </c>
      <c r="W705" s="3" t="s">
        <v>42</v>
      </c>
      <c r="X705" s="3" t="s">
        <v>43</v>
      </c>
      <c r="Y705" s="2" t="str">
        <f t="shared" si="71"/>
        <v>Unique</v>
      </c>
      <c r="AA705" s="2" t="str">
        <f t="shared" si="72"/>
        <v>Clean</v>
      </c>
      <c r="AB705" s="2" t="str">
        <f t="shared" si="73"/>
        <v>valid</v>
      </c>
      <c r="AC705">
        <f t="shared" si="88"/>
        <v>0.1</v>
      </c>
      <c r="AD705">
        <f t="shared" si="89"/>
        <v>1035.027</v>
      </c>
      <c r="AE705">
        <f t="shared" si="90"/>
        <v>180.67700000000002</v>
      </c>
      <c r="AF705">
        <f t="shared" si="91"/>
        <v>0.1745625959516032</v>
      </c>
      <c r="AG705" t="str">
        <f t="shared" si="92"/>
        <v>October</v>
      </c>
      <c r="AH705">
        <f t="shared" si="93"/>
        <v>2024</v>
      </c>
      <c r="AI705" t="str">
        <f t="shared" si="94"/>
        <v>Clean</v>
      </c>
    </row>
    <row r="706" spans="1:35" ht="15.75" customHeight="1">
      <c r="A706" s="3" t="s">
        <v>3284</v>
      </c>
      <c r="B706" s="3" t="s">
        <v>1558</v>
      </c>
      <c r="C706" s="3" t="s">
        <v>3285</v>
      </c>
      <c r="D706" s="3" t="str">
        <f t="shared" si="68"/>
        <v>20-Mar-2024</v>
      </c>
      <c r="E706" s="3" t="str">
        <f t="shared" si="69"/>
        <v>13-Mar-2024</v>
      </c>
      <c r="F706" s="3">
        <f t="shared" si="70"/>
        <v>7</v>
      </c>
      <c r="G706" s="3" t="s">
        <v>3286</v>
      </c>
      <c r="H706" s="3" t="s">
        <v>150</v>
      </c>
      <c r="I706" s="3" t="s">
        <v>123</v>
      </c>
      <c r="J706" s="3" t="s">
        <v>70</v>
      </c>
      <c r="K706" s="3" t="s">
        <v>347</v>
      </c>
      <c r="L706" s="3" t="s">
        <v>348</v>
      </c>
      <c r="M706" s="3" t="s">
        <v>53</v>
      </c>
      <c r="N706" s="3" t="s">
        <v>212</v>
      </c>
      <c r="O706" s="3" t="s">
        <v>3287</v>
      </c>
      <c r="P706" s="3" t="s">
        <v>280</v>
      </c>
      <c r="Q706" s="3">
        <v>1</v>
      </c>
      <c r="R706" s="3">
        <v>2825.63</v>
      </c>
      <c r="S706" s="3">
        <v>0.15</v>
      </c>
      <c r="T706" s="3">
        <v>2401.79</v>
      </c>
      <c r="U706" s="3">
        <v>1820.34</v>
      </c>
      <c r="V706" s="3">
        <v>581.45000000000005</v>
      </c>
      <c r="W706" s="3" t="s">
        <v>42</v>
      </c>
      <c r="X706" s="3" t="s">
        <v>43</v>
      </c>
      <c r="Y706" s="2" t="str">
        <f t="shared" si="71"/>
        <v>Unique</v>
      </c>
      <c r="AA706" s="2" t="str">
        <f t="shared" si="72"/>
        <v>Clean</v>
      </c>
      <c r="AB706" s="2" t="str">
        <f t="shared" si="73"/>
        <v>valid</v>
      </c>
      <c r="AC706">
        <f t="shared" si="88"/>
        <v>0.15</v>
      </c>
      <c r="AD706">
        <f t="shared" si="89"/>
        <v>2401.7855</v>
      </c>
      <c r="AE706">
        <f t="shared" si="90"/>
        <v>581.44550000000004</v>
      </c>
      <c r="AF706">
        <f t="shared" si="91"/>
        <v>0.24208885431276025</v>
      </c>
      <c r="AG706" t="str">
        <f t="shared" si="92"/>
        <v>March</v>
      </c>
      <c r="AH706">
        <f t="shared" si="93"/>
        <v>2024</v>
      </c>
      <c r="AI706" t="str">
        <f t="shared" si="94"/>
        <v>Clean</v>
      </c>
    </row>
    <row r="707" spans="1:35" ht="15.75" customHeight="1">
      <c r="A707" s="3" t="s">
        <v>3288</v>
      </c>
      <c r="B707" s="3" t="s">
        <v>3289</v>
      </c>
      <c r="C707" s="3" t="s">
        <v>3290</v>
      </c>
      <c r="D707" s="3" t="str">
        <f t="shared" si="68"/>
        <v>14-Sep-2024</v>
      </c>
      <c r="E707" s="3" t="str">
        <f t="shared" si="69"/>
        <v>08-Sep-2024</v>
      </c>
      <c r="F707" s="3">
        <f t="shared" si="70"/>
        <v>6</v>
      </c>
      <c r="G707" s="3" t="s">
        <v>3291</v>
      </c>
      <c r="H707" s="3" t="s">
        <v>188</v>
      </c>
      <c r="I707" s="3" t="s">
        <v>34</v>
      </c>
      <c r="J707" s="3" t="s">
        <v>35</v>
      </c>
      <c r="K707" s="3" t="s">
        <v>36</v>
      </c>
      <c r="L707" s="3" t="s">
        <v>37</v>
      </c>
      <c r="M707" s="3" t="s">
        <v>38</v>
      </c>
      <c r="N707" s="3" t="s">
        <v>206</v>
      </c>
      <c r="O707" s="3" t="s">
        <v>3292</v>
      </c>
      <c r="P707" s="3" t="s">
        <v>75</v>
      </c>
      <c r="Q707" s="3">
        <v>5</v>
      </c>
      <c r="R707" s="3">
        <v>3371.75</v>
      </c>
      <c r="S707" s="3">
        <v>0.05</v>
      </c>
      <c r="T707" s="3">
        <v>16015.81</v>
      </c>
      <c r="U707" s="3">
        <v>11352.38</v>
      </c>
      <c r="V707" s="3">
        <v>4663.43</v>
      </c>
      <c r="W707" s="3" t="s">
        <v>42</v>
      </c>
      <c r="X707" s="3" t="s">
        <v>43</v>
      </c>
      <c r="Y707" s="2" t="str">
        <f t="shared" si="71"/>
        <v>Unique</v>
      </c>
      <c r="AA707" s="2" t="str">
        <f t="shared" si="72"/>
        <v>Clean</v>
      </c>
      <c r="AB707" s="2" t="str">
        <f t="shared" si="73"/>
        <v>valid</v>
      </c>
      <c r="AC707">
        <f t="shared" ref="AC707:AC770" si="95">IF(S707="",0,IF(S707&gt;1,S707/100,S707))</f>
        <v>0.05</v>
      </c>
      <c r="AD707">
        <f t="shared" ref="AD707:AD770" si="96">Q707*R707*(1-AC707)</f>
        <v>16015.8125</v>
      </c>
      <c r="AE707">
        <f t="shared" ref="AE707:AE770" si="97">AD707-U707</f>
        <v>4663.4325000000008</v>
      </c>
      <c r="AF707">
        <f t="shared" ref="AF707:AF770" si="98">AE707/AD707</f>
        <v>0.29117676671102394</v>
      </c>
      <c r="AG707" t="str">
        <f t="shared" ref="AG707:AG770" si="99">TEXT(E707,"mmmm")</f>
        <v>September</v>
      </c>
      <c r="AH707">
        <f t="shared" ref="AH707:AH770" si="100">YEAR(E707)</f>
        <v>2024</v>
      </c>
      <c r="AI707" t="str">
        <f t="shared" ref="AI707:AI770" si="101">IF(OR(AC707&lt;0,AC707&gt;0.5,F707="Invalid Shipping Record"),"Invalid",
IF(OR(X707="Cancelled",W707="Failed"),"Warning","Clean"))</f>
        <v>Clean</v>
      </c>
    </row>
    <row r="708" spans="1:35" ht="15.75" customHeight="1">
      <c r="A708" s="3" t="s">
        <v>3293</v>
      </c>
      <c r="B708" s="3" t="s">
        <v>3294</v>
      </c>
      <c r="C708" s="3" t="s">
        <v>1047</v>
      </c>
      <c r="D708" s="3" t="str">
        <f t="shared" si="68"/>
        <v>28-Jun-2024</v>
      </c>
      <c r="E708" s="3" t="str">
        <f t="shared" si="69"/>
        <v>24-Jun-2024</v>
      </c>
      <c r="F708" s="3">
        <f t="shared" si="70"/>
        <v>4</v>
      </c>
      <c r="G708" s="3" t="s">
        <v>3295</v>
      </c>
      <c r="H708" s="3" t="s">
        <v>61</v>
      </c>
      <c r="I708" s="3" t="s">
        <v>49</v>
      </c>
      <c r="J708" s="3" t="s">
        <v>50</v>
      </c>
      <c r="K708" s="3" t="s">
        <v>51</v>
      </c>
      <c r="L708" s="3" t="s">
        <v>52</v>
      </c>
      <c r="M708" s="3" t="s">
        <v>38</v>
      </c>
      <c r="N708" s="3" t="s">
        <v>39</v>
      </c>
      <c r="O708" s="3" t="s">
        <v>3296</v>
      </c>
      <c r="P708" s="3" t="s">
        <v>56</v>
      </c>
      <c r="Q708" s="3">
        <v>1</v>
      </c>
      <c r="R708" s="3">
        <v>2112.75</v>
      </c>
      <c r="S708" s="3">
        <v>0.1</v>
      </c>
      <c r="T708" s="3">
        <v>1901.48</v>
      </c>
      <c r="U708" s="3">
        <v>1354.28</v>
      </c>
      <c r="V708" s="3">
        <v>547.20000000000005</v>
      </c>
      <c r="W708" s="3" t="s">
        <v>42</v>
      </c>
      <c r="X708" s="3" t="s">
        <v>43</v>
      </c>
      <c r="Y708" s="2" t="str">
        <f t="shared" si="71"/>
        <v>Unique</v>
      </c>
      <c r="AA708" s="2" t="str">
        <f t="shared" si="72"/>
        <v>Clean</v>
      </c>
      <c r="AB708" s="2" t="str">
        <f t="shared" si="73"/>
        <v>valid</v>
      </c>
      <c r="AC708">
        <f t="shared" si="95"/>
        <v>0.1</v>
      </c>
      <c r="AD708">
        <f t="shared" si="96"/>
        <v>1901.4750000000001</v>
      </c>
      <c r="AE708">
        <f t="shared" si="97"/>
        <v>547.19500000000016</v>
      </c>
      <c r="AF708">
        <f t="shared" si="98"/>
        <v>0.28777396494826391</v>
      </c>
      <c r="AG708" t="str">
        <f t="shared" si="99"/>
        <v>June</v>
      </c>
      <c r="AH708">
        <f t="shared" si="100"/>
        <v>2024</v>
      </c>
      <c r="AI708" t="str">
        <f t="shared" si="101"/>
        <v>Clean</v>
      </c>
    </row>
    <row r="709" spans="1:35" ht="15.75" customHeight="1">
      <c r="A709" s="3" t="s">
        <v>3297</v>
      </c>
      <c r="B709" s="3" t="s">
        <v>3298</v>
      </c>
      <c r="C709" s="3" t="s">
        <v>2363</v>
      </c>
      <c r="D709" s="3" t="str">
        <f t="shared" si="68"/>
        <v>26-Jun-2025</v>
      </c>
      <c r="E709" s="3" t="str">
        <f t="shared" si="69"/>
        <v>24-Jun-2025</v>
      </c>
      <c r="F709" s="3">
        <f t="shared" si="70"/>
        <v>2</v>
      </c>
      <c r="G709" s="3" t="s">
        <v>3299</v>
      </c>
      <c r="H709" s="3" t="s">
        <v>91</v>
      </c>
      <c r="I709" s="3" t="s">
        <v>34</v>
      </c>
      <c r="J709" s="3" t="s">
        <v>35</v>
      </c>
      <c r="K709" s="3" t="s">
        <v>36</v>
      </c>
      <c r="L709" s="3" t="s">
        <v>37</v>
      </c>
      <c r="M709" s="3" t="s">
        <v>94</v>
      </c>
      <c r="N709" s="3" t="s">
        <v>95</v>
      </c>
      <c r="O709" s="3" t="s">
        <v>3300</v>
      </c>
      <c r="P709" s="3" t="s">
        <v>56</v>
      </c>
      <c r="Q709" s="3">
        <v>5</v>
      </c>
      <c r="R709" s="3">
        <v>3722.66</v>
      </c>
      <c r="S709" s="3">
        <v>0.55000000000000004</v>
      </c>
      <c r="T709" s="3">
        <v>16751.97</v>
      </c>
      <c r="U709" s="3">
        <v>11678.32</v>
      </c>
      <c r="V709" s="3">
        <v>5073.6499999999996</v>
      </c>
      <c r="W709" s="3" t="s">
        <v>42</v>
      </c>
      <c r="X709" s="3" t="s">
        <v>43</v>
      </c>
      <c r="Y709" s="2" t="str">
        <f t="shared" si="71"/>
        <v>Unique</v>
      </c>
      <c r="AA709" s="2" t="str">
        <f t="shared" si="72"/>
        <v>Invalid</v>
      </c>
      <c r="AB709" s="2" t="str">
        <f t="shared" si="73"/>
        <v>valid</v>
      </c>
      <c r="AC709">
        <f t="shared" si="95"/>
        <v>0.55000000000000004</v>
      </c>
      <c r="AD709">
        <f t="shared" si="96"/>
        <v>8375.9849999999988</v>
      </c>
      <c r="AE709">
        <f t="shared" si="97"/>
        <v>-3302.3350000000009</v>
      </c>
      <c r="AF709">
        <f t="shared" si="98"/>
        <v>-0.39426228676388525</v>
      </c>
      <c r="AG709" t="str">
        <f t="shared" si="99"/>
        <v>June</v>
      </c>
      <c r="AH709">
        <f t="shared" si="100"/>
        <v>2025</v>
      </c>
      <c r="AI709" t="str">
        <f t="shared" si="101"/>
        <v>Invalid</v>
      </c>
    </row>
    <row r="710" spans="1:35" ht="15.75" customHeight="1">
      <c r="A710" s="3" t="s">
        <v>3301</v>
      </c>
      <c r="B710" s="3" t="s">
        <v>3302</v>
      </c>
      <c r="C710" s="3" t="s">
        <v>3303</v>
      </c>
      <c r="D710" s="3" t="str">
        <f t="shared" si="68"/>
        <v>26-Mar-2025</v>
      </c>
      <c r="E710" s="3" t="str">
        <f t="shared" si="69"/>
        <v>20-Mar-2025</v>
      </c>
      <c r="F710" s="3">
        <f t="shared" si="70"/>
        <v>6</v>
      </c>
      <c r="G710" s="3" t="s">
        <v>3304</v>
      </c>
      <c r="H710" s="3" t="s">
        <v>176</v>
      </c>
      <c r="I710" s="3" t="s">
        <v>34</v>
      </c>
      <c r="J710" s="3" t="s">
        <v>50</v>
      </c>
      <c r="K710" s="3" t="s">
        <v>224</v>
      </c>
      <c r="L710" s="3" t="s">
        <v>225</v>
      </c>
      <c r="M710" s="3" t="s">
        <v>53</v>
      </c>
      <c r="N710" s="3" t="s">
        <v>212</v>
      </c>
      <c r="O710" s="3" t="s">
        <v>3305</v>
      </c>
      <c r="P710" s="3" t="s">
        <v>64</v>
      </c>
      <c r="Q710" s="3">
        <v>4</v>
      </c>
      <c r="R710" s="3">
        <v>4357.66</v>
      </c>
      <c r="S710" s="3">
        <v>0.05</v>
      </c>
      <c r="T710" s="3">
        <v>16559.11</v>
      </c>
      <c r="U710" s="3">
        <v>13233.79</v>
      </c>
      <c r="V710" s="3">
        <v>3325.32</v>
      </c>
      <c r="W710" s="3" t="s">
        <v>42</v>
      </c>
      <c r="X710" s="3" t="s">
        <v>43</v>
      </c>
      <c r="Y710" s="2" t="str">
        <f t="shared" si="71"/>
        <v>Unique</v>
      </c>
      <c r="AA710" s="2" t="str">
        <f t="shared" si="72"/>
        <v>Clean</v>
      </c>
      <c r="AB710" s="2" t="str">
        <f t="shared" si="73"/>
        <v>valid</v>
      </c>
      <c r="AC710">
        <f t="shared" si="95"/>
        <v>0.05</v>
      </c>
      <c r="AD710">
        <f t="shared" si="96"/>
        <v>16559.108</v>
      </c>
      <c r="AE710">
        <f t="shared" si="97"/>
        <v>3325.3179999999993</v>
      </c>
      <c r="AF710">
        <f t="shared" si="98"/>
        <v>0.20081504390212318</v>
      </c>
      <c r="AG710" t="str">
        <f t="shared" si="99"/>
        <v>March</v>
      </c>
      <c r="AH710">
        <f t="shared" si="100"/>
        <v>2025</v>
      </c>
      <c r="AI710" t="str">
        <f t="shared" si="101"/>
        <v>Clean</v>
      </c>
    </row>
    <row r="711" spans="1:35" ht="15.75" customHeight="1">
      <c r="A711" s="3" t="s">
        <v>3306</v>
      </c>
      <c r="B711" s="3" t="s">
        <v>203</v>
      </c>
      <c r="C711" s="3" t="s">
        <v>192</v>
      </c>
      <c r="D711" s="3" t="str">
        <f t="shared" si="68"/>
        <v>23-Jan-2025</v>
      </c>
      <c r="E711" s="3" t="str">
        <f t="shared" si="69"/>
        <v>19-Jan-2025</v>
      </c>
      <c r="F711" s="3">
        <f t="shared" si="70"/>
        <v>4</v>
      </c>
      <c r="G711" s="3" t="s">
        <v>3307</v>
      </c>
      <c r="H711" s="3" t="s">
        <v>375</v>
      </c>
      <c r="I711" s="3" t="s">
        <v>123</v>
      </c>
      <c r="J711" s="3" t="s">
        <v>35</v>
      </c>
      <c r="K711" s="3" t="s">
        <v>162</v>
      </c>
      <c r="L711" s="3" t="s">
        <v>163</v>
      </c>
      <c r="M711" s="3" t="s">
        <v>94</v>
      </c>
      <c r="N711" s="3" t="s">
        <v>231</v>
      </c>
      <c r="O711" s="3" t="s">
        <v>3308</v>
      </c>
      <c r="P711" s="3" t="s">
        <v>56</v>
      </c>
      <c r="Q711" s="3">
        <v>7</v>
      </c>
      <c r="R711" s="3">
        <v>1363.04</v>
      </c>
      <c r="S711" s="3">
        <v>0.15</v>
      </c>
      <c r="T711" s="3">
        <v>8110.09</v>
      </c>
      <c r="U711" s="3">
        <v>6417.32</v>
      </c>
      <c r="V711" s="3">
        <v>1692.77</v>
      </c>
      <c r="W711" s="3" t="s">
        <v>42</v>
      </c>
      <c r="X711" s="3" t="s">
        <v>86</v>
      </c>
      <c r="Y711" s="2" t="str">
        <f t="shared" si="71"/>
        <v>Unique</v>
      </c>
      <c r="AA711" s="2" t="str">
        <f t="shared" si="72"/>
        <v>Clean</v>
      </c>
      <c r="AB711" s="2" t="str">
        <f t="shared" si="73"/>
        <v>valid</v>
      </c>
      <c r="AC711">
        <f t="shared" si="95"/>
        <v>0.15</v>
      </c>
      <c r="AD711">
        <f t="shared" si="96"/>
        <v>8110.0879999999988</v>
      </c>
      <c r="AE711">
        <f t="shared" si="97"/>
        <v>1692.7679999999991</v>
      </c>
      <c r="AF711">
        <f t="shared" si="98"/>
        <v>0.2087237524426368</v>
      </c>
      <c r="AG711" t="str">
        <f t="shared" si="99"/>
        <v>January</v>
      </c>
      <c r="AH711">
        <f t="shared" si="100"/>
        <v>2025</v>
      </c>
      <c r="AI711" t="str">
        <f t="shared" si="101"/>
        <v>Warning</v>
      </c>
    </row>
    <row r="712" spans="1:35" ht="15.75" customHeight="1">
      <c r="A712" s="3" t="s">
        <v>3309</v>
      </c>
      <c r="B712" s="3" t="s">
        <v>3310</v>
      </c>
      <c r="C712" s="3" t="s">
        <v>3311</v>
      </c>
      <c r="D712" s="3" t="str">
        <f t="shared" si="68"/>
        <v>19-Jul-2024</v>
      </c>
      <c r="E712" s="3" t="str">
        <f t="shared" si="69"/>
        <v>07-Dec-2024</v>
      </c>
      <c r="F712" s="3">
        <f t="shared" si="70"/>
        <v>-141</v>
      </c>
      <c r="G712" s="3" t="s">
        <v>3312</v>
      </c>
      <c r="H712" s="3" t="s">
        <v>91</v>
      </c>
      <c r="I712" s="3" t="s">
        <v>116</v>
      </c>
      <c r="J712" s="3" t="s">
        <v>35</v>
      </c>
      <c r="K712" s="3" t="s">
        <v>162</v>
      </c>
      <c r="L712" s="3" t="s">
        <v>163</v>
      </c>
      <c r="M712" s="3" t="s">
        <v>38</v>
      </c>
      <c r="N712" s="3" t="s">
        <v>62</v>
      </c>
      <c r="O712" s="3" t="s">
        <v>3313</v>
      </c>
      <c r="P712" s="3" t="s">
        <v>41</v>
      </c>
      <c r="Q712" s="3">
        <v>5</v>
      </c>
      <c r="R712" s="3">
        <v>1559.16</v>
      </c>
      <c r="S712" s="3">
        <v>0.05</v>
      </c>
      <c r="T712" s="3">
        <v>7406.01</v>
      </c>
      <c r="U712" s="3">
        <v>5941.74</v>
      </c>
      <c r="V712" s="3">
        <v>1464.27</v>
      </c>
      <c r="W712" s="3" t="s">
        <v>42</v>
      </c>
      <c r="X712" s="3" t="s">
        <v>43</v>
      </c>
      <c r="Y712" s="2" t="str">
        <f t="shared" si="71"/>
        <v>Unique</v>
      </c>
      <c r="AA712" s="2" t="str">
        <f t="shared" si="72"/>
        <v>Clean</v>
      </c>
      <c r="AB712" s="2" t="str">
        <f t="shared" si="73"/>
        <v>Invalid</v>
      </c>
      <c r="AC712">
        <f t="shared" si="95"/>
        <v>0.05</v>
      </c>
      <c r="AD712">
        <f t="shared" si="96"/>
        <v>7406.01</v>
      </c>
      <c r="AE712">
        <f t="shared" si="97"/>
        <v>1464.2700000000004</v>
      </c>
      <c r="AF712">
        <f t="shared" si="98"/>
        <v>0.19771374869869207</v>
      </c>
      <c r="AG712" t="str">
        <f t="shared" si="99"/>
        <v>December</v>
      </c>
      <c r="AH712">
        <f t="shared" si="100"/>
        <v>2024</v>
      </c>
      <c r="AI712" t="str">
        <f t="shared" si="101"/>
        <v>Clean</v>
      </c>
    </row>
    <row r="713" spans="1:35" ht="15.75" customHeight="1">
      <c r="A713" s="3" t="s">
        <v>3314</v>
      </c>
      <c r="B713" s="3" t="s">
        <v>3315</v>
      </c>
      <c r="C713" s="3" t="s">
        <v>3277</v>
      </c>
      <c r="D713" s="3" t="str">
        <f t="shared" si="68"/>
        <v>02-Feb-2025</v>
      </c>
      <c r="E713" s="3" t="str">
        <f t="shared" si="69"/>
        <v>02-Feb-2025</v>
      </c>
      <c r="F713" s="3">
        <f t="shared" si="70"/>
        <v>0</v>
      </c>
      <c r="G713" s="3" t="s">
        <v>3316</v>
      </c>
      <c r="H713" s="3" t="s">
        <v>375</v>
      </c>
      <c r="I713" s="3" t="s">
        <v>116</v>
      </c>
      <c r="J713" s="3" t="s">
        <v>50</v>
      </c>
      <c r="K713" s="3" t="s">
        <v>129</v>
      </c>
      <c r="L713" s="3" t="s">
        <v>130</v>
      </c>
      <c r="M713" s="3" t="s">
        <v>94</v>
      </c>
      <c r="N713" s="3" t="s">
        <v>391</v>
      </c>
      <c r="O713" s="3" t="s">
        <v>3317</v>
      </c>
      <c r="P713" s="3" t="s">
        <v>64</v>
      </c>
      <c r="Q713" s="3">
        <v>1</v>
      </c>
      <c r="R713" s="3">
        <v>4326.75</v>
      </c>
      <c r="S713" s="3">
        <v>0.05</v>
      </c>
      <c r="T713" s="3">
        <v>4110.41</v>
      </c>
      <c r="U713" s="3">
        <v>2394.14</v>
      </c>
      <c r="V713" s="3">
        <v>1716.27</v>
      </c>
      <c r="W713" s="3" t="s">
        <v>145</v>
      </c>
      <c r="X713" s="3" t="s">
        <v>133</v>
      </c>
      <c r="Y713" s="2" t="str">
        <f t="shared" si="71"/>
        <v>Unique</v>
      </c>
      <c r="AA713" s="2" t="str">
        <f t="shared" si="72"/>
        <v>Clean</v>
      </c>
      <c r="AB713" s="2" t="str">
        <f t="shared" si="73"/>
        <v>valid</v>
      </c>
      <c r="AC713">
        <f t="shared" si="95"/>
        <v>0.05</v>
      </c>
      <c r="AD713">
        <f t="shared" si="96"/>
        <v>4110.4124999999995</v>
      </c>
      <c r="AE713">
        <f t="shared" si="97"/>
        <v>1716.2724999999996</v>
      </c>
      <c r="AF713">
        <f t="shared" si="98"/>
        <v>0.41754264322619683</v>
      </c>
      <c r="AG713" t="str">
        <f t="shared" si="99"/>
        <v>February</v>
      </c>
      <c r="AH713">
        <f t="shared" si="100"/>
        <v>2025</v>
      </c>
      <c r="AI713" t="str">
        <f t="shared" si="101"/>
        <v>Clean</v>
      </c>
    </row>
    <row r="714" spans="1:35" ht="15.75" customHeight="1">
      <c r="A714" s="3" t="s">
        <v>3318</v>
      </c>
      <c r="B714" s="3" t="s">
        <v>2121</v>
      </c>
      <c r="C714" s="3" t="s">
        <v>3319</v>
      </c>
      <c r="D714" s="3" t="str">
        <f t="shared" si="68"/>
        <v>18-Feb-2024</v>
      </c>
      <c r="E714" s="3" t="str">
        <f t="shared" si="69"/>
        <v>10-Feb-2024</v>
      </c>
      <c r="F714" s="3">
        <f t="shared" si="70"/>
        <v>8</v>
      </c>
      <c r="G714" s="3" t="s">
        <v>3320</v>
      </c>
      <c r="H714" s="3" t="s">
        <v>61</v>
      </c>
      <c r="I714" s="3" t="s">
        <v>123</v>
      </c>
      <c r="J714" s="3" t="s">
        <v>81</v>
      </c>
      <c r="K714" s="3" t="s">
        <v>92</v>
      </c>
      <c r="L714" s="3" t="s">
        <v>93</v>
      </c>
      <c r="M714" s="3" t="s">
        <v>53</v>
      </c>
      <c r="N714" s="3" t="s">
        <v>84</v>
      </c>
      <c r="O714" s="3" t="s">
        <v>3321</v>
      </c>
      <c r="P714" s="3" t="s">
        <v>64</v>
      </c>
      <c r="Q714" s="3">
        <v>7</v>
      </c>
      <c r="R714" s="3">
        <v>1382.86</v>
      </c>
      <c r="S714" s="3">
        <v>0</v>
      </c>
      <c r="T714" s="3">
        <v>9680.02</v>
      </c>
      <c r="U714" s="3">
        <v>6876.66</v>
      </c>
      <c r="V714" s="3">
        <v>2803.36</v>
      </c>
      <c r="W714" s="3" t="s">
        <v>42</v>
      </c>
      <c r="X714" s="3" t="s">
        <v>43</v>
      </c>
      <c r="Y714" s="2" t="str">
        <f t="shared" si="71"/>
        <v>Unique</v>
      </c>
      <c r="AA714" s="2" t="str">
        <f t="shared" si="72"/>
        <v>Clean</v>
      </c>
      <c r="AB714" s="2" t="str">
        <f t="shared" si="73"/>
        <v>valid</v>
      </c>
      <c r="AC714">
        <f t="shared" si="95"/>
        <v>0</v>
      </c>
      <c r="AD714">
        <f t="shared" si="96"/>
        <v>9680.0199999999986</v>
      </c>
      <c r="AE714">
        <f t="shared" si="97"/>
        <v>2803.3599999999988</v>
      </c>
      <c r="AF714">
        <f t="shared" si="98"/>
        <v>0.28960270743242256</v>
      </c>
      <c r="AG714" t="str">
        <f t="shared" si="99"/>
        <v>February</v>
      </c>
      <c r="AH714">
        <f t="shared" si="100"/>
        <v>2024</v>
      </c>
      <c r="AI714" t="str">
        <f t="shared" si="101"/>
        <v>Clean</v>
      </c>
    </row>
    <row r="715" spans="1:35" ht="15.75" customHeight="1">
      <c r="A715" s="3" t="s">
        <v>3322</v>
      </c>
      <c r="B715" s="3" t="s">
        <v>3323</v>
      </c>
      <c r="C715" s="3" t="s">
        <v>3170</v>
      </c>
      <c r="D715" s="3" t="str">
        <f t="shared" si="68"/>
        <v>06-Oct-2025</v>
      </c>
      <c r="E715" s="3" t="str">
        <f t="shared" si="69"/>
        <v>06-Jun-2025</v>
      </c>
      <c r="F715" s="3">
        <f t="shared" si="70"/>
        <v>122</v>
      </c>
      <c r="G715" s="3" t="s">
        <v>909</v>
      </c>
      <c r="H715" s="3" t="s">
        <v>48</v>
      </c>
      <c r="I715" s="3" t="s">
        <v>34</v>
      </c>
      <c r="J715" s="3" t="s">
        <v>81</v>
      </c>
      <c r="K715" s="3" t="s">
        <v>36</v>
      </c>
      <c r="L715" s="3" t="s">
        <v>143</v>
      </c>
      <c r="M715" s="3" t="s">
        <v>94</v>
      </c>
      <c r="N715" s="3" t="s">
        <v>391</v>
      </c>
      <c r="O715" s="3" t="s">
        <v>3324</v>
      </c>
      <c r="P715" s="3" t="s">
        <v>41</v>
      </c>
      <c r="Q715" s="3">
        <v>1</v>
      </c>
      <c r="R715" s="3">
        <v>289.97000000000003</v>
      </c>
      <c r="S715" s="3">
        <v>0.25</v>
      </c>
      <c r="T715" s="3">
        <v>217.48</v>
      </c>
      <c r="U715" s="3">
        <v>132.13</v>
      </c>
      <c r="V715" s="3">
        <v>85.35</v>
      </c>
      <c r="W715" s="3" t="s">
        <v>42</v>
      </c>
      <c r="X715" s="3" t="s">
        <v>43</v>
      </c>
      <c r="Y715" s="2" t="str">
        <f t="shared" si="71"/>
        <v>Unique</v>
      </c>
      <c r="AA715" s="2" t="str">
        <f t="shared" si="72"/>
        <v>Clean</v>
      </c>
      <c r="AB715" s="2" t="str">
        <f t="shared" si="73"/>
        <v>valid</v>
      </c>
      <c r="AC715">
        <f t="shared" si="95"/>
        <v>0.25</v>
      </c>
      <c r="AD715">
        <f t="shared" si="96"/>
        <v>217.47750000000002</v>
      </c>
      <c r="AE715">
        <f t="shared" si="97"/>
        <v>85.347500000000025</v>
      </c>
      <c r="AF715">
        <f t="shared" si="98"/>
        <v>0.39244289639158081</v>
      </c>
      <c r="AG715" t="str">
        <f t="shared" si="99"/>
        <v>June</v>
      </c>
      <c r="AH715">
        <f t="shared" si="100"/>
        <v>2025</v>
      </c>
      <c r="AI715" t="str">
        <f t="shared" si="101"/>
        <v>Clean</v>
      </c>
    </row>
    <row r="716" spans="1:35" ht="15.75" customHeight="1">
      <c r="A716" s="3" t="s">
        <v>3325</v>
      </c>
      <c r="B716" s="3" t="s">
        <v>2107</v>
      </c>
      <c r="C716" s="3" t="s">
        <v>2223</v>
      </c>
      <c r="D716" s="3" t="str">
        <f t="shared" si="68"/>
        <v>23-Mar-2025</v>
      </c>
      <c r="E716" s="3" t="str">
        <f t="shared" si="69"/>
        <v>22-Mar-2025</v>
      </c>
      <c r="F716" s="3">
        <f t="shared" si="70"/>
        <v>1</v>
      </c>
      <c r="G716" s="3" t="s">
        <v>3326</v>
      </c>
      <c r="H716" s="3" t="s">
        <v>33</v>
      </c>
      <c r="I716" s="3" t="s">
        <v>123</v>
      </c>
      <c r="J716" s="3" t="s">
        <v>35</v>
      </c>
      <c r="K716" s="3" t="s">
        <v>515</v>
      </c>
      <c r="L716" s="3" t="s">
        <v>516</v>
      </c>
      <c r="M716" s="3" t="s">
        <v>94</v>
      </c>
      <c r="N716" s="3" t="s">
        <v>102</v>
      </c>
      <c r="O716" s="3" t="s">
        <v>3327</v>
      </c>
      <c r="P716" s="3" t="s">
        <v>75</v>
      </c>
      <c r="Q716" s="3">
        <v>9</v>
      </c>
      <c r="R716" s="3">
        <v>2075.02</v>
      </c>
      <c r="S716" s="3">
        <v>0</v>
      </c>
      <c r="T716" s="3">
        <v>18675.18</v>
      </c>
      <c r="U716" s="3">
        <v>13974.7</v>
      </c>
      <c r="V716" s="3">
        <v>4700.4799999999996</v>
      </c>
      <c r="W716" s="3" t="s">
        <v>42</v>
      </c>
      <c r="X716" s="3" t="s">
        <v>43</v>
      </c>
      <c r="Y716" s="2" t="str">
        <f t="shared" si="71"/>
        <v>Unique</v>
      </c>
      <c r="AA716" s="2" t="str">
        <f t="shared" si="72"/>
        <v>Clean</v>
      </c>
      <c r="AB716" s="2" t="str">
        <f t="shared" si="73"/>
        <v>valid</v>
      </c>
      <c r="AC716">
        <f t="shared" si="95"/>
        <v>0</v>
      </c>
      <c r="AD716">
        <f t="shared" si="96"/>
        <v>18675.18</v>
      </c>
      <c r="AE716">
        <f t="shared" si="97"/>
        <v>4700.4799999999996</v>
      </c>
      <c r="AF716">
        <f t="shared" si="98"/>
        <v>0.25169663692665878</v>
      </c>
      <c r="AG716" t="str">
        <f t="shared" si="99"/>
        <v>March</v>
      </c>
      <c r="AH716">
        <f t="shared" si="100"/>
        <v>2025</v>
      </c>
      <c r="AI716" t="str">
        <f t="shared" si="101"/>
        <v>Clean</v>
      </c>
    </row>
    <row r="717" spans="1:35" ht="15.75" customHeight="1">
      <c r="A717" s="3" t="s">
        <v>3328</v>
      </c>
      <c r="B717" s="3" t="s">
        <v>463</v>
      </c>
      <c r="C717" s="3" t="s">
        <v>464</v>
      </c>
      <c r="D717" s="3" t="str">
        <f t="shared" si="68"/>
        <v>27-Aug-2025</v>
      </c>
      <c r="E717" s="3" t="str">
        <f t="shared" si="69"/>
        <v>22-Aug-2025</v>
      </c>
      <c r="F717" s="3">
        <f t="shared" si="70"/>
        <v>5</v>
      </c>
      <c r="G717" s="3" t="s">
        <v>3329</v>
      </c>
      <c r="H717" s="3" t="s">
        <v>150</v>
      </c>
      <c r="I717" s="3" t="s">
        <v>34</v>
      </c>
      <c r="J717" s="3" t="s">
        <v>35</v>
      </c>
      <c r="K717" s="3" t="s">
        <v>331</v>
      </c>
      <c r="L717" s="3" t="s">
        <v>332</v>
      </c>
      <c r="M717" s="3" t="s">
        <v>53</v>
      </c>
      <c r="N717" s="3" t="s">
        <v>84</v>
      </c>
      <c r="O717" s="3" t="s">
        <v>3330</v>
      </c>
      <c r="P717" s="3" t="s">
        <v>41</v>
      </c>
      <c r="Q717" s="3">
        <v>7</v>
      </c>
      <c r="R717" s="3">
        <v>2843.09</v>
      </c>
      <c r="S717" s="3">
        <v>0</v>
      </c>
      <c r="T717" s="3">
        <v>19901.63</v>
      </c>
      <c r="U717" s="3">
        <v>15492.03</v>
      </c>
      <c r="V717" s="3">
        <v>4409.6000000000004</v>
      </c>
      <c r="W717" s="3" t="s">
        <v>132</v>
      </c>
      <c r="X717" s="3" t="s">
        <v>86</v>
      </c>
      <c r="Y717" s="2" t="str">
        <f t="shared" si="71"/>
        <v>Unique</v>
      </c>
      <c r="AA717" s="2" t="str">
        <f t="shared" si="72"/>
        <v>Clean</v>
      </c>
      <c r="AB717" s="2" t="str">
        <f t="shared" si="73"/>
        <v>valid</v>
      </c>
      <c r="AC717">
        <f t="shared" si="95"/>
        <v>0</v>
      </c>
      <c r="AD717">
        <f t="shared" si="96"/>
        <v>19901.63</v>
      </c>
      <c r="AE717">
        <f t="shared" si="97"/>
        <v>4409.6000000000004</v>
      </c>
      <c r="AF717">
        <f t="shared" si="98"/>
        <v>0.22156979101711771</v>
      </c>
      <c r="AG717" t="str">
        <f t="shared" si="99"/>
        <v>August</v>
      </c>
      <c r="AH717">
        <f t="shared" si="100"/>
        <v>2025</v>
      </c>
      <c r="AI717" t="str">
        <f t="shared" si="101"/>
        <v>Warning</v>
      </c>
    </row>
    <row r="718" spans="1:35" ht="15.75" customHeight="1">
      <c r="A718" s="3" t="s">
        <v>3331</v>
      </c>
      <c r="B718" s="3" t="s">
        <v>3332</v>
      </c>
      <c r="C718" s="3" t="s">
        <v>210</v>
      </c>
      <c r="D718" s="3" t="str">
        <f t="shared" si="68"/>
        <v>31-Aug-2025</v>
      </c>
      <c r="E718" s="3" t="str">
        <f t="shared" si="69"/>
        <v>26-Aug-2025</v>
      </c>
      <c r="F718" s="3">
        <f t="shared" si="70"/>
        <v>5</v>
      </c>
      <c r="G718" s="3" t="s">
        <v>3333</v>
      </c>
      <c r="H718" s="3" t="s">
        <v>218</v>
      </c>
      <c r="I718" s="3" t="s">
        <v>49</v>
      </c>
      <c r="J718" s="3" t="s">
        <v>35</v>
      </c>
      <c r="K718" s="3" t="s">
        <v>331</v>
      </c>
      <c r="L718" s="3" t="s">
        <v>332</v>
      </c>
      <c r="M718" s="3" t="s">
        <v>94</v>
      </c>
      <c r="N718" s="3" t="s">
        <v>231</v>
      </c>
      <c r="O718" s="3" t="s">
        <v>3334</v>
      </c>
      <c r="P718" s="3" t="s">
        <v>64</v>
      </c>
      <c r="Q718" s="3">
        <v>1</v>
      </c>
      <c r="R718" s="3">
        <v>3388.02</v>
      </c>
      <c r="S718" s="3">
        <v>0.15</v>
      </c>
      <c r="T718" s="3">
        <v>2879.82</v>
      </c>
      <c r="U718" s="3">
        <v>1824.88</v>
      </c>
      <c r="V718" s="3">
        <v>1054.94</v>
      </c>
      <c r="W718" s="3" t="s">
        <v>42</v>
      </c>
      <c r="X718" s="3" t="s">
        <v>43</v>
      </c>
      <c r="Y718" s="2" t="str">
        <f t="shared" si="71"/>
        <v>Unique</v>
      </c>
      <c r="AA718" s="2" t="str">
        <f t="shared" si="72"/>
        <v>Clean</v>
      </c>
      <c r="AB718" s="2" t="str">
        <f t="shared" si="73"/>
        <v>valid</v>
      </c>
      <c r="AC718">
        <f t="shared" si="95"/>
        <v>0.15</v>
      </c>
      <c r="AD718">
        <f t="shared" si="96"/>
        <v>2879.817</v>
      </c>
      <c r="AE718">
        <f t="shared" si="97"/>
        <v>1054.9369999999999</v>
      </c>
      <c r="AF718">
        <f t="shared" si="98"/>
        <v>0.3663208460815392</v>
      </c>
      <c r="AG718" t="str">
        <f t="shared" si="99"/>
        <v>August</v>
      </c>
      <c r="AH718">
        <f t="shared" si="100"/>
        <v>2025</v>
      </c>
      <c r="AI718" t="str">
        <f t="shared" si="101"/>
        <v>Clean</v>
      </c>
    </row>
    <row r="719" spans="1:35" ht="15.75" customHeight="1">
      <c r="A719" s="3" t="s">
        <v>3335</v>
      </c>
      <c r="B719" s="3" t="s">
        <v>3336</v>
      </c>
      <c r="C719" s="3" t="s">
        <v>317</v>
      </c>
      <c r="D719" s="3" t="str">
        <f t="shared" si="68"/>
        <v>15-Oct-2025</v>
      </c>
      <c r="E719" s="3" t="str">
        <f t="shared" si="69"/>
        <v>12-Oct-2025</v>
      </c>
      <c r="F719" s="3">
        <f t="shared" si="70"/>
        <v>3</v>
      </c>
      <c r="G719" s="3" t="s">
        <v>3337</v>
      </c>
      <c r="H719" s="3" t="s">
        <v>375</v>
      </c>
      <c r="I719" s="3" t="s">
        <v>49</v>
      </c>
      <c r="J719" s="3" t="s">
        <v>35</v>
      </c>
      <c r="K719" s="3" t="s">
        <v>331</v>
      </c>
      <c r="L719" s="3" t="s">
        <v>332</v>
      </c>
      <c r="M719" s="3" t="s">
        <v>94</v>
      </c>
      <c r="N719" s="3" t="s">
        <v>391</v>
      </c>
      <c r="O719" s="3" t="s">
        <v>3338</v>
      </c>
      <c r="P719" s="3" t="s">
        <v>75</v>
      </c>
      <c r="Q719" s="3">
        <v>9</v>
      </c>
      <c r="R719" s="3">
        <v>2598.92</v>
      </c>
      <c r="S719" s="3">
        <v>0.2</v>
      </c>
      <c r="T719" s="3">
        <v>18712.22</v>
      </c>
      <c r="U719" s="3">
        <v>11852.22</v>
      </c>
      <c r="V719" s="3">
        <v>6860</v>
      </c>
      <c r="W719" s="3" t="s">
        <v>145</v>
      </c>
      <c r="X719" s="3" t="s">
        <v>86</v>
      </c>
      <c r="Y719" s="2" t="str">
        <f t="shared" si="71"/>
        <v>Unique</v>
      </c>
      <c r="AA719" s="2" t="str">
        <f t="shared" si="72"/>
        <v>Clean</v>
      </c>
      <c r="AB719" s="2" t="str">
        <f t="shared" si="73"/>
        <v>valid</v>
      </c>
      <c r="AC719">
        <f t="shared" si="95"/>
        <v>0.2</v>
      </c>
      <c r="AD719">
        <f t="shared" si="96"/>
        <v>18712.223999999998</v>
      </c>
      <c r="AE719">
        <f t="shared" si="97"/>
        <v>6860.003999999999</v>
      </c>
      <c r="AF719">
        <f t="shared" si="98"/>
        <v>0.3666054874075898</v>
      </c>
      <c r="AG719" t="str">
        <f t="shared" si="99"/>
        <v>October</v>
      </c>
      <c r="AH719">
        <f t="shared" si="100"/>
        <v>2025</v>
      </c>
      <c r="AI719" t="str">
        <f t="shared" si="101"/>
        <v>Warning</v>
      </c>
    </row>
    <row r="720" spans="1:35" ht="15.75" customHeight="1">
      <c r="A720" s="3" t="s">
        <v>3339</v>
      </c>
      <c r="B720" s="3" t="s">
        <v>3340</v>
      </c>
      <c r="C720" s="3" t="s">
        <v>883</v>
      </c>
      <c r="D720" s="3" t="str">
        <f t="shared" si="68"/>
        <v>09-Sep-2024</v>
      </c>
      <c r="E720" s="3" t="str">
        <f t="shared" si="69"/>
        <v>06-Sep-2024</v>
      </c>
      <c r="F720" s="3">
        <f t="shared" si="70"/>
        <v>3</v>
      </c>
      <c r="G720" s="3" t="s">
        <v>3341</v>
      </c>
      <c r="H720" s="3" t="s">
        <v>48</v>
      </c>
      <c r="I720" s="3" t="s">
        <v>34</v>
      </c>
      <c r="J720" s="3" t="s">
        <v>81</v>
      </c>
      <c r="K720" s="3" t="s">
        <v>82</v>
      </c>
      <c r="L720" s="3" t="s">
        <v>83</v>
      </c>
      <c r="M720" s="3" t="s">
        <v>38</v>
      </c>
      <c r="N720" s="3" t="s">
        <v>62</v>
      </c>
      <c r="O720" s="3" t="s">
        <v>3342</v>
      </c>
      <c r="P720" s="3" t="s">
        <v>56</v>
      </c>
      <c r="Q720" s="3">
        <v>3</v>
      </c>
      <c r="R720" s="3">
        <v>1972.27</v>
      </c>
      <c r="S720" s="3">
        <v>0.2</v>
      </c>
      <c r="T720" s="3">
        <v>4733.45</v>
      </c>
      <c r="U720" s="3">
        <v>3672.32</v>
      </c>
      <c r="V720" s="3">
        <v>1061.1300000000001</v>
      </c>
      <c r="W720" s="3" t="s">
        <v>42</v>
      </c>
      <c r="X720" s="3" t="s">
        <v>43</v>
      </c>
      <c r="Y720" s="2" t="str">
        <f t="shared" si="71"/>
        <v>Unique</v>
      </c>
      <c r="AA720" s="2" t="str">
        <f t="shared" si="72"/>
        <v>Clean</v>
      </c>
      <c r="AB720" s="2" t="str">
        <f t="shared" si="73"/>
        <v>valid</v>
      </c>
      <c r="AC720">
        <f t="shared" si="95"/>
        <v>0.2</v>
      </c>
      <c r="AD720">
        <f t="shared" si="96"/>
        <v>4733.4479999999994</v>
      </c>
      <c r="AE720">
        <f t="shared" si="97"/>
        <v>1061.1279999999992</v>
      </c>
      <c r="AF720">
        <f t="shared" si="98"/>
        <v>0.22417654107534282</v>
      </c>
      <c r="AG720" t="str">
        <f t="shared" si="99"/>
        <v>September</v>
      </c>
      <c r="AH720">
        <f t="shared" si="100"/>
        <v>2024</v>
      </c>
      <c r="AI720" t="str">
        <f t="shared" si="101"/>
        <v>Clean</v>
      </c>
    </row>
    <row r="721" spans="1:35" ht="15.75" customHeight="1">
      <c r="A721" s="3" t="s">
        <v>3343</v>
      </c>
      <c r="B721" s="3" t="s">
        <v>1722</v>
      </c>
      <c r="C721" s="3" t="s">
        <v>1723</v>
      </c>
      <c r="D721" s="3" t="str">
        <f t="shared" si="68"/>
        <v>09-Sep-2025</v>
      </c>
      <c r="E721" s="3" t="str">
        <f t="shared" si="69"/>
        <v>08-Sep-2025</v>
      </c>
      <c r="F721" s="3">
        <f t="shared" si="70"/>
        <v>1</v>
      </c>
      <c r="G721" s="3" t="s">
        <v>193</v>
      </c>
      <c r="H721" s="3" t="s">
        <v>375</v>
      </c>
      <c r="I721" s="3" t="s">
        <v>116</v>
      </c>
      <c r="J721" s="3" t="s">
        <v>81</v>
      </c>
      <c r="K721" s="3" t="s">
        <v>243</v>
      </c>
      <c r="L721" s="3" t="s">
        <v>244</v>
      </c>
      <c r="M721" s="3" t="s">
        <v>38</v>
      </c>
      <c r="N721" s="3" t="s">
        <v>62</v>
      </c>
      <c r="O721" s="3" t="s">
        <v>3344</v>
      </c>
      <c r="P721" s="3" t="s">
        <v>56</v>
      </c>
      <c r="Q721" s="3">
        <v>2</v>
      </c>
      <c r="R721" s="3">
        <v>2372.41</v>
      </c>
      <c r="S721" s="3">
        <v>0.2</v>
      </c>
      <c r="T721" s="3">
        <v>3795.86</v>
      </c>
      <c r="U721" s="3">
        <v>2264.92</v>
      </c>
      <c r="V721" s="3">
        <v>1530.94</v>
      </c>
      <c r="W721" s="3" t="s">
        <v>42</v>
      </c>
      <c r="X721" s="3" t="s">
        <v>43</v>
      </c>
      <c r="Y721" s="2" t="str">
        <f t="shared" si="71"/>
        <v>Unique</v>
      </c>
      <c r="AA721" s="2" t="str">
        <f t="shared" si="72"/>
        <v>Clean</v>
      </c>
      <c r="AB721" s="2" t="str">
        <f t="shared" si="73"/>
        <v>valid</v>
      </c>
      <c r="AC721">
        <f t="shared" si="95"/>
        <v>0.2</v>
      </c>
      <c r="AD721">
        <f t="shared" si="96"/>
        <v>3795.8559999999998</v>
      </c>
      <c r="AE721">
        <f t="shared" si="97"/>
        <v>1530.9359999999997</v>
      </c>
      <c r="AF721">
        <f t="shared" si="98"/>
        <v>0.40331772332775528</v>
      </c>
      <c r="AG721" t="str">
        <f t="shared" si="99"/>
        <v>September</v>
      </c>
      <c r="AH721">
        <f t="shared" si="100"/>
        <v>2025</v>
      </c>
      <c r="AI721" t="str">
        <f t="shared" si="101"/>
        <v>Clean</v>
      </c>
    </row>
    <row r="722" spans="1:35" ht="15.75" customHeight="1">
      <c r="A722" s="3" t="s">
        <v>3345</v>
      </c>
      <c r="B722" s="3" t="s">
        <v>1112</v>
      </c>
      <c r="C722" s="3" t="s">
        <v>3346</v>
      </c>
      <c r="D722" s="3" t="str">
        <f t="shared" si="68"/>
        <v>16-Jul-2024</v>
      </c>
      <c r="E722" s="3" t="str">
        <f t="shared" si="69"/>
        <v>16-Jul-2024</v>
      </c>
      <c r="F722" s="3">
        <f t="shared" si="70"/>
        <v>0</v>
      </c>
      <c r="G722" s="3" t="s">
        <v>3347</v>
      </c>
      <c r="H722" s="3" t="s">
        <v>115</v>
      </c>
      <c r="I722" s="3" t="s">
        <v>123</v>
      </c>
      <c r="J722" s="3" t="s">
        <v>81</v>
      </c>
      <c r="K722" s="3" t="s">
        <v>92</v>
      </c>
      <c r="L722" s="3" t="s">
        <v>93</v>
      </c>
      <c r="M722" s="3" t="s">
        <v>94</v>
      </c>
      <c r="N722" s="3" t="s">
        <v>102</v>
      </c>
      <c r="O722" s="3" t="s">
        <v>3348</v>
      </c>
      <c r="P722" s="3" t="s">
        <v>56</v>
      </c>
      <c r="Q722" s="3">
        <v>4</v>
      </c>
      <c r="R722" s="3">
        <v>4479.92</v>
      </c>
      <c r="S722" s="3">
        <v>0.15</v>
      </c>
      <c r="T722" s="3">
        <v>15231.73</v>
      </c>
      <c r="U722" s="3">
        <v>12451.46</v>
      </c>
      <c r="V722" s="3">
        <v>2780.27</v>
      </c>
      <c r="W722" s="3" t="s">
        <v>42</v>
      </c>
      <c r="X722" s="3" t="s">
        <v>43</v>
      </c>
      <c r="Y722" s="2" t="str">
        <f t="shared" si="71"/>
        <v>Unique</v>
      </c>
      <c r="AA722" s="2" t="str">
        <f t="shared" si="72"/>
        <v>Clean</v>
      </c>
      <c r="AB722" s="2" t="str">
        <f t="shared" si="73"/>
        <v>valid</v>
      </c>
      <c r="AC722">
        <f t="shared" si="95"/>
        <v>0.15</v>
      </c>
      <c r="AD722">
        <f t="shared" si="96"/>
        <v>15231.727999999999</v>
      </c>
      <c r="AE722">
        <f t="shared" si="97"/>
        <v>2780.268</v>
      </c>
      <c r="AF722">
        <f t="shared" si="98"/>
        <v>0.1825313582280356</v>
      </c>
      <c r="AG722" t="str">
        <f t="shared" si="99"/>
        <v>July</v>
      </c>
      <c r="AH722">
        <f t="shared" si="100"/>
        <v>2024</v>
      </c>
      <c r="AI722" t="str">
        <f t="shared" si="101"/>
        <v>Clean</v>
      </c>
    </row>
    <row r="723" spans="1:35" ht="15.75" customHeight="1">
      <c r="A723" s="3" t="s">
        <v>3349</v>
      </c>
      <c r="B723" s="3" t="s">
        <v>262</v>
      </c>
      <c r="C723" s="3" t="s">
        <v>3350</v>
      </c>
      <c r="D723" s="3" t="str">
        <f t="shared" si="68"/>
        <v>23-Jun-2025</v>
      </c>
      <c r="E723" s="3" t="str">
        <f t="shared" si="69"/>
        <v>19-Jun-2025</v>
      </c>
      <c r="F723" s="3">
        <f t="shared" si="70"/>
        <v>4</v>
      </c>
      <c r="G723" s="3" t="s">
        <v>3351</v>
      </c>
      <c r="H723" s="3" t="s">
        <v>176</v>
      </c>
      <c r="I723" s="3" t="s">
        <v>34</v>
      </c>
      <c r="J723" s="3" t="s">
        <v>70</v>
      </c>
      <c r="K723" s="3" t="s">
        <v>237</v>
      </c>
      <c r="L723" s="3" t="s">
        <v>238</v>
      </c>
      <c r="M723" s="3" t="s">
        <v>94</v>
      </c>
      <c r="N723" s="3" t="s">
        <v>102</v>
      </c>
      <c r="O723" s="3" t="s">
        <v>3352</v>
      </c>
      <c r="P723" s="3" t="s">
        <v>64</v>
      </c>
      <c r="Q723" s="3">
        <v>5</v>
      </c>
      <c r="R723" s="3">
        <v>2729.95</v>
      </c>
      <c r="S723" s="3">
        <v>0</v>
      </c>
      <c r="T723" s="3">
        <v>13649.75</v>
      </c>
      <c r="U723" s="3">
        <v>10288.030000000001</v>
      </c>
      <c r="V723" s="3">
        <v>3361.72</v>
      </c>
      <c r="W723" s="3" t="s">
        <v>42</v>
      </c>
      <c r="X723" s="3" t="s">
        <v>43</v>
      </c>
      <c r="Y723" s="2" t="str">
        <f t="shared" si="71"/>
        <v>Unique</v>
      </c>
      <c r="AA723" s="2" t="str">
        <f t="shared" si="72"/>
        <v>Clean</v>
      </c>
      <c r="AB723" s="2" t="str">
        <f t="shared" si="73"/>
        <v>valid</v>
      </c>
      <c r="AC723">
        <f t="shared" si="95"/>
        <v>0</v>
      </c>
      <c r="AD723">
        <f t="shared" si="96"/>
        <v>13649.75</v>
      </c>
      <c r="AE723">
        <f t="shared" si="97"/>
        <v>3361.7199999999993</v>
      </c>
      <c r="AF723">
        <f t="shared" si="98"/>
        <v>0.24628436418249414</v>
      </c>
      <c r="AG723" t="str">
        <f t="shared" si="99"/>
        <v>June</v>
      </c>
      <c r="AH723">
        <f t="shared" si="100"/>
        <v>2025</v>
      </c>
      <c r="AI723" t="str">
        <f t="shared" si="101"/>
        <v>Clean</v>
      </c>
    </row>
    <row r="724" spans="1:35" ht="15.75" customHeight="1">
      <c r="A724" s="3" t="s">
        <v>3353</v>
      </c>
      <c r="B724" s="3" t="s">
        <v>2547</v>
      </c>
      <c r="C724" s="3" t="s">
        <v>3354</v>
      </c>
      <c r="D724" s="3" t="str">
        <f t="shared" si="68"/>
        <v>10-Oct-2024</v>
      </c>
      <c r="E724" s="3" t="str">
        <f t="shared" si="69"/>
        <v>07-Oct-2024</v>
      </c>
      <c r="F724" s="3">
        <f t="shared" si="70"/>
        <v>3</v>
      </c>
      <c r="G724" s="3" t="s">
        <v>3355</v>
      </c>
      <c r="H724" s="3" t="s">
        <v>91</v>
      </c>
      <c r="I724" s="3" t="s">
        <v>34</v>
      </c>
      <c r="J724" s="3" t="s">
        <v>50</v>
      </c>
      <c r="K724" s="3" t="s">
        <v>129</v>
      </c>
      <c r="L724" s="3" t="s">
        <v>130</v>
      </c>
      <c r="M724" s="3" t="s">
        <v>53</v>
      </c>
      <c r="N724" s="3" t="s">
        <v>84</v>
      </c>
      <c r="O724" s="3" t="s">
        <v>3356</v>
      </c>
      <c r="P724" s="3" t="s">
        <v>41</v>
      </c>
      <c r="Q724" s="3">
        <v>9</v>
      </c>
      <c r="R724" s="3">
        <v>481.51</v>
      </c>
      <c r="S724" s="3">
        <v>0</v>
      </c>
      <c r="T724" s="3">
        <v>4333.59</v>
      </c>
      <c r="U724" s="3">
        <v>2533.59</v>
      </c>
      <c r="V724" s="3">
        <v>1800</v>
      </c>
      <c r="W724" s="3" t="s">
        <v>132</v>
      </c>
      <c r="X724" s="3" t="s">
        <v>86</v>
      </c>
      <c r="Y724" s="4" t="str">
        <f t="shared" si="71"/>
        <v>Unique</v>
      </c>
      <c r="AA724" s="2" t="str">
        <f t="shared" si="72"/>
        <v>Clean</v>
      </c>
      <c r="AB724" s="2" t="str">
        <f t="shared" si="73"/>
        <v>valid</v>
      </c>
      <c r="AC724">
        <f t="shared" si="95"/>
        <v>0</v>
      </c>
      <c r="AD724">
        <f t="shared" si="96"/>
        <v>4333.59</v>
      </c>
      <c r="AE724">
        <f t="shared" si="97"/>
        <v>1800</v>
      </c>
      <c r="AF724">
        <f t="shared" si="98"/>
        <v>0.41536001329152039</v>
      </c>
      <c r="AG724" t="str">
        <f t="shared" si="99"/>
        <v>October</v>
      </c>
      <c r="AH724">
        <f t="shared" si="100"/>
        <v>2024</v>
      </c>
      <c r="AI724" t="str">
        <f t="shared" si="101"/>
        <v>Warning</v>
      </c>
    </row>
    <row r="725" spans="1:35" ht="15.75" customHeight="1">
      <c r="A725" s="3" t="s">
        <v>3357</v>
      </c>
      <c r="B725" s="3" t="s">
        <v>894</v>
      </c>
      <c r="C725" s="3" t="s">
        <v>3358</v>
      </c>
      <c r="D725" s="3" t="str">
        <f t="shared" si="68"/>
        <v>13-Oct-2025</v>
      </c>
      <c r="E725" s="3" t="str">
        <f t="shared" si="69"/>
        <v>10-Jun-2025</v>
      </c>
      <c r="F725" s="3">
        <f t="shared" si="70"/>
        <v>125</v>
      </c>
      <c r="G725" s="3" t="s">
        <v>3359</v>
      </c>
      <c r="H725" s="3" t="s">
        <v>375</v>
      </c>
      <c r="I725" s="3" t="s">
        <v>123</v>
      </c>
      <c r="J725" s="3" t="s">
        <v>50</v>
      </c>
      <c r="K725" s="3" t="s">
        <v>319</v>
      </c>
      <c r="L725" s="3" t="s">
        <v>320</v>
      </c>
      <c r="M725" s="3" t="s">
        <v>94</v>
      </c>
      <c r="N725" s="3" t="s">
        <v>95</v>
      </c>
      <c r="O725" s="3" t="s">
        <v>3360</v>
      </c>
      <c r="P725" s="3" t="s">
        <v>75</v>
      </c>
      <c r="Q725" s="3">
        <v>6</v>
      </c>
      <c r="R725" s="3">
        <v>2391.9299999999998</v>
      </c>
      <c r="S725" s="3">
        <v>0.05</v>
      </c>
      <c r="T725" s="3">
        <v>13634</v>
      </c>
      <c r="U725" s="3">
        <v>9589.81</v>
      </c>
      <c r="V725" s="3">
        <v>4044.19</v>
      </c>
      <c r="W725" s="3" t="s">
        <v>208</v>
      </c>
      <c r="X725" s="3" t="s">
        <v>133</v>
      </c>
      <c r="Y725" s="2" t="str">
        <f t="shared" si="71"/>
        <v>Unique</v>
      </c>
      <c r="AA725" s="2" t="str">
        <f t="shared" si="72"/>
        <v>Clean</v>
      </c>
      <c r="AB725" s="2" t="str">
        <f t="shared" si="73"/>
        <v>valid</v>
      </c>
      <c r="AC725">
        <f t="shared" si="95"/>
        <v>0.05</v>
      </c>
      <c r="AD725">
        <f t="shared" si="96"/>
        <v>13634.000999999998</v>
      </c>
      <c r="AE725">
        <f t="shared" si="97"/>
        <v>4044.1909999999989</v>
      </c>
      <c r="AF725">
        <f t="shared" si="98"/>
        <v>0.29662539998346776</v>
      </c>
      <c r="AG725" t="str">
        <f t="shared" si="99"/>
        <v>June</v>
      </c>
      <c r="AH725">
        <f t="shared" si="100"/>
        <v>2025</v>
      </c>
      <c r="AI725" t="str">
        <f t="shared" si="101"/>
        <v>Warning</v>
      </c>
    </row>
    <row r="726" spans="1:35" ht="15.75" customHeight="1">
      <c r="A726" s="3" t="s">
        <v>3361</v>
      </c>
      <c r="B726" s="3" t="s">
        <v>3362</v>
      </c>
      <c r="C726" s="3" t="s">
        <v>1610</v>
      </c>
      <c r="D726" s="3" t="str">
        <f t="shared" si="68"/>
        <v>16-Feb-2024</v>
      </c>
      <c r="E726" s="3" t="str">
        <f t="shared" si="69"/>
        <v>02-Oct-2024</v>
      </c>
      <c r="F726" s="3">
        <f t="shared" si="70"/>
        <v>-229</v>
      </c>
      <c r="G726" s="3" t="s">
        <v>3363</v>
      </c>
      <c r="H726" s="3" t="s">
        <v>33</v>
      </c>
      <c r="I726" s="3" t="s">
        <v>34</v>
      </c>
      <c r="J726" s="3" t="s">
        <v>81</v>
      </c>
      <c r="K726" s="3" t="s">
        <v>257</v>
      </c>
      <c r="L726" s="3" t="s">
        <v>258</v>
      </c>
      <c r="M726" s="3" t="s">
        <v>53</v>
      </c>
      <c r="N726" s="3" t="s">
        <v>73</v>
      </c>
      <c r="O726" s="3" t="s">
        <v>3364</v>
      </c>
      <c r="P726" s="3" t="s">
        <v>41</v>
      </c>
      <c r="Q726" s="3">
        <v>3</v>
      </c>
      <c r="R726" s="3">
        <v>253.43</v>
      </c>
      <c r="S726" s="3">
        <v>0</v>
      </c>
      <c r="T726" s="3">
        <v>760.29</v>
      </c>
      <c r="U726" s="3">
        <v>497.77</v>
      </c>
      <c r="V726" s="3">
        <v>262.52</v>
      </c>
      <c r="W726" s="3" t="s">
        <v>42</v>
      </c>
      <c r="X726" s="3" t="s">
        <v>43</v>
      </c>
      <c r="Y726" s="2" t="str">
        <f t="shared" si="71"/>
        <v>Unique</v>
      </c>
      <c r="AA726" s="2" t="str">
        <f t="shared" si="72"/>
        <v>Clean</v>
      </c>
      <c r="AB726" s="2" t="str">
        <f t="shared" si="73"/>
        <v>Invalid</v>
      </c>
      <c r="AC726">
        <f t="shared" si="95"/>
        <v>0</v>
      </c>
      <c r="AD726">
        <f t="shared" si="96"/>
        <v>760.29</v>
      </c>
      <c r="AE726">
        <f t="shared" si="97"/>
        <v>262.52</v>
      </c>
      <c r="AF726">
        <f t="shared" si="98"/>
        <v>0.34528929750489945</v>
      </c>
      <c r="AG726" t="str">
        <f t="shared" si="99"/>
        <v>October</v>
      </c>
      <c r="AH726">
        <f t="shared" si="100"/>
        <v>2024</v>
      </c>
      <c r="AI726" t="str">
        <f t="shared" si="101"/>
        <v>Clean</v>
      </c>
    </row>
    <row r="727" spans="1:35" ht="15.75" customHeight="1">
      <c r="A727" s="3" t="s">
        <v>3365</v>
      </c>
      <c r="B727" s="3" t="s">
        <v>3366</v>
      </c>
      <c r="C727" s="3" t="s">
        <v>147</v>
      </c>
      <c r="D727" s="3" t="str">
        <f t="shared" si="68"/>
        <v>12-Oct-2025</v>
      </c>
      <c r="E727" s="3" t="str">
        <f t="shared" si="69"/>
        <v>10-May-2025</v>
      </c>
      <c r="F727" s="3">
        <f t="shared" si="70"/>
        <v>155</v>
      </c>
      <c r="G727" s="3" t="s">
        <v>3367</v>
      </c>
      <c r="H727" s="3" t="s">
        <v>150</v>
      </c>
      <c r="I727" s="3" t="s">
        <v>116</v>
      </c>
      <c r="J727" s="3" t="s">
        <v>70</v>
      </c>
      <c r="K727" s="3" t="s">
        <v>237</v>
      </c>
      <c r="L727" s="3" t="s">
        <v>238</v>
      </c>
      <c r="M727" s="3" t="s">
        <v>53</v>
      </c>
      <c r="N727" s="3" t="s">
        <v>54</v>
      </c>
      <c r="O727" s="3" t="s">
        <v>3368</v>
      </c>
      <c r="P727" s="3" t="s">
        <v>41</v>
      </c>
      <c r="Q727" s="3">
        <v>7</v>
      </c>
      <c r="R727" s="3">
        <v>2134.73</v>
      </c>
      <c r="S727" s="3">
        <v>0</v>
      </c>
      <c r="T727" s="3">
        <v>14943.11</v>
      </c>
      <c r="U727" s="3">
        <v>8521.5</v>
      </c>
      <c r="V727" s="3">
        <v>6421.61</v>
      </c>
      <c r="W727" s="3" t="s">
        <v>42</v>
      </c>
      <c r="X727" s="3" t="s">
        <v>43</v>
      </c>
      <c r="Y727" s="2" t="str">
        <f t="shared" si="71"/>
        <v>Unique</v>
      </c>
      <c r="AA727" s="2" t="str">
        <f t="shared" si="72"/>
        <v>Clean</v>
      </c>
      <c r="AB727" s="2" t="str">
        <f t="shared" si="73"/>
        <v>valid</v>
      </c>
      <c r="AC727">
        <f t="shared" si="95"/>
        <v>0</v>
      </c>
      <c r="AD727">
        <f t="shared" si="96"/>
        <v>14943.11</v>
      </c>
      <c r="AE727">
        <f t="shared" si="97"/>
        <v>6421.6100000000006</v>
      </c>
      <c r="AF727">
        <f t="shared" si="98"/>
        <v>0.42973718322357263</v>
      </c>
      <c r="AG727" t="str">
        <f t="shared" si="99"/>
        <v>May</v>
      </c>
      <c r="AH727">
        <f t="shared" si="100"/>
        <v>2025</v>
      </c>
      <c r="AI727" t="str">
        <f t="shared" si="101"/>
        <v>Clean</v>
      </c>
    </row>
    <row r="728" spans="1:35" ht="15.75" customHeight="1">
      <c r="A728" s="3" t="s">
        <v>3369</v>
      </c>
      <c r="B728" s="3" t="s">
        <v>3370</v>
      </c>
      <c r="C728" s="3" t="s">
        <v>3371</v>
      </c>
      <c r="D728" s="3" t="str">
        <f t="shared" si="68"/>
        <v>23-Jan-2024</v>
      </c>
      <c r="E728" s="3" t="str">
        <f t="shared" si="69"/>
        <v>17-Jan-2024</v>
      </c>
      <c r="F728" s="3">
        <f t="shared" si="70"/>
        <v>6</v>
      </c>
      <c r="G728" s="3" t="s">
        <v>3372</v>
      </c>
      <c r="H728" s="3" t="s">
        <v>375</v>
      </c>
      <c r="I728" s="3" t="s">
        <v>123</v>
      </c>
      <c r="J728" s="3" t="s">
        <v>81</v>
      </c>
      <c r="K728" s="3" t="s">
        <v>243</v>
      </c>
      <c r="L728" s="3" t="s">
        <v>244</v>
      </c>
      <c r="M728" s="3" t="s">
        <v>94</v>
      </c>
      <c r="N728" s="3" t="s">
        <v>231</v>
      </c>
      <c r="O728" s="3" t="s">
        <v>3373</v>
      </c>
      <c r="P728" s="3" t="s">
        <v>75</v>
      </c>
      <c r="Q728" s="3">
        <v>5</v>
      </c>
      <c r="R728" s="3">
        <v>2018</v>
      </c>
      <c r="S728" s="3">
        <v>0.2</v>
      </c>
      <c r="T728" s="3">
        <v>8072</v>
      </c>
      <c r="U728" s="3">
        <v>5379.22</v>
      </c>
      <c r="V728" s="3">
        <v>2692.78</v>
      </c>
      <c r="W728" s="3" t="s">
        <v>145</v>
      </c>
      <c r="X728" s="3" t="s">
        <v>133</v>
      </c>
      <c r="Y728" s="2" t="str">
        <f t="shared" si="71"/>
        <v>Unique</v>
      </c>
      <c r="AA728" s="2" t="str">
        <f t="shared" si="72"/>
        <v>Clean</v>
      </c>
      <c r="AB728" s="2" t="str">
        <f t="shared" si="73"/>
        <v>valid</v>
      </c>
      <c r="AC728">
        <f t="shared" si="95"/>
        <v>0.2</v>
      </c>
      <c r="AD728">
        <f t="shared" si="96"/>
        <v>8072</v>
      </c>
      <c r="AE728">
        <f t="shared" si="97"/>
        <v>2692.7799999999997</v>
      </c>
      <c r="AF728">
        <f t="shared" si="98"/>
        <v>0.33359514370664023</v>
      </c>
      <c r="AG728" t="str">
        <f t="shared" si="99"/>
        <v>January</v>
      </c>
      <c r="AH728">
        <f t="shared" si="100"/>
        <v>2024</v>
      </c>
      <c r="AI728" t="str">
        <f t="shared" si="101"/>
        <v>Clean</v>
      </c>
    </row>
    <row r="729" spans="1:35" ht="15.75" customHeight="1">
      <c r="A729" s="3" t="s">
        <v>3374</v>
      </c>
      <c r="B729" s="3" t="s">
        <v>3375</v>
      </c>
      <c r="C729" s="3" t="s">
        <v>3375</v>
      </c>
      <c r="D729" s="3" t="str">
        <f t="shared" si="68"/>
        <v>13-Oct-2024</v>
      </c>
      <c r="E729" s="3" t="str">
        <f t="shared" si="69"/>
        <v>13-Oct-2024</v>
      </c>
      <c r="F729" s="3">
        <f t="shared" si="70"/>
        <v>0</v>
      </c>
      <c r="G729" s="3" t="s">
        <v>3376</v>
      </c>
      <c r="H729" s="3" t="s">
        <v>170</v>
      </c>
      <c r="I729" s="3" t="s">
        <v>49</v>
      </c>
      <c r="J729" s="3" t="s">
        <v>50</v>
      </c>
      <c r="K729" s="3" t="s">
        <v>224</v>
      </c>
      <c r="L729" s="3" t="s">
        <v>225</v>
      </c>
      <c r="M729" s="3" t="s">
        <v>94</v>
      </c>
      <c r="N729" s="3" t="s">
        <v>95</v>
      </c>
      <c r="O729" s="3" t="s">
        <v>3377</v>
      </c>
      <c r="P729" s="3" t="s">
        <v>41</v>
      </c>
      <c r="Q729" s="3">
        <v>8</v>
      </c>
      <c r="R729" s="3">
        <v>3730.66</v>
      </c>
      <c r="S729" s="3">
        <v>0.05</v>
      </c>
      <c r="T729" s="3">
        <v>28353.02</v>
      </c>
      <c r="U729" s="3">
        <v>19257.849999999999</v>
      </c>
      <c r="V729" s="3">
        <v>9095.17</v>
      </c>
      <c r="W729" s="3" t="s">
        <v>42</v>
      </c>
      <c r="X729" s="3" t="s">
        <v>43</v>
      </c>
      <c r="Y729" s="2" t="str">
        <f t="shared" si="71"/>
        <v>Unique</v>
      </c>
      <c r="AA729" s="2" t="str">
        <f t="shared" si="72"/>
        <v>Clean</v>
      </c>
      <c r="AB729" s="2" t="str">
        <f t="shared" si="73"/>
        <v>valid</v>
      </c>
      <c r="AC729">
        <f t="shared" si="95"/>
        <v>0.05</v>
      </c>
      <c r="AD729">
        <f t="shared" si="96"/>
        <v>28353.015999999996</v>
      </c>
      <c r="AE729">
        <f t="shared" si="97"/>
        <v>9095.1659999999974</v>
      </c>
      <c r="AF729">
        <f t="shared" si="98"/>
        <v>0.3207830165228277</v>
      </c>
      <c r="AG729" t="str">
        <f t="shared" si="99"/>
        <v>October</v>
      </c>
      <c r="AH729">
        <f t="shared" si="100"/>
        <v>2024</v>
      </c>
      <c r="AI729" t="str">
        <f t="shared" si="101"/>
        <v>Clean</v>
      </c>
    </row>
    <row r="730" spans="1:35" ht="15.75" customHeight="1">
      <c r="A730" s="3" t="s">
        <v>3378</v>
      </c>
      <c r="B730" s="3" t="s">
        <v>3040</v>
      </c>
      <c r="C730" s="3" t="s">
        <v>1760</v>
      </c>
      <c r="D730" s="3" t="str">
        <f t="shared" si="68"/>
        <v>07-Jan-2024</v>
      </c>
      <c r="E730" s="3" t="str">
        <f t="shared" si="69"/>
        <v>04-Jan-2024</v>
      </c>
      <c r="F730" s="3">
        <f t="shared" si="70"/>
        <v>3</v>
      </c>
      <c r="G730" s="3" t="s">
        <v>3379</v>
      </c>
      <c r="H730" s="3" t="s">
        <v>176</v>
      </c>
      <c r="I730" s="3" t="s">
        <v>49</v>
      </c>
      <c r="J730" s="3" t="s">
        <v>70</v>
      </c>
      <c r="K730" s="3" t="s">
        <v>237</v>
      </c>
      <c r="L730" s="3" t="s">
        <v>238</v>
      </c>
      <c r="M730" s="3" t="s">
        <v>94</v>
      </c>
      <c r="N730" s="3" t="s">
        <v>391</v>
      </c>
      <c r="O730" s="3" t="s">
        <v>3380</v>
      </c>
      <c r="P730" s="3" t="s">
        <v>64</v>
      </c>
      <c r="Q730" s="3">
        <v>1</v>
      </c>
      <c r="R730" s="3">
        <v>2363.02</v>
      </c>
      <c r="S730" s="3">
        <v>0.15</v>
      </c>
      <c r="T730" s="3">
        <v>2008.57</v>
      </c>
      <c r="U730" s="3">
        <v>1194.83</v>
      </c>
      <c r="V730" s="3">
        <v>813.74</v>
      </c>
      <c r="W730" s="3" t="s">
        <v>42</v>
      </c>
      <c r="X730" s="3" t="s">
        <v>43</v>
      </c>
      <c r="Y730" s="2" t="str">
        <f t="shared" si="71"/>
        <v>Unique</v>
      </c>
      <c r="AA730" s="2" t="str">
        <f t="shared" si="72"/>
        <v>Clean</v>
      </c>
      <c r="AB730" s="2" t="str">
        <f t="shared" si="73"/>
        <v>valid</v>
      </c>
      <c r="AC730">
        <f t="shared" si="95"/>
        <v>0.15</v>
      </c>
      <c r="AD730">
        <f t="shared" si="96"/>
        <v>2008.567</v>
      </c>
      <c r="AE730">
        <f t="shared" si="97"/>
        <v>813.73700000000008</v>
      </c>
      <c r="AF730">
        <f t="shared" si="98"/>
        <v>0.40513311231340554</v>
      </c>
      <c r="AG730" t="str">
        <f t="shared" si="99"/>
        <v>January</v>
      </c>
      <c r="AH730">
        <f t="shared" si="100"/>
        <v>2024</v>
      </c>
      <c r="AI730" t="str">
        <f t="shared" si="101"/>
        <v>Clean</v>
      </c>
    </row>
    <row r="731" spans="1:35" ht="15.75" customHeight="1">
      <c r="A731" s="3" t="s">
        <v>3381</v>
      </c>
      <c r="B731" s="3" t="s">
        <v>3382</v>
      </c>
      <c r="C731" s="3" t="s">
        <v>3383</v>
      </c>
      <c r="D731" s="3" t="str">
        <f t="shared" si="68"/>
        <v>25-May-2025</v>
      </c>
      <c r="E731" s="3" t="str">
        <f t="shared" si="69"/>
        <v>17-May-2025</v>
      </c>
      <c r="F731" s="3">
        <f t="shared" si="70"/>
        <v>8</v>
      </c>
      <c r="G731" s="3" t="s">
        <v>3384</v>
      </c>
      <c r="H731" s="3" t="s">
        <v>80</v>
      </c>
      <c r="I731" s="3" t="s">
        <v>116</v>
      </c>
      <c r="J731" s="3" t="s">
        <v>70</v>
      </c>
      <c r="K731" s="3" t="s">
        <v>347</v>
      </c>
      <c r="L731" s="3" t="s">
        <v>348</v>
      </c>
      <c r="M731" s="3" t="s">
        <v>94</v>
      </c>
      <c r="N731" s="3" t="s">
        <v>391</v>
      </c>
      <c r="O731" s="3" t="s">
        <v>3385</v>
      </c>
      <c r="P731" s="3" t="s">
        <v>56</v>
      </c>
      <c r="Q731" s="3">
        <v>6</v>
      </c>
      <c r="R731" s="3">
        <v>1810.63</v>
      </c>
      <c r="S731" s="3">
        <v>0.15</v>
      </c>
      <c r="T731" s="3">
        <v>9234.2099999999991</v>
      </c>
      <c r="U731" s="3">
        <v>5516.52</v>
      </c>
      <c r="V731" s="3">
        <v>3717.69</v>
      </c>
      <c r="W731" s="3" t="s">
        <v>42</v>
      </c>
      <c r="X731" s="3" t="s">
        <v>43</v>
      </c>
      <c r="Y731" s="2" t="str">
        <f t="shared" si="71"/>
        <v>Unique</v>
      </c>
      <c r="AA731" s="2" t="str">
        <f t="shared" si="72"/>
        <v>Clean</v>
      </c>
      <c r="AB731" s="2" t="str">
        <f t="shared" si="73"/>
        <v>valid</v>
      </c>
      <c r="AC731">
        <f t="shared" si="95"/>
        <v>0.15</v>
      </c>
      <c r="AD731">
        <f t="shared" si="96"/>
        <v>9234.2129999999997</v>
      </c>
      <c r="AE731">
        <f t="shared" si="97"/>
        <v>3717.6929999999993</v>
      </c>
      <c r="AF731">
        <f t="shared" si="98"/>
        <v>0.40259987505161504</v>
      </c>
      <c r="AG731" t="str">
        <f t="shared" si="99"/>
        <v>May</v>
      </c>
      <c r="AH731">
        <f t="shared" si="100"/>
        <v>2025</v>
      </c>
      <c r="AI731" t="str">
        <f t="shared" si="101"/>
        <v>Clean</v>
      </c>
    </row>
    <row r="732" spans="1:35" ht="15.75" customHeight="1">
      <c r="A732" s="3" t="s">
        <v>3386</v>
      </c>
      <c r="B732" s="3" t="s">
        <v>3387</v>
      </c>
      <c r="C732" s="3" t="s">
        <v>3298</v>
      </c>
      <c r="D732" s="3" t="str">
        <f t="shared" si="68"/>
        <v>24-Jun-2025</v>
      </c>
      <c r="E732" s="3" t="str">
        <f t="shared" si="69"/>
        <v>19-Jun-2025</v>
      </c>
      <c r="F732" s="3">
        <f t="shared" si="70"/>
        <v>5</v>
      </c>
      <c r="G732" s="3" t="s">
        <v>3388</v>
      </c>
      <c r="H732" s="3" t="s">
        <v>69</v>
      </c>
      <c r="I732" s="3" t="s">
        <v>34</v>
      </c>
      <c r="J732" s="3" t="s">
        <v>50</v>
      </c>
      <c r="K732" s="3" t="s">
        <v>129</v>
      </c>
      <c r="L732" s="3" t="s">
        <v>130</v>
      </c>
      <c r="M732" s="3" t="s">
        <v>38</v>
      </c>
      <c r="N732" s="3" t="s">
        <v>62</v>
      </c>
      <c r="O732" s="3" t="s">
        <v>3389</v>
      </c>
      <c r="P732" s="3" t="s">
        <v>41</v>
      </c>
      <c r="Q732" s="3">
        <v>4</v>
      </c>
      <c r="R732" s="3">
        <v>782.01</v>
      </c>
      <c r="S732" s="3">
        <v>0.15</v>
      </c>
      <c r="T732" s="3">
        <v>2658.83</v>
      </c>
      <c r="U732" s="3">
        <v>2226.9699999999998</v>
      </c>
      <c r="V732" s="3">
        <v>431.86</v>
      </c>
      <c r="W732" s="3" t="s">
        <v>132</v>
      </c>
      <c r="X732" s="3" t="s">
        <v>133</v>
      </c>
      <c r="Y732" s="2" t="str">
        <f t="shared" si="71"/>
        <v>Unique</v>
      </c>
      <c r="AA732" s="2" t="str">
        <f t="shared" si="72"/>
        <v>Clean</v>
      </c>
      <c r="AB732" s="2" t="str">
        <f t="shared" si="73"/>
        <v>valid</v>
      </c>
      <c r="AC732">
        <f t="shared" si="95"/>
        <v>0.15</v>
      </c>
      <c r="AD732">
        <f t="shared" si="96"/>
        <v>2658.8339999999998</v>
      </c>
      <c r="AE732">
        <f t="shared" si="97"/>
        <v>431.86400000000003</v>
      </c>
      <c r="AF732">
        <f t="shared" si="98"/>
        <v>0.16242608602116568</v>
      </c>
      <c r="AG732" t="str">
        <f t="shared" si="99"/>
        <v>June</v>
      </c>
      <c r="AH732">
        <f t="shared" si="100"/>
        <v>2025</v>
      </c>
      <c r="AI732" t="str">
        <f t="shared" si="101"/>
        <v>Clean</v>
      </c>
    </row>
    <row r="733" spans="1:35" ht="15.75" customHeight="1">
      <c r="A733" s="3" t="s">
        <v>3390</v>
      </c>
      <c r="B733" s="3" t="s">
        <v>3391</v>
      </c>
      <c r="C733" s="3" t="s">
        <v>3392</v>
      </c>
      <c r="D733" s="3" t="str">
        <f t="shared" si="68"/>
        <v>19-Mar-2024</v>
      </c>
      <c r="E733" s="3" t="str">
        <f t="shared" si="69"/>
        <v>17-Mar-2024</v>
      </c>
      <c r="F733" s="3">
        <f t="shared" si="70"/>
        <v>2</v>
      </c>
      <c r="G733" s="3" t="s">
        <v>3393</v>
      </c>
      <c r="H733" s="3" t="s">
        <v>80</v>
      </c>
      <c r="I733" s="3" t="s">
        <v>116</v>
      </c>
      <c r="J733" s="3" t="s">
        <v>50</v>
      </c>
      <c r="K733" s="3" t="s">
        <v>51</v>
      </c>
      <c r="L733" s="3" t="s">
        <v>52</v>
      </c>
      <c r="M733" s="3" t="s">
        <v>38</v>
      </c>
      <c r="N733" s="3" t="s">
        <v>206</v>
      </c>
      <c r="O733" s="3" t="s">
        <v>3394</v>
      </c>
      <c r="P733" s="3" t="s">
        <v>64</v>
      </c>
      <c r="Q733" s="3">
        <v>4</v>
      </c>
      <c r="R733" s="3">
        <v>4376.68</v>
      </c>
      <c r="S733" s="3">
        <v>0.1</v>
      </c>
      <c r="T733" s="3">
        <v>15756.05</v>
      </c>
      <c r="U733" s="3">
        <v>10245.44</v>
      </c>
      <c r="V733" s="3">
        <v>5510.61</v>
      </c>
      <c r="W733" s="3" t="s">
        <v>42</v>
      </c>
      <c r="X733" s="3" t="s">
        <v>43</v>
      </c>
      <c r="Y733" s="2" t="str">
        <f t="shared" si="71"/>
        <v>Unique</v>
      </c>
      <c r="AA733" s="2" t="str">
        <f t="shared" si="72"/>
        <v>Clean</v>
      </c>
      <c r="AB733" s="2" t="str">
        <f t="shared" si="73"/>
        <v>valid</v>
      </c>
      <c r="AC733">
        <f t="shared" si="95"/>
        <v>0.1</v>
      </c>
      <c r="AD733">
        <f t="shared" si="96"/>
        <v>15756.048000000001</v>
      </c>
      <c r="AE733">
        <f t="shared" si="97"/>
        <v>5510.6080000000002</v>
      </c>
      <c r="AF733">
        <f t="shared" si="98"/>
        <v>0.3497455707167178</v>
      </c>
      <c r="AG733" t="str">
        <f t="shared" si="99"/>
        <v>March</v>
      </c>
      <c r="AH733">
        <f t="shared" si="100"/>
        <v>2024</v>
      </c>
      <c r="AI733" t="str">
        <f t="shared" si="101"/>
        <v>Clean</v>
      </c>
    </row>
    <row r="734" spans="1:35" ht="15.75" customHeight="1">
      <c r="A734" s="3" t="s">
        <v>3395</v>
      </c>
      <c r="B734" s="3" t="s">
        <v>3396</v>
      </c>
      <c r="C734" s="3" t="s">
        <v>2810</v>
      </c>
      <c r="D734" s="3" t="str">
        <f t="shared" si="68"/>
        <v>06-Dec-2024</v>
      </c>
      <c r="E734" s="3" t="str">
        <f t="shared" si="69"/>
        <v>28-Nov-2024</v>
      </c>
      <c r="F734" s="3">
        <f t="shared" si="70"/>
        <v>8</v>
      </c>
      <c r="G734" s="3" t="s">
        <v>3397</v>
      </c>
      <c r="H734" s="3" t="s">
        <v>69</v>
      </c>
      <c r="I734" s="3" t="s">
        <v>49</v>
      </c>
      <c r="J734" s="3" t="s">
        <v>35</v>
      </c>
      <c r="K734" s="3" t="s">
        <v>162</v>
      </c>
      <c r="L734" s="3" t="s">
        <v>163</v>
      </c>
      <c r="M734" s="3" t="s">
        <v>94</v>
      </c>
      <c r="N734" s="3" t="s">
        <v>231</v>
      </c>
      <c r="O734" s="3" t="s">
        <v>3398</v>
      </c>
      <c r="P734" s="3" t="s">
        <v>75</v>
      </c>
      <c r="Q734" s="3">
        <v>6</v>
      </c>
      <c r="R734" s="3">
        <v>2464.63</v>
      </c>
      <c r="S734" s="3">
        <v>0</v>
      </c>
      <c r="T734" s="3">
        <v>14787.78</v>
      </c>
      <c r="U734" s="3">
        <v>8596.65</v>
      </c>
      <c r="V734" s="3">
        <v>6191.13</v>
      </c>
      <c r="W734" s="3" t="s">
        <v>42</v>
      </c>
      <c r="X734" s="3" t="s">
        <v>43</v>
      </c>
      <c r="Y734" s="2" t="str">
        <f t="shared" si="71"/>
        <v>Unique</v>
      </c>
      <c r="AA734" s="2" t="str">
        <f t="shared" si="72"/>
        <v>Clean</v>
      </c>
      <c r="AB734" s="2" t="str">
        <f t="shared" si="73"/>
        <v>valid</v>
      </c>
      <c r="AC734">
        <f t="shared" si="95"/>
        <v>0</v>
      </c>
      <c r="AD734">
        <f t="shared" si="96"/>
        <v>14787.78</v>
      </c>
      <c r="AE734">
        <f t="shared" si="97"/>
        <v>6191.130000000001</v>
      </c>
      <c r="AF734">
        <f t="shared" si="98"/>
        <v>0.41866527632950995</v>
      </c>
      <c r="AG734" t="str">
        <f t="shared" si="99"/>
        <v>November</v>
      </c>
      <c r="AH734">
        <f t="shared" si="100"/>
        <v>2024</v>
      </c>
      <c r="AI734" t="str">
        <f t="shared" si="101"/>
        <v>Clean</v>
      </c>
    </row>
    <row r="735" spans="1:35" ht="15.75" customHeight="1">
      <c r="A735" s="3" t="s">
        <v>3399</v>
      </c>
      <c r="B735" s="3" t="s">
        <v>1829</v>
      </c>
      <c r="C735" s="3" t="s">
        <v>3400</v>
      </c>
      <c r="D735" s="3" t="str">
        <f t="shared" si="68"/>
        <v>28-Jun-2024</v>
      </c>
      <c r="E735" s="3" t="str">
        <f t="shared" si="69"/>
        <v>21-Jun-2024</v>
      </c>
      <c r="F735" s="3">
        <f t="shared" si="70"/>
        <v>7</v>
      </c>
      <c r="G735" s="3" t="s">
        <v>3401</v>
      </c>
      <c r="H735" s="3" t="s">
        <v>170</v>
      </c>
      <c r="I735" s="3" t="s">
        <v>123</v>
      </c>
      <c r="J735" s="3" t="s">
        <v>35</v>
      </c>
      <c r="K735" s="3" t="s">
        <v>36</v>
      </c>
      <c r="L735" s="3" t="s">
        <v>37</v>
      </c>
      <c r="M735" s="3" t="s">
        <v>53</v>
      </c>
      <c r="N735" s="3" t="s">
        <v>73</v>
      </c>
      <c r="O735" s="3" t="s">
        <v>3402</v>
      </c>
      <c r="P735" s="3" t="s">
        <v>64</v>
      </c>
      <c r="Q735" s="3">
        <v>9</v>
      </c>
      <c r="R735" s="3">
        <v>2797.96</v>
      </c>
      <c r="S735" s="3">
        <v>0</v>
      </c>
      <c r="T735" s="3">
        <v>25181.64</v>
      </c>
      <c r="U735" s="3">
        <v>15337.9</v>
      </c>
      <c r="V735" s="3">
        <v>9843.74</v>
      </c>
      <c r="W735" s="3" t="s">
        <v>42</v>
      </c>
      <c r="X735" s="3" t="s">
        <v>43</v>
      </c>
      <c r="Y735" s="2" t="str">
        <f t="shared" si="71"/>
        <v>Unique</v>
      </c>
      <c r="AA735" s="2" t="str">
        <f t="shared" si="72"/>
        <v>Clean</v>
      </c>
      <c r="AB735" s="2" t="str">
        <f t="shared" si="73"/>
        <v>valid</v>
      </c>
      <c r="AC735">
        <f t="shared" si="95"/>
        <v>0</v>
      </c>
      <c r="AD735">
        <f t="shared" si="96"/>
        <v>25181.64</v>
      </c>
      <c r="AE735">
        <f t="shared" si="97"/>
        <v>9843.74</v>
      </c>
      <c r="AF735">
        <f t="shared" si="98"/>
        <v>0.39090940860086953</v>
      </c>
      <c r="AG735" t="str">
        <f t="shared" si="99"/>
        <v>June</v>
      </c>
      <c r="AH735">
        <f t="shared" si="100"/>
        <v>2024</v>
      </c>
      <c r="AI735" t="str">
        <f t="shared" si="101"/>
        <v>Clean</v>
      </c>
    </row>
    <row r="736" spans="1:35" ht="15.75" customHeight="1">
      <c r="A736" s="3" t="s">
        <v>3403</v>
      </c>
      <c r="B736" s="3" t="s">
        <v>3404</v>
      </c>
      <c r="C736" s="3" t="s">
        <v>3404</v>
      </c>
      <c r="D736" s="3" t="str">
        <f t="shared" si="68"/>
        <v>24-Aug-2024</v>
      </c>
      <c r="E736" s="3" t="str">
        <f t="shared" si="69"/>
        <v>24-Aug-2024</v>
      </c>
      <c r="F736" s="3">
        <f t="shared" si="70"/>
        <v>0</v>
      </c>
      <c r="G736" s="3" t="s">
        <v>3405</v>
      </c>
      <c r="H736" s="3" t="s">
        <v>80</v>
      </c>
      <c r="I736" s="3" t="s">
        <v>49</v>
      </c>
      <c r="J736" s="3" t="s">
        <v>35</v>
      </c>
      <c r="K736" s="3" t="s">
        <v>36</v>
      </c>
      <c r="L736" s="3" t="s">
        <v>37</v>
      </c>
      <c r="M736" s="3" t="s">
        <v>94</v>
      </c>
      <c r="N736" s="3" t="s">
        <v>95</v>
      </c>
      <c r="O736" s="3" t="s">
        <v>3406</v>
      </c>
      <c r="P736" s="3" t="s">
        <v>64</v>
      </c>
      <c r="Q736" s="3">
        <v>4</v>
      </c>
      <c r="R736" s="3">
        <v>2761.86</v>
      </c>
      <c r="S736" s="3">
        <v>0.2</v>
      </c>
      <c r="T736" s="3">
        <v>8837.9500000000007</v>
      </c>
      <c r="U736" s="3">
        <v>6157.27</v>
      </c>
      <c r="V736" s="3">
        <v>2680.68</v>
      </c>
      <c r="W736" s="3" t="s">
        <v>42</v>
      </c>
      <c r="X736" s="3" t="s">
        <v>43</v>
      </c>
      <c r="Y736" s="2" t="str">
        <f t="shared" si="71"/>
        <v>Unique</v>
      </c>
      <c r="AA736" s="2" t="str">
        <f t="shared" si="72"/>
        <v>Clean</v>
      </c>
      <c r="AB736" s="2" t="str">
        <f t="shared" si="73"/>
        <v>valid</v>
      </c>
      <c r="AC736">
        <f t="shared" si="95"/>
        <v>0.2</v>
      </c>
      <c r="AD736">
        <f t="shared" si="96"/>
        <v>8837.9520000000011</v>
      </c>
      <c r="AE736">
        <f t="shared" si="97"/>
        <v>2680.6820000000007</v>
      </c>
      <c r="AF736">
        <f t="shared" si="98"/>
        <v>0.30331484036120587</v>
      </c>
      <c r="AG736" t="str">
        <f t="shared" si="99"/>
        <v>August</v>
      </c>
      <c r="AH736">
        <f t="shared" si="100"/>
        <v>2024</v>
      </c>
      <c r="AI736" t="str">
        <f t="shared" si="101"/>
        <v>Clean</v>
      </c>
    </row>
    <row r="737" spans="1:35" ht="15.75" customHeight="1">
      <c r="A737" s="3" t="s">
        <v>3407</v>
      </c>
      <c r="B737" s="3" t="s">
        <v>3408</v>
      </c>
      <c r="C737" s="3" t="s">
        <v>2850</v>
      </c>
      <c r="D737" s="3" t="str">
        <f t="shared" si="68"/>
        <v>19-Aug-2024</v>
      </c>
      <c r="E737" s="3" t="str">
        <f t="shared" si="69"/>
        <v>11-Aug-2024</v>
      </c>
      <c r="F737" s="3">
        <f t="shared" si="70"/>
        <v>8</v>
      </c>
      <c r="G737" s="3" t="s">
        <v>3409</v>
      </c>
      <c r="H737" s="3" t="s">
        <v>48</v>
      </c>
      <c r="I737" s="3" t="s">
        <v>34</v>
      </c>
      <c r="J737" s="3" t="s">
        <v>81</v>
      </c>
      <c r="K737" s="3" t="s">
        <v>82</v>
      </c>
      <c r="L737" s="3" t="s">
        <v>83</v>
      </c>
      <c r="M737" s="3" t="s">
        <v>53</v>
      </c>
      <c r="N737" s="3" t="s">
        <v>54</v>
      </c>
      <c r="O737" s="3" t="s">
        <v>3410</v>
      </c>
      <c r="P737" s="3" t="s">
        <v>75</v>
      </c>
      <c r="Q737" s="3">
        <v>6</v>
      </c>
      <c r="R737" s="3">
        <v>1515.79</v>
      </c>
      <c r="S737" s="3">
        <v>0.2</v>
      </c>
      <c r="T737" s="3">
        <v>7275.79</v>
      </c>
      <c r="U737" s="3">
        <v>6152.87</v>
      </c>
      <c r="V737" s="3">
        <v>1122.92</v>
      </c>
      <c r="W737" s="3" t="s">
        <v>42</v>
      </c>
      <c r="X737" s="3" t="s">
        <v>43</v>
      </c>
      <c r="Y737" s="2" t="str">
        <f t="shared" si="71"/>
        <v>Unique</v>
      </c>
      <c r="AA737" s="2" t="str">
        <f t="shared" si="72"/>
        <v>Clean</v>
      </c>
      <c r="AB737" s="2" t="str">
        <f t="shared" si="73"/>
        <v>valid</v>
      </c>
      <c r="AC737">
        <f t="shared" si="95"/>
        <v>0.2</v>
      </c>
      <c r="AD737">
        <f t="shared" si="96"/>
        <v>7275.7920000000004</v>
      </c>
      <c r="AE737">
        <f t="shared" si="97"/>
        <v>1122.9220000000005</v>
      </c>
      <c r="AF737">
        <f t="shared" si="98"/>
        <v>0.15433673749881804</v>
      </c>
      <c r="AG737" t="str">
        <f t="shared" si="99"/>
        <v>August</v>
      </c>
      <c r="AH737">
        <f t="shared" si="100"/>
        <v>2024</v>
      </c>
      <c r="AI737" t="str">
        <f t="shared" si="101"/>
        <v>Clean</v>
      </c>
    </row>
    <row r="738" spans="1:35" ht="15.75" customHeight="1">
      <c r="A738" s="3" t="s">
        <v>3411</v>
      </c>
      <c r="B738" s="3" t="s">
        <v>2810</v>
      </c>
      <c r="C738" s="3" t="s">
        <v>3412</v>
      </c>
      <c r="D738" s="3" t="str">
        <f t="shared" si="68"/>
        <v>09-Dec-2024</v>
      </c>
      <c r="E738" s="3" t="str">
        <f t="shared" si="69"/>
        <v>06-Dec-2024</v>
      </c>
      <c r="F738" s="3">
        <f t="shared" si="70"/>
        <v>3</v>
      </c>
      <c r="G738" s="3" t="s">
        <v>3413</v>
      </c>
      <c r="H738" s="3" t="s">
        <v>115</v>
      </c>
      <c r="I738" s="3" t="s">
        <v>34</v>
      </c>
      <c r="J738" s="3" t="s">
        <v>81</v>
      </c>
      <c r="K738" s="3" t="s">
        <v>82</v>
      </c>
      <c r="L738" s="3" t="s">
        <v>83</v>
      </c>
      <c r="M738" s="3" t="s">
        <v>53</v>
      </c>
      <c r="N738" s="3" t="s">
        <v>84</v>
      </c>
      <c r="O738" s="3" t="s">
        <v>3414</v>
      </c>
      <c r="P738" s="3" t="s">
        <v>41</v>
      </c>
      <c r="Q738" s="3">
        <v>9</v>
      </c>
      <c r="R738" s="3">
        <v>290.75</v>
      </c>
      <c r="S738" s="3">
        <v>0.1</v>
      </c>
      <c r="T738" s="3">
        <v>2355.08</v>
      </c>
      <c r="U738" s="3">
        <v>1350.03</v>
      </c>
      <c r="V738" s="3">
        <v>1005.05</v>
      </c>
      <c r="W738" s="3" t="s">
        <v>42</v>
      </c>
      <c r="X738" s="3" t="s">
        <v>43</v>
      </c>
      <c r="Y738" s="2" t="str">
        <f t="shared" si="71"/>
        <v>Unique</v>
      </c>
      <c r="AA738" s="2" t="str">
        <f t="shared" si="72"/>
        <v>Clean</v>
      </c>
      <c r="AB738" s="2" t="str">
        <f t="shared" si="73"/>
        <v>valid</v>
      </c>
      <c r="AC738">
        <f t="shared" si="95"/>
        <v>0.1</v>
      </c>
      <c r="AD738">
        <f t="shared" si="96"/>
        <v>2355.0750000000003</v>
      </c>
      <c r="AE738">
        <f t="shared" si="97"/>
        <v>1005.0450000000003</v>
      </c>
      <c r="AF738">
        <f t="shared" si="98"/>
        <v>0.42675710964618968</v>
      </c>
      <c r="AG738" t="str">
        <f t="shared" si="99"/>
        <v>December</v>
      </c>
      <c r="AH738">
        <f t="shared" si="100"/>
        <v>2024</v>
      </c>
      <c r="AI738" t="str">
        <f t="shared" si="101"/>
        <v>Clean</v>
      </c>
    </row>
    <row r="739" spans="1:35" ht="15.75" customHeight="1">
      <c r="A739" s="3" t="s">
        <v>3415</v>
      </c>
      <c r="B739" s="3" t="s">
        <v>2241</v>
      </c>
      <c r="C739" s="3" t="s">
        <v>2121</v>
      </c>
      <c r="D739" s="3" t="str">
        <f t="shared" si="68"/>
        <v>10-Feb-2024</v>
      </c>
      <c r="E739" s="3" t="str">
        <f t="shared" si="69"/>
        <v>10-Feb-2024</v>
      </c>
      <c r="F739" s="3">
        <f t="shared" si="70"/>
        <v>0</v>
      </c>
      <c r="G739" s="3" t="s">
        <v>3416</v>
      </c>
      <c r="H739" s="3" t="s">
        <v>61</v>
      </c>
      <c r="I739" s="3" t="s">
        <v>123</v>
      </c>
      <c r="J739" s="3" t="s">
        <v>81</v>
      </c>
      <c r="K739" s="3" t="s">
        <v>82</v>
      </c>
      <c r="L739" s="3" t="s">
        <v>83</v>
      </c>
      <c r="M739" s="3" t="s">
        <v>53</v>
      </c>
      <c r="N739" s="3" t="s">
        <v>84</v>
      </c>
      <c r="O739" s="3" t="s">
        <v>3417</v>
      </c>
      <c r="P739" s="3" t="s">
        <v>56</v>
      </c>
      <c r="Q739" s="3">
        <v>6</v>
      </c>
      <c r="R739" s="3">
        <v>601.52</v>
      </c>
      <c r="S739" s="3">
        <v>0</v>
      </c>
      <c r="T739" s="3">
        <v>3609.12</v>
      </c>
      <c r="U739" s="3">
        <v>2645.5</v>
      </c>
      <c r="V739" s="3">
        <v>963.62</v>
      </c>
      <c r="W739" s="3" t="s">
        <v>42</v>
      </c>
      <c r="X739" s="3" t="s">
        <v>43</v>
      </c>
      <c r="Y739" s="2" t="str">
        <f t="shared" si="71"/>
        <v>Unique</v>
      </c>
      <c r="AA739" s="2" t="str">
        <f t="shared" si="72"/>
        <v>Clean</v>
      </c>
      <c r="AB739" s="2" t="str">
        <f t="shared" si="73"/>
        <v>valid</v>
      </c>
      <c r="AC739">
        <f t="shared" si="95"/>
        <v>0</v>
      </c>
      <c r="AD739">
        <f t="shared" si="96"/>
        <v>3609.12</v>
      </c>
      <c r="AE739">
        <f t="shared" si="97"/>
        <v>963.61999999999989</v>
      </c>
      <c r="AF739">
        <f t="shared" si="98"/>
        <v>0.2669958327791816</v>
      </c>
      <c r="AG739" t="str">
        <f t="shared" si="99"/>
        <v>February</v>
      </c>
      <c r="AH739">
        <f t="shared" si="100"/>
        <v>2024</v>
      </c>
      <c r="AI739" t="str">
        <f t="shared" si="101"/>
        <v>Clean</v>
      </c>
    </row>
    <row r="740" spans="1:35" ht="15.75" customHeight="1">
      <c r="A740" s="3" t="s">
        <v>3418</v>
      </c>
      <c r="B740" s="3" t="s">
        <v>1566</v>
      </c>
      <c r="C740" s="3" t="s">
        <v>3419</v>
      </c>
      <c r="D740" s="3" t="str">
        <f t="shared" si="68"/>
        <v>22-Feb-2025</v>
      </c>
      <c r="E740" s="3" t="str">
        <f t="shared" si="69"/>
        <v>20-Feb-2025</v>
      </c>
      <c r="F740" s="3">
        <f t="shared" si="70"/>
        <v>2</v>
      </c>
      <c r="G740" s="3" t="s">
        <v>3420</v>
      </c>
      <c r="H740" s="3" t="s">
        <v>150</v>
      </c>
      <c r="I740" s="3" t="s">
        <v>116</v>
      </c>
      <c r="J740" s="3" t="s">
        <v>70</v>
      </c>
      <c r="K740" s="3" t="s">
        <v>250</v>
      </c>
      <c r="L740" s="3" t="s">
        <v>251</v>
      </c>
      <c r="M740" s="3" t="s">
        <v>38</v>
      </c>
      <c r="N740" s="3" t="s">
        <v>39</v>
      </c>
      <c r="O740" s="3" t="s">
        <v>3421</v>
      </c>
      <c r="P740" s="3" t="s">
        <v>64</v>
      </c>
      <c r="Q740" s="3">
        <v>1</v>
      </c>
      <c r="R740" s="3">
        <v>2188.19</v>
      </c>
      <c r="S740" s="3">
        <v>0</v>
      </c>
      <c r="T740" s="3">
        <v>2188.19</v>
      </c>
      <c r="U740" s="3">
        <v>1298.8399999999999</v>
      </c>
      <c r="V740" s="3">
        <v>889.35</v>
      </c>
      <c r="W740" s="3" t="s">
        <v>42</v>
      </c>
      <c r="X740" s="3" t="s">
        <v>43</v>
      </c>
      <c r="Y740" s="2" t="str">
        <f t="shared" si="71"/>
        <v>Unique</v>
      </c>
      <c r="AA740" s="2" t="str">
        <f t="shared" si="72"/>
        <v>Clean</v>
      </c>
      <c r="AB740" s="2" t="str">
        <f t="shared" si="73"/>
        <v>valid</v>
      </c>
      <c r="AC740">
        <f t="shared" si="95"/>
        <v>0</v>
      </c>
      <c r="AD740">
        <f t="shared" si="96"/>
        <v>2188.19</v>
      </c>
      <c r="AE740">
        <f t="shared" si="97"/>
        <v>889.35000000000014</v>
      </c>
      <c r="AF740">
        <f t="shared" si="98"/>
        <v>0.40643179979800664</v>
      </c>
      <c r="AG740" t="str">
        <f t="shared" si="99"/>
        <v>February</v>
      </c>
      <c r="AH740">
        <f t="shared" si="100"/>
        <v>2025</v>
      </c>
      <c r="AI740" t="str">
        <f t="shared" si="101"/>
        <v>Clean</v>
      </c>
    </row>
    <row r="741" spans="1:35" ht="15.75" customHeight="1">
      <c r="A741" s="3" t="s">
        <v>3422</v>
      </c>
      <c r="B741" s="3" t="s">
        <v>3423</v>
      </c>
      <c r="C741" s="3" t="s">
        <v>3424</v>
      </c>
      <c r="D741" s="3" t="str">
        <f t="shared" si="68"/>
        <v>12-Oct-2024</v>
      </c>
      <c r="E741" s="3" t="str">
        <f t="shared" si="69"/>
        <v>03-Dec-2024</v>
      </c>
      <c r="F741" s="3">
        <f t="shared" si="70"/>
        <v>-52</v>
      </c>
      <c r="G741" s="3" t="s">
        <v>3425</v>
      </c>
      <c r="H741" s="3" t="s">
        <v>101</v>
      </c>
      <c r="I741" s="3" t="s">
        <v>116</v>
      </c>
      <c r="J741" s="3" t="s">
        <v>35</v>
      </c>
      <c r="K741" s="3" t="s">
        <v>36</v>
      </c>
      <c r="L741" s="3" t="s">
        <v>37</v>
      </c>
      <c r="M741" s="3" t="s">
        <v>94</v>
      </c>
      <c r="N741" s="3" t="s">
        <v>231</v>
      </c>
      <c r="O741" s="3" t="s">
        <v>3426</v>
      </c>
      <c r="P741" s="3" t="s">
        <v>75</v>
      </c>
      <c r="Q741" s="3">
        <v>5</v>
      </c>
      <c r="R741" s="3">
        <v>2393.86</v>
      </c>
      <c r="S741" s="3">
        <v>0.05</v>
      </c>
      <c r="T741" s="3">
        <v>11370.84</v>
      </c>
      <c r="U741" s="3">
        <v>7469.58</v>
      </c>
      <c r="V741" s="3">
        <v>3901.26</v>
      </c>
      <c r="W741" s="3" t="s">
        <v>42</v>
      </c>
      <c r="X741" s="3" t="s">
        <v>43</v>
      </c>
      <c r="Y741" s="2" t="str">
        <f t="shared" si="71"/>
        <v>Unique</v>
      </c>
      <c r="AA741" s="2" t="str">
        <f t="shared" si="72"/>
        <v>Clean</v>
      </c>
      <c r="AB741" s="2" t="str">
        <f t="shared" si="73"/>
        <v>Invalid</v>
      </c>
      <c r="AC741">
        <f t="shared" si="95"/>
        <v>0.05</v>
      </c>
      <c r="AD741">
        <f t="shared" si="96"/>
        <v>11370.835000000001</v>
      </c>
      <c r="AE741">
        <f t="shared" si="97"/>
        <v>3901.255000000001</v>
      </c>
      <c r="AF741">
        <f t="shared" si="98"/>
        <v>0.34309309738466881</v>
      </c>
      <c r="AG741" t="str">
        <f t="shared" si="99"/>
        <v>December</v>
      </c>
      <c r="AH741">
        <f t="shared" si="100"/>
        <v>2024</v>
      </c>
      <c r="AI741" t="str">
        <f t="shared" si="101"/>
        <v>Clean</v>
      </c>
    </row>
    <row r="742" spans="1:35" ht="15.75" customHeight="1">
      <c r="A742" s="3" t="s">
        <v>3427</v>
      </c>
      <c r="B742" s="3" t="s">
        <v>3428</v>
      </c>
      <c r="C742" s="3" t="s">
        <v>2162</v>
      </c>
      <c r="D742" s="3" t="str">
        <f t="shared" si="68"/>
        <v>04-Feb-2024</v>
      </c>
      <c r="E742" s="3" t="str">
        <f t="shared" si="69"/>
        <v>02-Apr-2024</v>
      </c>
      <c r="F742" s="3">
        <f t="shared" si="70"/>
        <v>-58</v>
      </c>
      <c r="G742" s="3" t="s">
        <v>786</v>
      </c>
      <c r="H742" s="3" t="s">
        <v>176</v>
      </c>
      <c r="I742" s="3" t="s">
        <v>49</v>
      </c>
      <c r="J742" s="3" t="s">
        <v>81</v>
      </c>
      <c r="K742" s="3" t="s">
        <v>82</v>
      </c>
      <c r="L742" s="3" t="s">
        <v>83</v>
      </c>
      <c r="M742" s="3" t="s">
        <v>53</v>
      </c>
      <c r="N742" s="3" t="s">
        <v>84</v>
      </c>
      <c r="O742" s="3" t="s">
        <v>3429</v>
      </c>
      <c r="P742" s="3" t="s">
        <v>64</v>
      </c>
      <c r="Q742" s="3">
        <v>4</v>
      </c>
      <c r="R742" s="3">
        <v>2583</v>
      </c>
      <c r="S742" s="3">
        <v>0.1</v>
      </c>
      <c r="T742" s="3">
        <v>9298.7999999999993</v>
      </c>
      <c r="U742" s="3">
        <v>6548.5</v>
      </c>
      <c r="V742" s="3">
        <v>2750.3</v>
      </c>
      <c r="W742" s="3" t="s">
        <v>42</v>
      </c>
      <c r="X742" s="3" t="s">
        <v>43</v>
      </c>
      <c r="Y742" s="2" t="str">
        <f t="shared" si="71"/>
        <v>Unique</v>
      </c>
      <c r="AA742" s="2" t="str">
        <f t="shared" si="72"/>
        <v>Clean</v>
      </c>
      <c r="AB742" s="2" t="str">
        <f t="shared" si="73"/>
        <v>Invalid</v>
      </c>
      <c r="AC742">
        <f t="shared" si="95"/>
        <v>0.1</v>
      </c>
      <c r="AD742">
        <f t="shared" si="96"/>
        <v>9298.8000000000011</v>
      </c>
      <c r="AE742">
        <f t="shared" si="97"/>
        <v>2750.3000000000011</v>
      </c>
      <c r="AF742">
        <f t="shared" si="98"/>
        <v>0.29576934658235482</v>
      </c>
      <c r="AG742" t="str">
        <f t="shared" si="99"/>
        <v>April</v>
      </c>
      <c r="AH742">
        <f t="shared" si="100"/>
        <v>2024</v>
      </c>
      <c r="AI742" t="str">
        <f t="shared" si="101"/>
        <v>Clean</v>
      </c>
    </row>
    <row r="743" spans="1:35" ht="15.75" customHeight="1">
      <c r="A743" s="3" t="s">
        <v>3430</v>
      </c>
      <c r="B743" s="3" t="s">
        <v>3431</v>
      </c>
      <c r="C743" s="3" t="s">
        <v>3432</v>
      </c>
      <c r="D743" s="3" t="str">
        <f t="shared" si="68"/>
        <v>25-Apr-2025</v>
      </c>
      <c r="E743" s="3" t="str">
        <f t="shared" si="69"/>
        <v>23-Apr-2025</v>
      </c>
      <c r="F743" s="3">
        <f t="shared" si="70"/>
        <v>2</v>
      </c>
      <c r="G743" s="3" t="s">
        <v>3433</v>
      </c>
      <c r="H743" s="3" t="s">
        <v>61</v>
      </c>
      <c r="I743" s="3" t="s">
        <v>123</v>
      </c>
      <c r="J743" s="3" t="s">
        <v>70</v>
      </c>
      <c r="K743" s="3" t="s">
        <v>347</v>
      </c>
      <c r="L743" s="3" t="s">
        <v>348</v>
      </c>
      <c r="M743" s="3" t="s">
        <v>53</v>
      </c>
      <c r="N743" s="3" t="s">
        <v>84</v>
      </c>
      <c r="O743" s="3" t="s">
        <v>3434</v>
      </c>
      <c r="P743" s="3" t="s">
        <v>41</v>
      </c>
      <c r="Q743" s="3">
        <v>3</v>
      </c>
      <c r="R743" s="3">
        <v>2951.12</v>
      </c>
      <c r="S743" s="3">
        <v>0</v>
      </c>
      <c r="T743" s="3">
        <v>7082.69</v>
      </c>
      <c r="U743" s="3">
        <v>5596.34</v>
      </c>
      <c r="V743" s="3">
        <v>1486.35</v>
      </c>
      <c r="W743" s="3" t="s">
        <v>42</v>
      </c>
      <c r="X743" s="3" t="s">
        <v>86</v>
      </c>
      <c r="Y743" s="4" t="str">
        <f t="shared" si="71"/>
        <v>Unique</v>
      </c>
      <c r="AA743" s="2" t="str">
        <f t="shared" si="72"/>
        <v>Clean</v>
      </c>
      <c r="AB743" s="2" t="str">
        <f t="shared" si="73"/>
        <v>valid</v>
      </c>
      <c r="AC743">
        <f t="shared" si="95"/>
        <v>0</v>
      </c>
      <c r="AD743">
        <f t="shared" si="96"/>
        <v>8853.36</v>
      </c>
      <c r="AE743">
        <f t="shared" si="97"/>
        <v>3257.0200000000004</v>
      </c>
      <c r="AF743">
        <f t="shared" si="98"/>
        <v>0.36788518709280998</v>
      </c>
      <c r="AG743" t="str">
        <f t="shared" si="99"/>
        <v>April</v>
      </c>
      <c r="AH743">
        <f t="shared" si="100"/>
        <v>2025</v>
      </c>
      <c r="AI743" t="str">
        <f t="shared" si="101"/>
        <v>Warning</v>
      </c>
    </row>
    <row r="744" spans="1:35" ht="15.75" customHeight="1">
      <c r="A744" s="3" t="s">
        <v>3435</v>
      </c>
      <c r="B744" s="3" t="s">
        <v>3436</v>
      </c>
      <c r="C744" s="3" t="s">
        <v>3437</v>
      </c>
      <c r="D744" s="3" t="str">
        <f t="shared" si="68"/>
        <v>22-Oct-2024</v>
      </c>
      <c r="E744" s="3" t="str">
        <f t="shared" si="69"/>
        <v>15-Oct-2024</v>
      </c>
      <c r="F744" s="3">
        <f t="shared" si="70"/>
        <v>7</v>
      </c>
      <c r="G744" s="3" t="s">
        <v>3438</v>
      </c>
      <c r="H744" s="3" t="s">
        <v>33</v>
      </c>
      <c r="I744" s="3" t="s">
        <v>116</v>
      </c>
      <c r="J744" s="3" t="s">
        <v>50</v>
      </c>
      <c r="K744" s="3" t="s">
        <v>51</v>
      </c>
      <c r="L744" s="3" t="s">
        <v>52</v>
      </c>
      <c r="M744" s="3" t="s">
        <v>38</v>
      </c>
      <c r="N744" s="3" t="s">
        <v>39</v>
      </c>
      <c r="O744" s="3" t="s">
        <v>3439</v>
      </c>
      <c r="P744" s="3" t="s">
        <v>75</v>
      </c>
      <c r="Q744" s="3">
        <v>4</v>
      </c>
      <c r="R744" s="3">
        <v>2260.9499999999998</v>
      </c>
      <c r="S744" s="3">
        <v>0</v>
      </c>
      <c r="T744" s="3">
        <v>9043.7999999999993</v>
      </c>
      <c r="U744" s="3">
        <v>5913.38</v>
      </c>
      <c r="V744" s="3">
        <v>3130.42</v>
      </c>
      <c r="W744" s="3" t="s">
        <v>42</v>
      </c>
      <c r="X744" s="3" t="s">
        <v>43</v>
      </c>
      <c r="Y744" s="2" t="str">
        <f t="shared" si="71"/>
        <v>Unique</v>
      </c>
      <c r="AA744" s="2" t="str">
        <f t="shared" si="72"/>
        <v>Clean</v>
      </c>
      <c r="AB744" s="2" t="str">
        <f t="shared" si="73"/>
        <v>valid</v>
      </c>
      <c r="AC744">
        <f t="shared" si="95"/>
        <v>0</v>
      </c>
      <c r="AD744">
        <f t="shared" si="96"/>
        <v>9043.7999999999993</v>
      </c>
      <c r="AE744">
        <f t="shared" si="97"/>
        <v>3130.4199999999992</v>
      </c>
      <c r="AF744">
        <f t="shared" si="98"/>
        <v>0.34613989694597397</v>
      </c>
      <c r="AG744" t="str">
        <f t="shared" si="99"/>
        <v>October</v>
      </c>
      <c r="AH744">
        <f t="shared" si="100"/>
        <v>2024</v>
      </c>
      <c r="AI744" t="str">
        <f t="shared" si="101"/>
        <v>Clean</v>
      </c>
    </row>
    <row r="745" spans="1:35" ht="15.75" customHeight="1">
      <c r="A745" s="3" t="s">
        <v>3440</v>
      </c>
      <c r="B745" s="3" t="s">
        <v>1396</v>
      </c>
      <c r="C745" s="3" t="s">
        <v>1934</v>
      </c>
      <c r="D745" s="3" t="str">
        <f t="shared" si="68"/>
        <v>14-Feb-2025</v>
      </c>
      <c r="E745" s="3" t="str">
        <f t="shared" si="69"/>
        <v>02-Dec-2025</v>
      </c>
      <c r="F745" s="3">
        <f t="shared" si="70"/>
        <v>-291</v>
      </c>
      <c r="G745" s="3" t="s">
        <v>3441</v>
      </c>
      <c r="H745" s="3" t="s">
        <v>176</v>
      </c>
      <c r="I745" s="3" t="s">
        <v>34</v>
      </c>
      <c r="J745" s="3" t="s">
        <v>35</v>
      </c>
      <c r="K745" s="3" t="s">
        <v>182</v>
      </c>
      <c r="L745" s="3" t="s">
        <v>183</v>
      </c>
      <c r="M745" s="3" t="s">
        <v>38</v>
      </c>
      <c r="N745" s="3" t="s">
        <v>62</v>
      </c>
      <c r="O745" s="3" t="s">
        <v>3442</v>
      </c>
      <c r="P745" s="3" t="s">
        <v>75</v>
      </c>
      <c r="Q745" s="3">
        <v>6</v>
      </c>
      <c r="R745" s="3">
        <v>491.4</v>
      </c>
      <c r="S745" s="3">
        <v>0.25</v>
      </c>
      <c r="T745" s="3">
        <v>2211.3000000000002</v>
      </c>
      <c r="U745" s="3">
        <v>1735.64</v>
      </c>
      <c r="V745" s="3">
        <v>475.66</v>
      </c>
      <c r="W745" s="3" t="s">
        <v>42</v>
      </c>
      <c r="X745" s="3" t="s">
        <v>43</v>
      </c>
      <c r="Y745" s="2" t="str">
        <f t="shared" si="71"/>
        <v>Unique</v>
      </c>
      <c r="AA745" s="2" t="str">
        <f t="shared" si="72"/>
        <v>Clean</v>
      </c>
      <c r="AB745" s="2" t="str">
        <f t="shared" si="73"/>
        <v>Invalid</v>
      </c>
      <c r="AC745">
        <f t="shared" si="95"/>
        <v>0.25</v>
      </c>
      <c r="AD745">
        <f t="shared" si="96"/>
        <v>2211.2999999999997</v>
      </c>
      <c r="AE745">
        <f t="shared" si="97"/>
        <v>475.65999999999963</v>
      </c>
      <c r="AF745">
        <f t="shared" si="98"/>
        <v>0.21510423732645942</v>
      </c>
      <c r="AG745" t="str">
        <f t="shared" si="99"/>
        <v>December</v>
      </c>
      <c r="AH745">
        <f t="shared" si="100"/>
        <v>2025</v>
      </c>
      <c r="AI745" t="str">
        <f t="shared" si="101"/>
        <v>Clean</v>
      </c>
    </row>
    <row r="746" spans="1:35" ht="15.75" customHeight="1">
      <c r="A746" s="3" t="s">
        <v>3443</v>
      </c>
      <c r="B746" s="3" t="s">
        <v>3444</v>
      </c>
      <c r="C746" s="3" t="s">
        <v>1470</v>
      </c>
      <c r="D746" s="3" t="str">
        <f t="shared" si="68"/>
        <v>20-Aug-2025</v>
      </c>
      <c r="E746" s="3" t="str">
        <f t="shared" si="69"/>
        <v>17-Aug-2025</v>
      </c>
      <c r="F746" s="3">
        <f t="shared" si="70"/>
        <v>3</v>
      </c>
      <c r="G746" s="3" t="s">
        <v>3445</v>
      </c>
      <c r="H746" s="3" t="s">
        <v>48</v>
      </c>
      <c r="I746" s="3" t="s">
        <v>123</v>
      </c>
      <c r="J746" s="3" t="s">
        <v>35</v>
      </c>
      <c r="K746" s="3" t="s">
        <v>162</v>
      </c>
      <c r="L746" s="3" t="s">
        <v>163</v>
      </c>
      <c r="M746" s="3" t="s">
        <v>38</v>
      </c>
      <c r="N746" s="3" t="s">
        <v>206</v>
      </c>
      <c r="O746" s="3" t="s">
        <v>3446</v>
      </c>
      <c r="P746" s="3" t="s">
        <v>64</v>
      </c>
      <c r="Q746" s="3">
        <v>5</v>
      </c>
      <c r="R746" s="3">
        <v>2701.89</v>
      </c>
      <c r="S746" s="3">
        <v>0.1</v>
      </c>
      <c r="T746" s="3">
        <v>12158.5</v>
      </c>
      <c r="U746" s="3">
        <v>10260.07</v>
      </c>
      <c r="V746" s="3">
        <v>1898.43</v>
      </c>
      <c r="W746" s="3" t="s">
        <v>42</v>
      </c>
      <c r="X746" s="3" t="s">
        <v>86</v>
      </c>
      <c r="Y746" s="2" t="str">
        <f t="shared" si="71"/>
        <v>Unique</v>
      </c>
      <c r="AA746" s="2" t="str">
        <f t="shared" si="72"/>
        <v>Clean</v>
      </c>
      <c r="AB746" s="2" t="str">
        <f t="shared" si="73"/>
        <v>valid</v>
      </c>
      <c r="AC746">
        <f t="shared" si="95"/>
        <v>0.1</v>
      </c>
      <c r="AD746">
        <f t="shared" si="96"/>
        <v>12158.504999999999</v>
      </c>
      <c r="AE746">
        <f t="shared" si="97"/>
        <v>1898.4349999999995</v>
      </c>
      <c r="AF746">
        <f t="shared" si="98"/>
        <v>0.15614049589155901</v>
      </c>
      <c r="AG746" t="str">
        <f t="shared" si="99"/>
        <v>August</v>
      </c>
      <c r="AH746">
        <f t="shared" si="100"/>
        <v>2025</v>
      </c>
      <c r="AI746" t="str">
        <f t="shared" si="101"/>
        <v>Warning</v>
      </c>
    </row>
    <row r="747" spans="1:35" ht="15.75" customHeight="1">
      <c r="A747" s="3" t="s">
        <v>3447</v>
      </c>
      <c r="B747" s="3" t="s">
        <v>3448</v>
      </c>
      <c r="C747" s="3" t="s">
        <v>3449</v>
      </c>
      <c r="D747" s="3" t="str">
        <f t="shared" si="68"/>
        <v>28-Oct-2024</v>
      </c>
      <c r="E747" s="3" t="str">
        <f t="shared" si="69"/>
        <v>24-Oct-2024</v>
      </c>
      <c r="F747" s="3">
        <f t="shared" si="70"/>
        <v>4</v>
      </c>
      <c r="G747" s="3" t="s">
        <v>3450</v>
      </c>
      <c r="H747" s="3" t="s">
        <v>48</v>
      </c>
      <c r="I747" s="3" t="s">
        <v>49</v>
      </c>
      <c r="J747" s="3" t="s">
        <v>50</v>
      </c>
      <c r="K747" s="3" t="s">
        <v>224</v>
      </c>
      <c r="L747" s="3" t="s">
        <v>225</v>
      </c>
      <c r="M747" s="3" t="s">
        <v>94</v>
      </c>
      <c r="N747" s="3" t="s">
        <v>102</v>
      </c>
      <c r="O747" s="3" t="s">
        <v>3451</v>
      </c>
      <c r="P747" s="3" t="s">
        <v>75</v>
      </c>
      <c r="Q747" s="3">
        <v>3</v>
      </c>
      <c r="R747" s="3">
        <v>723.59</v>
      </c>
      <c r="S747" s="3">
        <v>0.2</v>
      </c>
      <c r="T747" s="3">
        <v>1736.62</v>
      </c>
      <c r="U747" s="3">
        <v>1059.52</v>
      </c>
      <c r="V747" s="3">
        <v>677.1</v>
      </c>
      <c r="W747" s="3" t="s">
        <v>42</v>
      </c>
      <c r="X747" s="3" t="s">
        <v>43</v>
      </c>
      <c r="Y747" s="2" t="str">
        <f t="shared" si="71"/>
        <v>Unique</v>
      </c>
      <c r="AA747" s="2" t="str">
        <f t="shared" si="72"/>
        <v>Clean</v>
      </c>
      <c r="AB747" s="2" t="str">
        <f t="shared" si="73"/>
        <v>valid</v>
      </c>
      <c r="AC747">
        <f t="shared" si="95"/>
        <v>0.2</v>
      </c>
      <c r="AD747">
        <f t="shared" si="96"/>
        <v>1736.616</v>
      </c>
      <c r="AE747">
        <f t="shared" si="97"/>
        <v>677.096</v>
      </c>
      <c r="AF747">
        <f t="shared" si="98"/>
        <v>0.38989390861307277</v>
      </c>
      <c r="AG747" t="str">
        <f t="shared" si="99"/>
        <v>October</v>
      </c>
      <c r="AH747">
        <f t="shared" si="100"/>
        <v>2024</v>
      </c>
      <c r="AI747" t="str">
        <f t="shared" si="101"/>
        <v>Clean</v>
      </c>
    </row>
    <row r="748" spans="1:35" ht="15.75" customHeight="1">
      <c r="A748" s="3" t="s">
        <v>3452</v>
      </c>
      <c r="B748" s="3" t="s">
        <v>1347</v>
      </c>
      <c r="C748" s="3" t="s">
        <v>3453</v>
      </c>
      <c r="D748" s="3" t="str">
        <f t="shared" si="68"/>
        <v>10-Jan-2025</v>
      </c>
      <c r="E748" s="3" t="str">
        <f t="shared" si="69"/>
        <v>04-Jan-2025</v>
      </c>
      <c r="F748" s="3">
        <f t="shared" si="70"/>
        <v>6</v>
      </c>
      <c r="G748" s="3" t="s">
        <v>3041</v>
      </c>
      <c r="H748" s="3" t="s">
        <v>170</v>
      </c>
      <c r="I748" s="3" t="s">
        <v>123</v>
      </c>
      <c r="J748" s="3" t="s">
        <v>50</v>
      </c>
      <c r="K748" s="3" t="s">
        <v>129</v>
      </c>
      <c r="L748" s="3" t="s">
        <v>130</v>
      </c>
      <c r="M748" s="3" t="s">
        <v>38</v>
      </c>
      <c r="N748" s="3" t="s">
        <v>39</v>
      </c>
      <c r="O748" s="3" t="s">
        <v>3454</v>
      </c>
      <c r="P748" s="3" t="s">
        <v>75</v>
      </c>
      <c r="Q748" s="3">
        <v>4</v>
      </c>
      <c r="R748" s="3">
        <v>2583.19</v>
      </c>
      <c r="S748" s="3">
        <v>0.2</v>
      </c>
      <c r="T748" s="3">
        <v>8266.2099999999991</v>
      </c>
      <c r="U748" s="3">
        <v>6236.32</v>
      </c>
      <c r="V748" s="3">
        <v>2029.89</v>
      </c>
      <c r="W748" s="3" t="s">
        <v>42</v>
      </c>
      <c r="X748" s="3" t="s">
        <v>43</v>
      </c>
      <c r="Y748" s="2" t="str">
        <f t="shared" si="71"/>
        <v>Unique</v>
      </c>
      <c r="AA748" s="2" t="str">
        <f t="shared" si="72"/>
        <v>Clean</v>
      </c>
      <c r="AB748" s="2" t="str">
        <f t="shared" si="73"/>
        <v>valid</v>
      </c>
      <c r="AC748">
        <f t="shared" si="95"/>
        <v>0.2</v>
      </c>
      <c r="AD748">
        <f t="shared" si="96"/>
        <v>8266.2080000000005</v>
      </c>
      <c r="AE748">
        <f t="shared" si="97"/>
        <v>2029.8880000000008</v>
      </c>
      <c r="AF748">
        <f t="shared" si="98"/>
        <v>0.24556459261610653</v>
      </c>
      <c r="AG748" t="str">
        <f t="shared" si="99"/>
        <v>January</v>
      </c>
      <c r="AH748">
        <f t="shared" si="100"/>
        <v>2025</v>
      </c>
      <c r="AI748" t="str">
        <f t="shared" si="101"/>
        <v>Clean</v>
      </c>
    </row>
    <row r="749" spans="1:35" ht="15.75" customHeight="1">
      <c r="A749" s="3" t="s">
        <v>3455</v>
      </c>
      <c r="B749" s="3" t="s">
        <v>3456</v>
      </c>
      <c r="C749" s="3" t="s">
        <v>3457</v>
      </c>
      <c r="D749" s="3" t="str">
        <f t="shared" si="68"/>
        <v>07-May-2024</v>
      </c>
      <c r="E749" s="3" t="str">
        <f t="shared" si="69"/>
        <v>01-May-2024</v>
      </c>
      <c r="F749" s="3">
        <f t="shared" si="70"/>
        <v>6</v>
      </c>
      <c r="G749" s="3" t="s">
        <v>3458</v>
      </c>
      <c r="H749" s="3" t="s">
        <v>61</v>
      </c>
      <c r="I749" s="3" t="s">
        <v>123</v>
      </c>
      <c r="J749" s="3" t="s">
        <v>50</v>
      </c>
      <c r="K749" s="3" t="s">
        <v>51</v>
      </c>
      <c r="L749" s="3" t="s">
        <v>52</v>
      </c>
      <c r="M749" s="3" t="s">
        <v>38</v>
      </c>
      <c r="N749" s="3" t="s">
        <v>39</v>
      </c>
      <c r="O749" s="3" t="s">
        <v>3459</v>
      </c>
      <c r="P749" s="3" t="s">
        <v>56</v>
      </c>
      <c r="Q749" s="3">
        <v>8</v>
      </c>
      <c r="R749" s="3">
        <v>1473.83</v>
      </c>
      <c r="S749" s="3">
        <v>0.15</v>
      </c>
      <c r="T749" s="3">
        <v>10022.040000000001</v>
      </c>
      <c r="U749" s="3">
        <v>5576.98</v>
      </c>
      <c r="V749" s="3">
        <v>4445.0600000000004</v>
      </c>
      <c r="W749" s="3" t="s">
        <v>42</v>
      </c>
      <c r="X749" s="3" t="s">
        <v>43</v>
      </c>
      <c r="Y749" s="2" t="str">
        <f t="shared" si="71"/>
        <v>Unique</v>
      </c>
      <c r="AA749" s="2" t="str">
        <f t="shared" si="72"/>
        <v>Clean</v>
      </c>
      <c r="AB749" s="2" t="str">
        <f t="shared" si="73"/>
        <v>valid</v>
      </c>
      <c r="AC749">
        <f t="shared" si="95"/>
        <v>0.15</v>
      </c>
      <c r="AD749">
        <f t="shared" si="96"/>
        <v>10022.044</v>
      </c>
      <c r="AE749">
        <f t="shared" si="97"/>
        <v>4445.0640000000003</v>
      </c>
      <c r="AF749">
        <f t="shared" si="98"/>
        <v>0.44352868536597928</v>
      </c>
      <c r="AG749" t="str">
        <f t="shared" si="99"/>
        <v>May</v>
      </c>
      <c r="AH749">
        <f t="shared" si="100"/>
        <v>2024</v>
      </c>
      <c r="AI749" t="str">
        <f t="shared" si="101"/>
        <v>Clean</v>
      </c>
    </row>
    <row r="750" spans="1:35" ht="15.75" customHeight="1">
      <c r="A750" s="3" t="s">
        <v>3460</v>
      </c>
      <c r="B750" s="3" t="s">
        <v>3461</v>
      </c>
      <c r="C750" s="3" t="s">
        <v>3462</v>
      </c>
      <c r="D750" s="3" t="str">
        <f t="shared" si="68"/>
        <v>30-May-2024</v>
      </c>
      <c r="E750" s="3" t="str">
        <f t="shared" si="69"/>
        <v>30-May-2024</v>
      </c>
      <c r="F750" s="3">
        <f t="shared" si="70"/>
        <v>0</v>
      </c>
      <c r="G750" s="3" t="s">
        <v>3463</v>
      </c>
      <c r="H750" s="3" t="s">
        <v>218</v>
      </c>
      <c r="I750" s="3" t="s">
        <v>123</v>
      </c>
      <c r="J750" s="3" t="s">
        <v>35</v>
      </c>
      <c r="K750" s="3" t="s">
        <v>331</v>
      </c>
      <c r="L750" s="3" t="s">
        <v>332</v>
      </c>
      <c r="M750" s="3" t="s">
        <v>94</v>
      </c>
      <c r="N750" s="3" t="s">
        <v>231</v>
      </c>
      <c r="O750" s="3" t="s">
        <v>3464</v>
      </c>
      <c r="P750" s="3" t="s">
        <v>41</v>
      </c>
      <c r="Q750" s="3">
        <v>1</v>
      </c>
      <c r="R750" s="3">
        <v>3848.04</v>
      </c>
      <c r="S750" s="3">
        <v>0.25</v>
      </c>
      <c r="T750" s="3">
        <v>2886.03</v>
      </c>
      <c r="U750" s="3">
        <v>2064.83</v>
      </c>
      <c r="V750" s="3">
        <v>821.2</v>
      </c>
      <c r="W750" s="3" t="s">
        <v>42</v>
      </c>
      <c r="X750" s="3" t="s">
        <v>43</v>
      </c>
      <c r="Y750" s="2" t="str">
        <f t="shared" si="71"/>
        <v>Unique</v>
      </c>
      <c r="AA750" s="2" t="str">
        <f t="shared" si="72"/>
        <v>Clean</v>
      </c>
      <c r="AB750" s="2" t="str">
        <f t="shared" si="73"/>
        <v>valid</v>
      </c>
      <c r="AC750">
        <f t="shared" si="95"/>
        <v>0.25</v>
      </c>
      <c r="AD750">
        <f t="shared" si="96"/>
        <v>2886.0299999999997</v>
      </c>
      <c r="AE750">
        <f t="shared" si="97"/>
        <v>821.19999999999982</v>
      </c>
      <c r="AF750">
        <f t="shared" si="98"/>
        <v>0.28454312671732446</v>
      </c>
      <c r="AG750" t="str">
        <f t="shared" si="99"/>
        <v>May</v>
      </c>
      <c r="AH750">
        <f t="shared" si="100"/>
        <v>2024</v>
      </c>
      <c r="AI750" t="str">
        <f t="shared" si="101"/>
        <v>Clean</v>
      </c>
    </row>
    <row r="751" spans="1:35" ht="15.75" customHeight="1">
      <c r="A751" s="3" t="s">
        <v>3465</v>
      </c>
      <c r="B751" s="3" t="s">
        <v>3466</v>
      </c>
      <c r="C751" s="3" t="s">
        <v>3467</v>
      </c>
      <c r="D751" s="3" t="str">
        <f t="shared" si="68"/>
        <v>25-Mar-2024</v>
      </c>
      <c r="E751" s="3" t="str">
        <f t="shared" si="69"/>
        <v>21-Mar-2024</v>
      </c>
      <c r="F751" s="3">
        <f t="shared" si="70"/>
        <v>4</v>
      </c>
      <c r="G751" s="3" t="s">
        <v>3468</v>
      </c>
      <c r="H751" s="3" t="s">
        <v>115</v>
      </c>
      <c r="I751" s="3" t="s">
        <v>123</v>
      </c>
      <c r="J751" s="3" t="s">
        <v>50</v>
      </c>
      <c r="K751" s="3" t="s">
        <v>224</v>
      </c>
      <c r="L751" s="3" t="s">
        <v>225</v>
      </c>
      <c r="M751" s="3" t="s">
        <v>94</v>
      </c>
      <c r="N751" s="3" t="s">
        <v>391</v>
      </c>
      <c r="O751" s="3" t="s">
        <v>3469</v>
      </c>
      <c r="P751" s="3" t="s">
        <v>75</v>
      </c>
      <c r="Q751" s="3">
        <v>1</v>
      </c>
      <c r="R751" s="3">
        <v>1716.7</v>
      </c>
      <c r="S751" s="3">
        <v>0.15</v>
      </c>
      <c r="T751" s="3">
        <v>1459.19</v>
      </c>
      <c r="U751" s="3">
        <v>1055.79</v>
      </c>
      <c r="V751" s="3">
        <v>403.4</v>
      </c>
      <c r="W751" s="3" t="s">
        <v>42</v>
      </c>
      <c r="X751" s="3" t="s">
        <v>43</v>
      </c>
      <c r="Y751" s="2" t="str">
        <f t="shared" si="71"/>
        <v>Unique</v>
      </c>
      <c r="AA751" s="2" t="str">
        <f t="shared" si="72"/>
        <v>Clean</v>
      </c>
      <c r="AB751" s="2" t="str">
        <f t="shared" si="73"/>
        <v>valid</v>
      </c>
      <c r="AC751">
        <f t="shared" si="95"/>
        <v>0.15</v>
      </c>
      <c r="AD751">
        <f t="shared" si="96"/>
        <v>1459.1949999999999</v>
      </c>
      <c r="AE751">
        <f t="shared" si="97"/>
        <v>403.40499999999997</v>
      </c>
      <c r="AF751">
        <f t="shared" si="98"/>
        <v>0.27645722470266137</v>
      </c>
      <c r="AG751" t="str">
        <f t="shared" si="99"/>
        <v>March</v>
      </c>
      <c r="AH751">
        <f t="shared" si="100"/>
        <v>2024</v>
      </c>
      <c r="AI751" t="str">
        <f t="shared" si="101"/>
        <v>Clean</v>
      </c>
    </row>
    <row r="752" spans="1:35" ht="15.75" customHeight="1">
      <c r="A752" s="3" t="s">
        <v>3470</v>
      </c>
      <c r="B752" s="3" t="s">
        <v>3471</v>
      </c>
      <c r="C752" s="3" t="s">
        <v>384</v>
      </c>
      <c r="D752" s="3" t="str">
        <f t="shared" si="68"/>
        <v>02-Jun-2025</v>
      </c>
      <c r="E752" s="3" t="str">
        <f t="shared" si="69"/>
        <v>06-Feb-2025</v>
      </c>
      <c r="F752" s="3">
        <f t="shared" si="70"/>
        <v>116</v>
      </c>
      <c r="G752" s="3" t="s">
        <v>3472</v>
      </c>
      <c r="H752" s="3" t="s">
        <v>170</v>
      </c>
      <c r="I752" s="3" t="s">
        <v>123</v>
      </c>
      <c r="J752" s="3" t="s">
        <v>70</v>
      </c>
      <c r="K752" s="3" t="s">
        <v>71</v>
      </c>
      <c r="L752" s="3" t="s">
        <v>72</v>
      </c>
      <c r="M752" s="3" t="s">
        <v>94</v>
      </c>
      <c r="N752" s="3" t="s">
        <v>95</v>
      </c>
      <c r="O752" s="3" t="s">
        <v>3473</v>
      </c>
      <c r="P752" s="3" t="s">
        <v>64</v>
      </c>
      <c r="Q752" s="3">
        <v>8</v>
      </c>
      <c r="R752" s="3">
        <v>3925.93</v>
      </c>
      <c r="S752" s="3">
        <v>0.15</v>
      </c>
      <c r="T752" s="3">
        <v>26696.32</v>
      </c>
      <c r="U752" s="3">
        <v>22724.52</v>
      </c>
      <c r="V752" s="3">
        <v>3971.8</v>
      </c>
      <c r="W752" s="3" t="s">
        <v>42</v>
      </c>
      <c r="X752" s="3" t="s">
        <v>43</v>
      </c>
      <c r="Y752" s="2" t="str">
        <f t="shared" si="71"/>
        <v>Unique</v>
      </c>
      <c r="AA752" s="2" t="str">
        <f t="shared" si="72"/>
        <v>Clean</v>
      </c>
      <c r="AB752" s="2" t="str">
        <f t="shared" si="73"/>
        <v>valid</v>
      </c>
      <c r="AC752">
        <f t="shared" si="95"/>
        <v>0.15</v>
      </c>
      <c r="AD752">
        <f t="shared" si="96"/>
        <v>26696.323999999997</v>
      </c>
      <c r="AE752">
        <f t="shared" si="97"/>
        <v>3971.8039999999964</v>
      </c>
      <c r="AF752">
        <f t="shared" si="98"/>
        <v>0.14877718745097629</v>
      </c>
      <c r="AG752" t="str">
        <f t="shared" si="99"/>
        <v>February</v>
      </c>
      <c r="AH752">
        <f t="shared" si="100"/>
        <v>2025</v>
      </c>
      <c r="AI752" t="str">
        <f t="shared" si="101"/>
        <v>Clean</v>
      </c>
    </row>
    <row r="753" spans="1:35" ht="15.75" customHeight="1">
      <c r="A753" s="3" t="s">
        <v>3474</v>
      </c>
      <c r="B753" s="3" t="s">
        <v>729</v>
      </c>
      <c r="C753" s="3" t="s">
        <v>3475</v>
      </c>
      <c r="D753" s="3" t="str">
        <f t="shared" si="68"/>
        <v>19-Jul-2025</v>
      </c>
      <c r="E753" s="3" t="str">
        <f t="shared" si="69"/>
        <v>18-Jul-2025</v>
      </c>
      <c r="F753" s="3">
        <f t="shared" si="70"/>
        <v>1</v>
      </c>
      <c r="G753" s="3" t="s">
        <v>3476</v>
      </c>
      <c r="H753" s="3" t="s">
        <v>150</v>
      </c>
      <c r="I753" s="3" t="s">
        <v>123</v>
      </c>
      <c r="J753" s="3" t="s">
        <v>280</v>
      </c>
      <c r="K753" s="3" t="s">
        <v>182</v>
      </c>
      <c r="L753" s="3" t="s">
        <v>183</v>
      </c>
      <c r="M753" s="3" t="s">
        <v>94</v>
      </c>
      <c r="N753" s="3" t="s">
        <v>391</v>
      </c>
      <c r="O753" s="3" t="s">
        <v>3477</v>
      </c>
      <c r="P753" s="3" t="s">
        <v>280</v>
      </c>
      <c r="Q753" s="3">
        <v>3</v>
      </c>
      <c r="R753" s="3">
        <v>2963.25</v>
      </c>
      <c r="S753" s="3">
        <v>0.05</v>
      </c>
      <c r="T753" s="3">
        <v>8445.26</v>
      </c>
      <c r="U753" s="3">
        <v>6937.6</v>
      </c>
      <c r="V753" s="3">
        <v>1507.66</v>
      </c>
      <c r="W753" s="3" t="s">
        <v>42</v>
      </c>
      <c r="X753" s="3" t="s">
        <v>43</v>
      </c>
      <c r="Y753" s="2" t="str">
        <f t="shared" si="71"/>
        <v>Unique</v>
      </c>
      <c r="AA753" s="2" t="str">
        <f t="shared" si="72"/>
        <v>Clean</v>
      </c>
      <c r="AB753" s="2" t="str">
        <f t="shared" si="73"/>
        <v>valid</v>
      </c>
      <c r="AC753">
        <f t="shared" si="95"/>
        <v>0.05</v>
      </c>
      <c r="AD753">
        <f t="shared" si="96"/>
        <v>8445.2624999999989</v>
      </c>
      <c r="AE753">
        <f t="shared" si="97"/>
        <v>1507.6624999999985</v>
      </c>
      <c r="AF753">
        <f t="shared" si="98"/>
        <v>0.17852168597482893</v>
      </c>
      <c r="AG753" t="str">
        <f t="shared" si="99"/>
        <v>July</v>
      </c>
      <c r="AH753">
        <f t="shared" si="100"/>
        <v>2025</v>
      </c>
      <c r="AI753" t="str">
        <f t="shared" si="101"/>
        <v>Clean</v>
      </c>
    </row>
    <row r="754" spans="1:35" ht="15.75" customHeight="1">
      <c r="A754" s="3" t="s">
        <v>3478</v>
      </c>
      <c r="B754" s="3" t="s">
        <v>2209</v>
      </c>
      <c r="C754" s="3" t="s">
        <v>3151</v>
      </c>
      <c r="D754" s="3" t="str">
        <f t="shared" si="68"/>
        <v>27-Mar-2024</v>
      </c>
      <c r="E754" s="3" t="str">
        <f t="shared" si="69"/>
        <v>24-Mar-2024</v>
      </c>
      <c r="F754" s="3">
        <f t="shared" si="70"/>
        <v>3</v>
      </c>
      <c r="G754" s="3" t="s">
        <v>3479</v>
      </c>
      <c r="H754" s="3" t="s">
        <v>115</v>
      </c>
      <c r="I754" s="3" t="s">
        <v>116</v>
      </c>
      <c r="J754" s="3" t="s">
        <v>81</v>
      </c>
      <c r="K754" s="3" t="s">
        <v>243</v>
      </c>
      <c r="L754" s="3" t="s">
        <v>244</v>
      </c>
      <c r="M754" s="3" t="s">
        <v>38</v>
      </c>
      <c r="N754" s="3" t="s">
        <v>164</v>
      </c>
      <c r="O754" s="3" t="s">
        <v>3480</v>
      </c>
      <c r="P754" s="3" t="s">
        <v>64</v>
      </c>
      <c r="Q754" s="3">
        <v>5</v>
      </c>
      <c r="R754" s="3">
        <v>2465.2199999999998</v>
      </c>
      <c r="S754" s="3">
        <v>0.05</v>
      </c>
      <c r="T754" s="3">
        <v>11709.79</v>
      </c>
      <c r="U754" s="3">
        <v>8372.2900000000009</v>
      </c>
      <c r="V754" s="3">
        <v>3337.5</v>
      </c>
      <c r="W754" s="3" t="s">
        <v>42</v>
      </c>
      <c r="X754" s="3" t="s">
        <v>43</v>
      </c>
      <c r="Y754" s="2" t="str">
        <f t="shared" si="71"/>
        <v>Unique</v>
      </c>
      <c r="AA754" s="2" t="str">
        <f t="shared" si="72"/>
        <v>Clean</v>
      </c>
      <c r="AB754" s="2" t="str">
        <f t="shared" si="73"/>
        <v>valid</v>
      </c>
      <c r="AC754">
        <f t="shared" si="95"/>
        <v>0.05</v>
      </c>
      <c r="AD754">
        <f t="shared" si="96"/>
        <v>11709.794999999998</v>
      </c>
      <c r="AE754">
        <f t="shared" si="97"/>
        <v>3337.5049999999974</v>
      </c>
      <c r="AF754">
        <f t="shared" si="98"/>
        <v>0.28501822619439521</v>
      </c>
      <c r="AG754" t="str">
        <f t="shared" si="99"/>
        <v>March</v>
      </c>
      <c r="AH754">
        <f t="shared" si="100"/>
        <v>2024</v>
      </c>
      <c r="AI754" t="str">
        <f t="shared" si="101"/>
        <v>Clean</v>
      </c>
    </row>
    <row r="755" spans="1:35" ht="15.75" customHeight="1">
      <c r="A755" s="3" t="s">
        <v>3481</v>
      </c>
      <c r="B755" s="3" t="s">
        <v>2428</v>
      </c>
      <c r="C755" s="3" t="s">
        <v>2787</v>
      </c>
      <c r="D755" s="3" t="str">
        <f t="shared" si="68"/>
        <v>10-Aug-2024</v>
      </c>
      <c r="E755" s="3" t="str">
        <f t="shared" si="69"/>
        <v>11-Aug-2024</v>
      </c>
      <c r="F755" s="3">
        <f t="shared" si="70"/>
        <v>-1</v>
      </c>
      <c r="G755" s="3" t="s">
        <v>3482</v>
      </c>
      <c r="H755" s="3" t="s">
        <v>115</v>
      </c>
      <c r="I755" s="3" t="s">
        <v>116</v>
      </c>
      <c r="J755" s="3" t="s">
        <v>35</v>
      </c>
      <c r="K755" s="3" t="s">
        <v>515</v>
      </c>
      <c r="L755" s="3" t="s">
        <v>516</v>
      </c>
      <c r="M755" s="3" t="s">
        <v>53</v>
      </c>
      <c r="N755" s="3" t="s">
        <v>73</v>
      </c>
      <c r="O755" s="3" t="s">
        <v>3483</v>
      </c>
      <c r="P755" s="3" t="s">
        <v>41</v>
      </c>
      <c r="Q755" s="3">
        <v>3</v>
      </c>
      <c r="R755" s="3">
        <v>1017.22</v>
      </c>
      <c r="S755" s="3">
        <v>0.15</v>
      </c>
      <c r="T755" s="3">
        <v>2593.91</v>
      </c>
      <c r="U755" s="3">
        <v>1848.48</v>
      </c>
      <c r="V755" s="3">
        <v>745.43</v>
      </c>
      <c r="W755" s="3" t="s">
        <v>208</v>
      </c>
      <c r="X755" s="3" t="s">
        <v>133</v>
      </c>
      <c r="Y755" s="2" t="str">
        <f t="shared" si="71"/>
        <v>Unique</v>
      </c>
      <c r="AA755" s="2" t="str">
        <f t="shared" si="72"/>
        <v>Clean</v>
      </c>
      <c r="AB755" s="2" t="str">
        <f t="shared" si="73"/>
        <v>Invalid</v>
      </c>
      <c r="AC755">
        <f t="shared" si="95"/>
        <v>0.15</v>
      </c>
      <c r="AD755">
        <f t="shared" si="96"/>
        <v>2593.9109999999996</v>
      </c>
      <c r="AE755">
        <f t="shared" si="97"/>
        <v>745.43099999999959</v>
      </c>
      <c r="AF755">
        <f t="shared" si="98"/>
        <v>0.28737724617382776</v>
      </c>
      <c r="AG755" t="str">
        <f t="shared" si="99"/>
        <v>August</v>
      </c>
      <c r="AH755">
        <f t="shared" si="100"/>
        <v>2024</v>
      </c>
      <c r="AI755" t="str">
        <f t="shared" si="101"/>
        <v>Warning</v>
      </c>
    </row>
    <row r="756" spans="1:35" ht="15.75" customHeight="1">
      <c r="A756" s="3" t="s">
        <v>3484</v>
      </c>
      <c r="B756" s="3" t="s">
        <v>3485</v>
      </c>
      <c r="C756" s="3" t="s">
        <v>3485</v>
      </c>
      <c r="D756" s="3" t="str">
        <f t="shared" si="68"/>
        <v>06-Apr-2025</v>
      </c>
      <c r="E756" s="3" t="str">
        <f t="shared" si="69"/>
        <v>06-Apr-2025</v>
      </c>
      <c r="F756" s="3">
        <f t="shared" si="70"/>
        <v>0</v>
      </c>
      <c r="G756" s="3" t="s">
        <v>3486</v>
      </c>
      <c r="H756" s="3" t="s">
        <v>101</v>
      </c>
      <c r="I756" s="3" t="s">
        <v>116</v>
      </c>
      <c r="J756" s="3" t="s">
        <v>70</v>
      </c>
      <c r="K756" s="3" t="s">
        <v>250</v>
      </c>
      <c r="L756" s="3" t="s">
        <v>251</v>
      </c>
      <c r="M756" s="3" t="s">
        <v>38</v>
      </c>
      <c r="N756" s="3" t="s">
        <v>164</v>
      </c>
      <c r="O756" s="3" t="s">
        <v>3487</v>
      </c>
      <c r="P756" s="3" t="s">
        <v>75</v>
      </c>
      <c r="Q756" s="3">
        <v>4</v>
      </c>
      <c r="R756" s="3">
        <v>891.34</v>
      </c>
      <c r="S756" s="3">
        <v>0.25</v>
      </c>
      <c r="T756" s="3">
        <v>2674.02</v>
      </c>
      <c r="U756" s="3">
        <v>2207.5700000000002</v>
      </c>
      <c r="V756" s="3">
        <v>466.45</v>
      </c>
      <c r="W756" s="3" t="s">
        <v>42</v>
      </c>
      <c r="X756" s="3" t="s">
        <v>43</v>
      </c>
      <c r="Y756" s="2" t="str">
        <f t="shared" si="71"/>
        <v>Unique</v>
      </c>
      <c r="AA756" s="2" t="str">
        <f t="shared" si="72"/>
        <v>Clean</v>
      </c>
      <c r="AB756" s="2" t="str">
        <f t="shared" si="73"/>
        <v>valid</v>
      </c>
      <c r="AC756">
        <f t="shared" si="95"/>
        <v>0.25</v>
      </c>
      <c r="AD756">
        <f t="shared" si="96"/>
        <v>2674.02</v>
      </c>
      <c r="AE756">
        <f t="shared" si="97"/>
        <v>466.44999999999982</v>
      </c>
      <c r="AF756">
        <f t="shared" si="98"/>
        <v>0.17443773793763689</v>
      </c>
      <c r="AG756" t="str">
        <f t="shared" si="99"/>
        <v>April</v>
      </c>
      <c r="AH756">
        <f t="shared" si="100"/>
        <v>2025</v>
      </c>
      <c r="AI756" t="str">
        <f t="shared" si="101"/>
        <v>Clean</v>
      </c>
    </row>
    <row r="757" spans="1:35" ht="15.75" customHeight="1">
      <c r="A757" s="3" t="s">
        <v>3488</v>
      </c>
      <c r="B757" s="3" t="s">
        <v>1097</v>
      </c>
      <c r="C757" s="3" t="s">
        <v>1727</v>
      </c>
      <c r="D757" s="3" t="str">
        <f t="shared" si="68"/>
        <v>24-Jul-2025</v>
      </c>
      <c r="E757" s="3" t="str">
        <f t="shared" si="69"/>
        <v>20-Jul-2025</v>
      </c>
      <c r="F757" s="3">
        <f t="shared" si="70"/>
        <v>4</v>
      </c>
      <c r="G757" s="3" t="s">
        <v>3489</v>
      </c>
      <c r="H757" s="3" t="s">
        <v>150</v>
      </c>
      <c r="I757" s="3" t="s">
        <v>123</v>
      </c>
      <c r="J757" s="3" t="s">
        <v>81</v>
      </c>
      <c r="K757" s="3" t="s">
        <v>92</v>
      </c>
      <c r="L757" s="3" t="s">
        <v>93</v>
      </c>
      <c r="M757" s="3" t="s">
        <v>38</v>
      </c>
      <c r="N757" s="3" t="s">
        <v>164</v>
      </c>
      <c r="O757" s="3" t="s">
        <v>3490</v>
      </c>
      <c r="P757" s="3" t="s">
        <v>41</v>
      </c>
      <c r="Q757" s="3">
        <v>5</v>
      </c>
      <c r="R757" s="3">
        <v>2481.7399999999998</v>
      </c>
      <c r="S757" s="3">
        <v>0.2</v>
      </c>
      <c r="T757" s="3">
        <v>9926.9599999999991</v>
      </c>
      <c r="U757" s="3">
        <v>7994.98</v>
      </c>
      <c r="V757" s="3">
        <v>1931.98</v>
      </c>
      <c r="W757" s="3" t="s">
        <v>42</v>
      </c>
      <c r="X757" s="3" t="s">
        <v>43</v>
      </c>
      <c r="Y757" s="2" t="str">
        <f t="shared" si="71"/>
        <v>Unique</v>
      </c>
      <c r="AA757" s="2" t="str">
        <f t="shared" si="72"/>
        <v>Clean</v>
      </c>
      <c r="AB757" s="2" t="str">
        <f t="shared" si="73"/>
        <v>valid</v>
      </c>
      <c r="AC757">
        <f t="shared" si="95"/>
        <v>0.2</v>
      </c>
      <c r="AD757">
        <f t="shared" si="96"/>
        <v>9926.9599999999991</v>
      </c>
      <c r="AE757">
        <f t="shared" si="97"/>
        <v>1931.9799999999996</v>
      </c>
      <c r="AF757">
        <f t="shared" si="98"/>
        <v>0.19461950083409219</v>
      </c>
      <c r="AG757" t="str">
        <f t="shared" si="99"/>
        <v>July</v>
      </c>
      <c r="AH757">
        <f t="shared" si="100"/>
        <v>2025</v>
      </c>
      <c r="AI757" t="str">
        <f t="shared" si="101"/>
        <v>Clean</v>
      </c>
    </row>
    <row r="758" spans="1:35" ht="15.75" customHeight="1">
      <c r="A758" s="3" t="s">
        <v>3491</v>
      </c>
      <c r="B758" s="3" t="s">
        <v>3492</v>
      </c>
      <c r="C758" s="3" t="s">
        <v>3493</v>
      </c>
      <c r="D758" s="3" t="str">
        <f t="shared" si="68"/>
        <v>11-Jan-2024</v>
      </c>
      <c r="E758" s="3" t="str">
        <f t="shared" si="69"/>
        <v>27-Oct-2024</v>
      </c>
      <c r="F758" s="3">
        <f t="shared" si="70"/>
        <v>-290</v>
      </c>
      <c r="G758" s="3" t="s">
        <v>3494</v>
      </c>
      <c r="H758" s="3" t="s">
        <v>188</v>
      </c>
      <c r="I758" s="3" t="s">
        <v>34</v>
      </c>
      <c r="J758" s="3" t="s">
        <v>35</v>
      </c>
      <c r="K758" s="3" t="s">
        <v>36</v>
      </c>
      <c r="L758" s="3" t="s">
        <v>37</v>
      </c>
      <c r="M758" s="3" t="s">
        <v>94</v>
      </c>
      <c r="N758" s="3" t="s">
        <v>95</v>
      </c>
      <c r="O758" s="3" t="s">
        <v>3495</v>
      </c>
      <c r="P758" s="3" t="s">
        <v>56</v>
      </c>
      <c r="Q758" s="3">
        <v>7</v>
      </c>
      <c r="R758" s="3">
        <v>2177.1</v>
      </c>
      <c r="S758" s="3">
        <v>0.2</v>
      </c>
      <c r="T758" s="3">
        <v>12191.76</v>
      </c>
      <c r="U758" s="3">
        <v>10457.49</v>
      </c>
      <c r="V758" s="3">
        <v>1734.27</v>
      </c>
      <c r="W758" s="3" t="s">
        <v>42</v>
      </c>
      <c r="X758" s="3" t="s">
        <v>133</v>
      </c>
      <c r="Y758" s="2" t="str">
        <f t="shared" si="71"/>
        <v>Unique</v>
      </c>
      <c r="AA758" s="2" t="str">
        <f t="shared" si="72"/>
        <v>Clean</v>
      </c>
      <c r="AB758" s="2" t="str">
        <f t="shared" si="73"/>
        <v>Invalid</v>
      </c>
      <c r="AC758">
        <f t="shared" si="95"/>
        <v>0.2</v>
      </c>
      <c r="AD758">
        <f t="shared" si="96"/>
        <v>12191.76</v>
      </c>
      <c r="AE758">
        <f t="shared" si="97"/>
        <v>1734.2700000000004</v>
      </c>
      <c r="AF758">
        <f t="shared" si="98"/>
        <v>0.14224935530226976</v>
      </c>
      <c r="AG758" t="str">
        <f t="shared" si="99"/>
        <v>October</v>
      </c>
      <c r="AH758">
        <f t="shared" si="100"/>
        <v>2024</v>
      </c>
      <c r="AI758" t="str">
        <f t="shared" si="101"/>
        <v>Clean</v>
      </c>
    </row>
    <row r="759" spans="1:35" ht="15.75" customHeight="1">
      <c r="A759" s="3" t="s">
        <v>3496</v>
      </c>
      <c r="B759" s="3" t="s">
        <v>3497</v>
      </c>
      <c r="C759" s="3" t="s">
        <v>3498</v>
      </c>
      <c r="D759" s="3" t="str">
        <f t="shared" si="68"/>
        <v>03-Aug-2025</v>
      </c>
      <c r="E759" s="3" t="str">
        <f t="shared" si="69"/>
        <v>01-Aug-2025</v>
      </c>
      <c r="F759" s="3">
        <f t="shared" si="70"/>
        <v>2</v>
      </c>
      <c r="G759" s="3" t="s">
        <v>3499</v>
      </c>
      <c r="H759" s="3" t="s">
        <v>115</v>
      </c>
      <c r="I759" s="3" t="s">
        <v>49</v>
      </c>
      <c r="J759" s="3" t="s">
        <v>70</v>
      </c>
      <c r="K759" s="3" t="s">
        <v>250</v>
      </c>
      <c r="L759" s="3" t="s">
        <v>251</v>
      </c>
      <c r="M759" s="3" t="s">
        <v>53</v>
      </c>
      <c r="N759" s="3" t="s">
        <v>212</v>
      </c>
      <c r="O759" s="3" t="s">
        <v>3500</v>
      </c>
      <c r="P759" s="3" t="s">
        <v>75</v>
      </c>
      <c r="Q759" s="3">
        <v>3</v>
      </c>
      <c r="R759" s="3">
        <v>1904.78</v>
      </c>
      <c r="S759" s="3">
        <v>0.25</v>
      </c>
      <c r="T759" s="3">
        <v>4285.76</v>
      </c>
      <c r="U759" s="3">
        <v>2386.33</v>
      </c>
      <c r="V759" s="3">
        <v>1899.43</v>
      </c>
      <c r="W759" s="3" t="s">
        <v>208</v>
      </c>
      <c r="X759" s="3" t="s">
        <v>86</v>
      </c>
      <c r="Y759" s="2" t="str">
        <f t="shared" si="71"/>
        <v>Unique</v>
      </c>
      <c r="AA759" s="2" t="str">
        <f t="shared" si="72"/>
        <v>Clean</v>
      </c>
      <c r="AB759" s="2" t="str">
        <f t="shared" si="73"/>
        <v>valid</v>
      </c>
      <c r="AC759">
        <f t="shared" si="95"/>
        <v>0.25</v>
      </c>
      <c r="AD759">
        <f t="shared" si="96"/>
        <v>4285.7550000000001</v>
      </c>
      <c r="AE759">
        <f t="shared" si="97"/>
        <v>1899.4250000000002</v>
      </c>
      <c r="AF759">
        <f t="shared" si="98"/>
        <v>0.44319495631458172</v>
      </c>
      <c r="AG759" t="str">
        <f t="shared" si="99"/>
        <v>August</v>
      </c>
      <c r="AH759">
        <f t="shared" si="100"/>
        <v>2025</v>
      </c>
      <c r="AI759" t="str">
        <f t="shared" si="101"/>
        <v>Warning</v>
      </c>
    </row>
    <row r="760" spans="1:35" ht="15.75" customHeight="1">
      <c r="A760" s="3" t="s">
        <v>3501</v>
      </c>
      <c r="B760" s="3" t="s">
        <v>3502</v>
      </c>
      <c r="C760" s="3" t="s">
        <v>2692</v>
      </c>
      <c r="D760" s="3" t="str">
        <f t="shared" si="68"/>
        <v>10-May-2024</v>
      </c>
      <c r="E760" s="3" t="str">
        <f t="shared" si="69"/>
        <v>02-May-2024</v>
      </c>
      <c r="F760" s="3">
        <f t="shared" si="70"/>
        <v>8</v>
      </c>
      <c r="G760" s="3" t="s">
        <v>3503</v>
      </c>
      <c r="H760" s="3" t="s">
        <v>170</v>
      </c>
      <c r="I760" s="3" t="s">
        <v>49</v>
      </c>
      <c r="J760" s="3" t="s">
        <v>70</v>
      </c>
      <c r="K760" s="3" t="s">
        <v>237</v>
      </c>
      <c r="L760" s="3" t="s">
        <v>238</v>
      </c>
      <c r="M760" s="3" t="s">
        <v>53</v>
      </c>
      <c r="N760" s="3" t="s">
        <v>84</v>
      </c>
      <c r="O760" s="3" t="s">
        <v>3504</v>
      </c>
      <c r="P760" s="3" t="s">
        <v>75</v>
      </c>
      <c r="Q760" s="3">
        <v>1</v>
      </c>
      <c r="R760" s="3">
        <v>4166.91</v>
      </c>
      <c r="S760" s="3">
        <v>0</v>
      </c>
      <c r="T760" s="3">
        <v>4166.91</v>
      </c>
      <c r="U760" s="3">
        <v>3412.63</v>
      </c>
      <c r="V760" s="3">
        <v>754.28</v>
      </c>
      <c r="W760" s="3" t="s">
        <v>42</v>
      </c>
      <c r="X760" s="3" t="s">
        <v>43</v>
      </c>
      <c r="Y760" s="2" t="str">
        <f t="shared" si="71"/>
        <v>Unique</v>
      </c>
      <c r="AA760" s="2" t="str">
        <f t="shared" si="72"/>
        <v>Clean</v>
      </c>
      <c r="AB760" s="2" t="str">
        <f t="shared" si="73"/>
        <v>valid</v>
      </c>
      <c r="AC760">
        <f t="shared" si="95"/>
        <v>0</v>
      </c>
      <c r="AD760">
        <f t="shared" si="96"/>
        <v>4166.91</v>
      </c>
      <c r="AE760">
        <f t="shared" si="97"/>
        <v>754.27999999999975</v>
      </c>
      <c r="AF760">
        <f t="shared" si="98"/>
        <v>0.18101662862888801</v>
      </c>
      <c r="AG760" t="str">
        <f t="shared" si="99"/>
        <v>May</v>
      </c>
      <c r="AH760">
        <f t="shared" si="100"/>
        <v>2024</v>
      </c>
      <c r="AI760" t="str">
        <f t="shared" si="101"/>
        <v>Clean</v>
      </c>
    </row>
    <row r="761" spans="1:35" ht="15.75" customHeight="1">
      <c r="A761" s="3" t="s">
        <v>3505</v>
      </c>
      <c r="B761" s="3" t="s">
        <v>415</v>
      </c>
      <c r="C761" s="3" t="s">
        <v>3506</v>
      </c>
      <c r="D761" s="3" t="str">
        <f t="shared" si="68"/>
        <v>26-Jul-2024</v>
      </c>
      <c r="E761" s="3" t="str">
        <f t="shared" si="69"/>
        <v>19-Jul-2024</v>
      </c>
      <c r="F761" s="3">
        <f t="shared" si="70"/>
        <v>7</v>
      </c>
      <c r="G761" s="3" t="s">
        <v>3507</v>
      </c>
      <c r="H761" s="3" t="s">
        <v>69</v>
      </c>
      <c r="I761" s="3" t="s">
        <v>123</v>
      </c>
      <c r="J761" s="3" t="s">
        <v>70</v>
      </c>
      <c r="K761" s="3" t="s">
        <v>237</v>
      </c>
      <c r="L761" s="3" t="s">
        <v>238</v>
      </c>
      <c r="M761" s="3" t="s">
        <v>53</v>
      </c>
      <c r="N761" s="3" t="s">
        <v>54</v>
      </c>
      <c r="O761" s="3" t="s">
        <v>3508</v>
      </c>
      <c r="P761" s="3" t="s">
        <v>41</v>
      </c>
      <c r="Q761" s="3">
        <v>5</v>
      </c>
      <c r="R761" s="3">
        <v>3986.01</v>
      </c>
      <c r="S761" s="3">
        <v>0.25</v>
      </c>
      <c r="T761" s="3">
        <v>14947.54</v>
      </c>
      <c r="U761" s="3">
        <v>9438.4599999999991</v>
      </c>
      <c r="V761" s="3">
        <v>5509.08</v>
      </c>
      <c r="W761" s="3" t="s">
        <v>42</v>
      </c>
      <c r="X761" s="3" t="s">
        <v>43</v>
      </c>
      <c r="Y761" s="2" t="str">
        <f t="shared" si="71"/>
        <v>Unique</v>
      </c>
      <c r="AA761" s="2" t="str">
        <f t="shared" si="72"/>
        <v>Clean</v>
      </c>
      <c r="AB761" s="2" t="str">
        <f t="shared" si="73"/>
        <v>valid</v>
      </c>
      <c r="AC761">
        <f t="shared" si="95"/>
        <v>0.25</v>
      </c>
      <c r="AD761">
        <f t="shared" si="96"/>
        <v>14947.537500000002</v>
      </c>
      <c r="AE761">
        <f t="shared" si="97"/>
        <v>5509.0775000000031</v>
      </c>
      <c r="AF761">
        <f t="shared" si="98"/>
        <v>0.36856087499362367</v>
      </c>
      <c r="AG761" t="str">
        <f t="shared" si="99"/>
        <v>July</v>
      </c>
      <c r="AH761">
        <f t="shared" si="100"/>
        <v>2024</v>
      </c>
      <c r="AI761" t="str">
        <f t="shared" si="101"/>
        <v>Clean</v>
      </c>
    </row>
    <row r="762" spans="1:35" ht="15.75" customHeight="1">
      <c r="A762" s="3" t="s">
        <v>3509</v>
      </c>
      <c r="B762" s="3" t="s">
        <v>3510</v>
      </c>
      <c r="C762" s="3" t="s">
        <v>1197</v>
      </c>
      <c r="D762" s="3" t="str">
        <f t="shared" si="68"/>
        <v>02-Sep-2024</v>
      </c>
      <c r="E762" s="3" t="str">
        <f t="shared" si="69"/>
        <v>28-Aug-2024</v>
      </c>
      <c r="F762" s="3">
        <f t="shared" si="70"/>
        <v>5</v>
      </c>
      <c r="G762" s="3" t="s">
        <v>3511</v>
      </c>
      <c r="H762" s="3" t="s">
        <v>115</v>
      </c>
      <c r="I762" s="3" t="s">
        <v>123</v>
      </c>
      <c r="J762" s="3" t="s">
        <v>50</v>
      </c>
      <c r="K762" s="3" t="s">
        <v>224</v>
      </c>
      <c r="L762" s="3" t="s">
        <v>225</v>
      </c>
      <c r="M762" s="3" t="s">
        <v>38</v>
      </c>
      <c r="N762" s="3" t="s">
        <v>62</v>
      </c>
      <c r="O762" s="3" t="s">
        <v>3512</v>
      </c>
      <c r="P762" s="3" t="s">
        <v>41</v>
      </c>
      <c r="Q762" s="3">
        <v>4</v>
      </c>
      <c r="R762" s="3">
        <v>3365.53</v>
      </c>
      <c r="S762" s="3">
        <v>0</v>
      </c>
      <c r="T762" s="3">
        <v>13462.12</v>
      </c>
      <c r="U762" s="3">
        <v>7600.63</v>
      </c>
      <c r="V762" s="3">
        <v>5861.49</v>
      </c>
      <c r="W762" s="3" t="s">
        <v>145</v>
      </c>
      <c r="X762" s="3" t="s">
        <v>133</v>
      </c>
      <c r="Y762" s="2" t="str">
        <f t="shared" si="71"/>
        <v>Unique</v>
      </c>
      <c r="AA762" s="2" t="str">
        <f t="shared" si="72"/>
        <v>Clean</v>
      </c>
      <c r="AB762" s="2" t="str">
        <f t="shared" si="73"/>
        <v>valid</v>
      </c>
      <c r="AC762">
        <f t="shared" si="95"/>
        <v>0</v>
      </c>
      <c r="AD762">
        <f t="shared" si="96"/>
        <v>13462.12</v>
      </c>
      <c r="AE762">
        <f t="shared" si="97"/>
        <v>5861.4900000000007</v>
      </c>
      <c r="AF762">
        <f t="shared" si="98"/>
        <v>0.43540616188237813</v>
      </c>
      <c r="AG762" t="str">
        <f t="shared" si="99"/>
        <v>August</v>
      </c>
      <c r="AH762">
        <f t="shared" si="100"/>
        <v>2024</v>
      </c>
      <c r="AI762" t="str">
        <f t="shared" si="101"/>
        <v>Clean</v>
      </c>
    </row>
    <row r="763" spans="1:35" ht="15.75" customHeight="1">
      <c r="A763" s="3" t="s">
        <v>3513</v>
      </c>
      <c r="B763" s="3" t="s">
        <v>464</v>
      </c>
      <c r="C763" s="3" t="s">
        <v>3514</v>
      </c>
      <c r="D763" s="3" t="str">
        <f t="shared" si="68"/>
        <v>31-Aug-2025</v>
      </c>
      <c r="E763" s="3" t="str">
        <f t="shared" si="69"/>
        <v>27-Aug-2025</v>
      </c>
      <c r="F763" s="3">
        <f t="shared" si="70"/>
        <v>4</v>
      </c>
      <c r="G763" s="3" t="s">
        <v>3515</v>
      </c>
      <c r="H763" s="3" t="s">
        <v>61</v>
      </c>
      <c r="I763" s="3" t="s">
        <v>34</v>
      </c>
      <c r="J763" s="3" t="s">
        <v>70</v>
      </c>
      <c r="K763" s="3" t="s">
        <v>237</v>
      </c>
      <c r="L763" s="3" t="s">
        <v>238</v>
      </c>
      <c r="M763" s="3" t="s">
        <v>94</v>
      </c>
      <c r="N763" s="3" t="s">
        <v>391</v>
      </c>
      <c r="O763" s="3" t="s">
        <v>3516</v>
      </c>
      <c r="P763" s="3" t="s">
        <v>64</v>
      </c>
      <c r="Q763" s="3">
        <v>3</v>
      </c>
      <c r="R763" s="3">
        <v>2489.12</v>
      </c>
      <c r="S763" s="3">
        <v>0</v>
      </c>
      <c r="T763" s="3">
        <v>7467.36</v>
      </c>
      <c r="U763" s="3">
        <v>5010.6099999999997</v>
      </c>
      <c r="V763" s="3">
        <v>2456.75</v>
      </c>
      <c r="W763" s="3" t="s">
        <v>42</v>
      </c>
      <c r="X763" s="3" t="s">
        <v>43</v>
      </c>
      <c r="Y763" s="2" t="str">
        <f t="shared" si="71"/>
        <v>Unique</v>
      </c>
      <c r="AA763" s="2" t="str">
        <f t="shared" si="72"/>
        <v>Clean</v>
      </c>
      <c r="AB763" s="2" t="str">
        <f t="shared" si="73"/>
        <v>valid</v>
      </c>
      <c r="AC763">
        <f t="shared" si="95"/>
        <v>0</v>
      </c>
      <c r="AD763">
        <f t="shared" si="96"/>
        <v>7467.36</v>
      </c>
      <c r="AE763">
        <f t="shared" si="97"/>
        <v>2456.75</v>
      </c>
      <c r="AF763">
        <f t="shared" si="98"/>
        <v>0.32899846799940008</v>
      </c>
      <c r="AG763" t="str">
        <f t="shared" si="99"/>
        <v>August</v>
      </c>
      <c r="AH763">
        <f t="shared" si="100"/>
        <v>2025</v>
      </c>
      <c r="AI763" t="str">
        <f t="shared" si="101"/>
        <v>Clean</v>
      </c>
    </row>
    <row r="764" spans="1:35" ht="15.75" customHeight="1">
      <c r="A764" s="3" t="s">
        <v>3517</v>
      </c>
      <c r="B764" s="3" t="s">
        <v>3518</v>
      </c>
      <c r="C764" s="3" t="s">
        <v>3519</v>
      </c>
      <c r="D764" s="3" t="str">
        <f t="shared" si="68"/>
        <v>05-Jan-2024</v>
      </c>
      <c r="E764" s="3" t="str">
        <f t="shared" si="69"/>
        <v>01-Jan-2024</v>
      </c>
      <c r="F764" s="3">
        <f t="shared" si="70"/>
        <v>4</v>
      </c>
      <c r="G764" s="3" t="s">
        <v>3520</v>
      </c>
      <c r="H764" s="3" t="s">
        <v>218</v>
      </c>
      <c r="I764" s="3" t="s">
        <v>116</v>
      </c>
      <c r="J764" s="3" t="s">
        <v>81</v>
      </c>
      <c r="K764" s="3" t="s">
        <v>92</v>
      </c>
      <c r="L764" s="3" t="s">
        <v>93</v>
      </c>
      <c r="M764" s="3" t="s">
        <v>94</v>
      </c>
      <c r="N764" s="3" t="s">
        <v>391</v>
      </c>
      <c r="O764" s="3" t="s">
        <v>3521</v>
      </c>
      <c r="P764" s="3" t="s">
        <v>41</v>
      </c>
      <c r="Q764" s="3">
        <v>2</v>
      </c>
      <c r="R764" s="3">
        <v>3694.12</v>
      </c>
      <c r="S764" s="3">
        <v>0.2</v>
      </c>
      <c r="T764" s="3">
        <v>5910.59</v>
      </c>
      <c r="U764" s="3">
        <v>4775.4399999999996</v>
      </c>
      <c r="V764" s="3">
        <v>1135.1500000000001</v>
      </c>
      <c r="W764" s="3" t="s">
        <v>132</v>
      </c>
      <c r="X764" s="3" t="s">
        <v>133</v>
      </c>
      <c r="Y764" s="2" t="str">
        <f t="shared" si="71"/>
        <v>Unique</v>
      </c>
      <c r="AA764" s="2" t="str">
        <f t="shared" si="72"/>
        <v>Clean</v>
      </c>
      <c r="AB764" s="2" t="str">
        <f t="shared" si="73"/>
        <v>valid</v>
      </c>
      <c r="AC764">
        <f t="shared" si="95"/>
        <v>0.2</v>
      </c>
      <c r="AD764">
        <f t="shared" si="96"/>
        <v>5910.5920000000006</v>
      </c>
      <c r="AE764">
        <f t="shared" si="97"/>
        <v>1135.152000000001</v>
      </c>
      <c r="AF764">
        <f t="shared" si="98"/>
        <v>0.19205385856442145</v>
      </c>
      <c r="AG764" t="str">
        <f t="shared" si="99"/>
        <v>January</v>
      </c>
      <c r="AH764">
        <f t="shared" si="100"/>
        <v>2024</v>
      </c>
      <c r="AI764" t="str">
        <f t="shared" si="101"/>
        <v>Clean</v>
      </c>
    </row>
    <row r="765" spans="1:35" ht="15.75" customHeight="1">
      <c r="A765" s="3" t="s">
        <v>3522</v>
      </c>
      <c r="B765" s="3" t="s">
        <v>3523</v>
      </c>
      <c r="C765" s="3" t="s">
        <v>3524</v>
      </c>
      <c r="D765" s="3" t="str">
        <f t="shared" si="68"/>
        <v>25-Aug-2025</v>
      </c>
      <c r="E765" s="3" t="str">
        <f t="shared" si="69"/>
        <v>23-Aug-2025</v>
      </c>
      <c r="F765" s="3">
        <f t="shared" si="70"/>
        <v>2</v>
      </c>
      <c r="G765" s="3" t="s">
        <v>3525</v>
      </c>
      <c r="H765" s="3" t="s">
        <v>218</v>
      </c>
      <c r="I765" s="3" t="s">
        <v>34</v>
      </c>
      <c r="J765" s="3" t="s">
        <v>35</v>
      </c>
      <c r="K765" s="3" t="s">
        <v>36</v>
      </c>
      <c r="L765" s="3" t="s">
        <v>37</v>
      </c>
      <c r="M765" s="3" t="s">
        <v>53</v>
      </c>
      <c r="N765" s="3" t="s">
        <v>73</v>
      </c>
      <c r="O765" s="3" t="s">
        <v>3526</v>
      </c>
      <c r="P765" s="3" t="s">
        <v>56</v>
      </c>
      <c r="Q765" s="3">
        <v>6</v>
      </c>
      <c r="R765" s="3">
        <v>2742.48</v>
      </c>
      <c r="S765" s="3">
        <v>0</v>
      </c>
      <c r="T765" s="3">
        <v>16454.88</v>
      </c>
      <c r="U765" s="3">
        <v>12081.54</v>
      </c>
      <c r="V765" s="3">
        <v>4373.34</v>
      </c>
      <c r="W765" s="3" t="s">
        <v>42</v>
      </c>
      <c r="X765" s="3" t="s">
        <v>43</v>
      </c>
      <c r="Y765" s="2" t="str">
        <f t="shared" si="71"/>
        <v>Unique</v>
      </c>
      <c r="AA765" s="2" t="str">
        <f t="shared" si="72"/>
        <v>Clean</v>
      </c>
      <c r="AB765" s="2" t="str">
        <f t="shared" si="73"/>
        <v>valid</v>
      </c>
      <c r="AC765">
        <f t="shared" si="95"/>
        <v>0</v>
      </c>
      <c r="AD765">
        <f t="shared" si="96"/>
        <v>16454.88</v>
      </c>
      <c r="AE765">
        <f t="shared" si="97"/>
        <v>4373.34</v>
      </c>
      <c r="AF765">
        <f t="shared" si="98"/>
        <v>0.26577769026574488</v>
      </c>
      <c r="AG765" t="str">
        <f t="shared" si="99"/>
        <v>August</v>
      </c>
      <c r="AH765">
        <f t="shared" si="100"/>
        <v>2025</v>
      </c>
      <c r="AI765" t="str">
        <f t="shared" si="101"/>
        <v>Clean</v>
      </c>
    </row>
    <row r="766" spans="1:35" ht="15.75" customHeight="1">
      <c r="A766" s="3" t="s">
        <v>3527</v>
      </c>
      <c r="B766" s="3" t="s">
        <v>1859</v>
      </c>
      <c r="C766" s="3" t="s">
        <v>2902</v>
      </c>
      <c r="D766" s="3" t="str">
        <f t="shared" si="68"/>
        <v>13-Apr-2025</v>
      </c>
      <c r="E766" s="3" t="str">
        <f t="shared" si="69"/>
        <v>13-Apr-2025</v>
      </c>
      <c r="F766" s="3">
        <f t="shared" si="70"/>
        <v>0</v>
      </c>
      <c r="G766" s="3" t="s">
        <v>1353</v>
      </c>
      <c r="H766" s="3" t="s">
        <v>150</v>
      </c>
      <c r="I766" s="3" t="s">
        <v>116</v>
      </c>
      <c r="J766" s="3" t="s">
        <v>70</v>
      </c>
      <c r="K766" s="3" t="s">
        <v>250</v>
      </c>
      <c r="L766" s="3" t="s">
        <v>251</v>
      </c>
      <c r="M766" s="3" t="s">
        <v>53</v>
      </c>
      <c r="N766" s="3" t="s">
        <v>212</v>
      </c>
      <c r="O766" s="3" t="s">
        <v>3528</v>
      </c>
      <c r="P766" s="3" t="s">
        <v>64</v>
      </c>
      <c r="Q766" s="3">
        <v>6</v>
      </c>
      <c r="R766" s="3">
        <v>4414</v>
      </c>
      <c r="S766" s="3">
        <v>0.05</v>
      </c>
      <c r="T766" s="3">
        <v>25159.8</v>
      </c>
      <c r="U766" s="3">
        <v>21606.83</v>
      </c>
      <c r="V766" s="3">
        <v>3552.97</v>
      </c>
      <c r="W766" s="3" t="s">
        <v>42</v>
      </c>
      <c r="X766" s="3" t="s">
        <v>43</v>
      </c>
      <c r="Y766" s="2" t="str">
        <f t="shared" si="71"/>
        <v>Unique</v>
      </c>
      <c r="AA766" s="2" t="str">
        <f t="shared" si="72"/>
        <v>Clean</v>
      </c>
      <c r="AB766" s="2" t="str">
        <f t="shared" si="73"/>
        <v>valid</v>
      </c>
      <c r="AC766">
        <f t="shared" si="95"/>
        <v>0.05</v>
      </c>
      <c r="AD766">
        <f t="shared" si="96"/>
        <v>25159.8</v>
      </c>
      <c r="AE766">
        <f t="shared" si="97"/>
        <v>3552.9699999999975</v>
      </c>
      <c r="AF766">
        <f t="shared" si="98"/>
        <v>0.14121614639226057</v>
      </c>
      <c r="AG766" t="str">
        <f t="shared" si="99"/>
        <v>April</v>
      </c>
      <c r="AH766">
        <f t="shared" si="100"/>
        <v>2025</v>
      </c>
      <c r="AI766" t="str">
        <f t="shared" si="101"/>
        <v>Clean</v>
      </c>
    </row>
    <row r="767" spans="1:35" ht="15.75" customHeight="1">
      <c r="A767" s="3" t="s">
        <v>3529</v>
      </c>
      <c r="B767" s="3" t="s">
        <v>3530</v>
      </c>
      <c r="C767" s="3" t="s">
        <v>3531</v>
      </c>
      <c r="D767" s="3" t="str">
        <f t="shared" ref="D767:D913" si="102">IFERROR(TEXT(DATEVALUE(C767),"dd-mmm-yyyy"),IFERROR(TEXT(DATE(VALUE(RIGHT(C767,4)),VALUE(LEFT(C767,2)),VALUE(MID(C767,4,2))),"dd-mmm-yyyy"),IFERROR(TEXT(DATE(VALUE(LEFT(C767,4)),VALUE(MID(C767,6,2)),VALUE(RIGHT(C767,2))),"dd-mmm-yyyy"),C767)))</f>
        <v>03-Jul-2025</v>
      </c>
      <c r="E767" s="3" t="str">
        <f t="shared" ref="E767:E913" si="103">IFERROR(TEXT(DATEVALUE(B767),"dd-mmm-yyyy"),IFERROR(TEXT(DATE(VALUE(RIGHT(B767,4)),VALUE(LEFT(B767,2)),VALUE(MID(B767,4,2))),"dd-mmm-yyyy"),IFERROR(TEXT(DATE(VALUE(LEFT(B767,4)),VALUE(MID(B767,6,2)),VALUE(RIGHT(B767,2))),"dd-mmm-yyyy"),B767)))</f>
        <v>29-Jun-2025</v>
      </c>
      <c r="F767" s="3">
        <f t="shared" ref="F767:F913" si="104">D767-E767</f>
        <v>4</v>
      </c>
      <c r="G767" s="3" t="s">
        <v>3532</v>
      </c>
      <c r="H767" s="3" t="s">
        <v>91</v>
      </c>
      <c r="I767" s="3" t="s">
        <v>116</v>
      </c>
      <c r="J767" s="3" t="s">
        <v>50</v>
      </c>
      <c r="K767" s="3" t="s">
        <v>319</v>
      </c>
      <c r="L767" s="3" t="s">
        <v>320</v>
      </c>
      <c r="M767" s="3" t="s">
        <v>38</v>
      </c>
      <c r="N767" s="3" t="s">
        <v>117</v>
      </c>
      <c r="O767" s="3" t="s">
        <v>3533</v>
      </c>
      <c r="P767" s="3" t="s">
        <v>64</v>
      </c>
      <c r="Q767" s="3">
        <v>3</v>
      </c>
      <c r="R767" s="3">
        <v>608.14</v>
      </c>
      <c r="S767" s="3">
        <v>0</v>
      </c>
      <c r="T767" s="3">
        <v>1824.42</v>
      </c>
      <c r="U767" s="3">
        <v>1214.8699999999999</v>
      </c>
      <c r="V767" s="3">
        <v>609.54999999999995</v>
      </c>
      <c r="W767" s="3" t="s">
        <v>42</v>
      </c>
      <c r="X767" s="3" t="s">
        <v>43</v>
      </c>
      <c r="Y767" s="2" t="str">
        <f t="shared" ref="Y767:Y913" si="105">IF(COUNTIF($A$2:$A$933,A767)&gt;1,"Duplicate Order ID","Unique")</f>
        <v>Unique</v>
      </c>
      <c r="AA767" s="2" t="str">
        <f t="shared" ref="AA767:AA913" si="106">IF(S767&lt;0,"Invalid",IF(S767&gt;0.5,"Invalid","Clean"))</f>
        <v>Clean</v>
      </c>
      <c r="AB767" s="2" t="str">
        <f t="shared" ref="AB767:AB913" si="107">IF(F767&lt;0,"Invalid","valid")</f>
        <v>valid</v>
      </c>
      <c r="AC767">
        <f t="shared" si="95"/>
        <v>0</v>
      </c>
      <c r="AD767">
        <f t="shared" si="96"/>
        <v>1824.42</v>
      </c>
      <c r="AE767">
        <f t="shared" si="97"/>
        <v>609.55000000000018</v>
      </c>
      <c r="AF767">
        <f t="shared" si="98"/>
        <v>0.33410618169061956</v>
      </c>
      <c r="AG767" t="str">
        <f t="shared" si="99"/>
        <v>June</v>
      </c>
      <c r="AH767">
        <f t="shared" si="100"/>
        <v>2025</v>
      </c>
      <c r="AI767" t="str">
        <f t="shared" si="101"/>
        <v>Clean</v>
      </c>
    </row>
    <row r="768" spans="1:35" ht="15.75" customHeight="1">
      <c r="A768" s="3" t="s">
        <v>3534</v>
      </c>
      <c r="B768" s="3" t="s">
        <v>3535</v>
      </c>
      <c r="C768" s="3" t="s">
        <v>2002</v>
      </c>
      <c r="D768" s="3" t="str">
        <f t="shared" si="102"/>
        <v>24-Sep-2024</v>
      </c>
      <c r="E768" s="3" t="str">
        <f t="shared" si="103"/>
        <v>17-Sep-2024</v>
      </c>
      <c r="F768" s="3">
        <f t="shared" si="104"/>
        <v>7</v>
      </c>
      <c r="G768" s="3" t="s">
        <v>3536</v>
      </c>
      <c r="H768" s="3" t="s">
        <v>48</v>
      </c>
      <c r="I768" s="3" t="s">
        <v>116</v>
      </c>
      <c r="J768" s="3" t="s">
        <v>81</v>
      </c>
      <c r="K768" s="3" t="s">
        <v>243</v>
      </c>
      <c r="L768" s="3" t="s">
        <v>244</v>
      </c>
      <c r="M768" s="3" t="s">
        <v>38</v>
      </c>
      <c r="N768" s="3" t="s">
        <v>62</v>
      </c>
      <c r="O768" s="3" t="s">
        <v>3537</v>
      </c>
      <c r="P768" s="3" t="s">
        <v>41</v>
      </c>
      <c r="Q768" s="3">
        <v>9</v>
      </c>
      <c r="R768" s="3">
        <v>2307.96</v>
      </c>
      <c r="S768" s="3">
        <v>0.2</v>
      </c>
      <c r="T768" s="3">
        <v>16617.310000000001</v>
      </c>
      <c r="U768" s="3">
        <v>9195.73</v>
      </c>
      <c r="V768" s="3">
        <v>7421.58</v>
      </c>
      <c r="W768" s="3" t="s">
        <v>42</v>
      </c>
      <c r="X768" s="3" t="s">
        <v>86</v>
      </c>
      <c r="Y768" s="2" t="str">
        <f t="shared" si="105"/>
        <v>Unique</v>
      </c>
      <c r="AA768" s="2" t="str">
        <f t="shared" si="106"/>
        <v>Clean</v>
      </c>
      <c r="AB768" s="2" t="str">
        <f t="shared" si="107"/>
        <v>valid</v>
      </c>
      <c r="AC768">
        <f t="shared" si="95"/>
        <v>0.2</v>
      </c>
      <c r="AD768">
        <f t="shared" si="96"/>
        <v>16617.312000000002</v>
      </c>
      <c r="AE768">
        <f t="shared" si="97"/>
        <v>7421.5820000000022</v>
      </c>
      <c r="AF768">
        <f t="shared" si="98"/>
        <v>0.44661747940942564</v>
      </c>
      <c r="AG768" t="str">
        <f t="shared" si="99"/>
        <v>September</v>
      </c>
      <c r="AH768">
        <f t="shared" si="100"/>
        <v>2024</v>
      </c>
      <c r="AI768" t="str">
        <f t="shared" si="101"/>
        <v>Warning</v>
      </c>
    </row>
    <row r="769" spans="1:35" ht="15.75" customHeight="1">
      <c r="A769" s="3" t="s">
        <v>3538</v>
      </c>
      <c r="B769" s="3" t="s">
        <v>3539</v>
      </c>
      <c r="C769" s="3" t="s">
        <v>2696</v>
      </c>
      <c r="D769" s="3" t="str">
        <f t="shared" si="102"/>
        <v>05-Jun-2024</v>
      </c>
      <c r="E769" s="3" t="str">
        <f t="shared" si="103"/>
        <v>03-May-2024</v>
      </c>
      <c r="F769" s="3">
        <f t="shared" si="104"/>
        <v>33</v>
      </c>
      <c r="G769" s="3" t="s">
        <v>3540</v>
      </c>
      <c r="H769" s="3" t="s">
        <v>80</v>
      </c>
      <c r="I769" s="3" t="s">
        <v>123</v>
      </c>
      <c r="J769" s="3" t="s">
        <v>35</v>
      </c>
      <c r="K769" s="3" t="s">
        <v>182</v>
      </c>
      <c r="L769" s="3" t="s">
        <v>183</v>
      </c>
      <c r="M769" s="3" t="s">
        <v>38</v>
      </c>
      <c r="N769" s="3" t="s">
        <v>206</v>
      </c>
      <c r="O769" s="3" t="s">
        <v>3541</v>
      </c>
      <c r="P769" s="3" t="s">
        <v>75</v>
      </c>
      <c r="Q769" s="3">
        <v>1</v>
      </c>
      <c r="R769" s="3">
        <v>1244.58</v>
      </c>
      <c r="S769" s="3">
        <v>0.25</v>
      </c>
      <c r="T769" s="3">
        <v>933.43</v>
      </c>
      <c r="U769" s="3">
        <v>583.09</v>
      </c>
      <c r="V769" s="3">
        <v>350.34</v>
      </c>
      <c r="W769" s="3" t="s">
        <v>42</v>
      </c>
      <c r="X769" s="3" t="s">
        <v>43</v>
      </c>
      <c r="Y769" s="2" t="str">
        <f t="shared" si="105"/>
        <v>Unique</v>
      </c>
      <c r="AA769" s="2" t="str">
        <f t="shared" si="106"/>
        <v>Clean</v>
      </c>
      <c r="AB769" s="2" t="str">
        <f t="shared" si="107"/>
        <v>valid</v>
      </c>
      <c r="AC769">
        <f t="shared" si="95"/>
        <v>0.25</v>
      </c>
      <c r="AD769">
        <f t="shared" si="96"/>
        <v>933.43499999999995</v>
      </c>
      <c r="AE769">
        <f t="shared" si="97"/>
        <v>350.34499999999991</v>
      </c>
      <c r="AF769">
        <f t="shared" si="98"/>
        <v>0.3753287588316272</v>
      </c>
      <c r="AG769" t="str">
        <f t="shared" si="99"/>
        <v>May</v>
      </c>
      <c r="AH769">
        <f t="shared" si="100"/>
        <v>2024</v>
      </c>
      <c r="AI769" t="str">
        <f t="shared" si="101"/>
        <v>Clean</v>
      </c>
    </row>
    <row r="770" spans="1:35" ht="15.75" customHeight="1">
      <c r="A770" s="3" t="s">
        <v>3542</v>
      </c>
      <c r="B770" s="3" t="s">
        <v>1809</v>
      </c>
      <c r="C770" s="3" t="s">
        <v>3543</v>
      </c>
      <c r="D770" s="3" t="str">
        <f t="shared" si="102"/>
        <v>04-Apr-2025</v>
      </c>
      <c r="E770" s="3" t="str">
        <f t="shared" si="103"/>
        <v>02-Apr-2025</v>
      </c>
      <c r="F770" s="3">
        <f t="shared" si="104"/>
        <v>2</v>
      </c>
      <c r="G770" s="3" t="s">
        <v>3544</v>
      </c>
      <c r="H770" s="3" t="s">
        <v>176</v>
      </c>
      <c r="I770" s="3" t="s">
        <v>123</v>
      </c>
      <c r="J770" s="3" t="s">
        <v>50</v>
      </c>
      <c r="K770" s="3" t="s">
        <v>319</v>
      </c>
      <c r="L770" s="3" t="s">
        <v>320</v>
      </c>
      <c r="M770" s="3" t="s">
        <v>38</v>
      </c>
      <c r="N770" s="3" t="s">
        <v>39</v>
      </c>
      <c r="O770" s="3" t="s">
        <v>3545</v>
      </c>
      <c r="P770" s="3" t="s">
        <v>56</v>
      </c>
      <c r="Q770" s="3">
        <v>5</v>
      </c>
      <c r="R770" s="3">
        <v>3234.24</v>
      </c>
      <c r="S770" s="3">
        <v>0.1</v>
      </c>
      <c r="T770" s="3">
        <v>14554.08</v>
      </c>
      <c r="U770" s="3">
        <v>11166.84</v>
      </c>
      <c r="V770" s="3">
        <v>3387.24</v>
      </c>
      <c r="W770" s="3" t="s">
        <v>42</v>
      </c>
      <c r="X770" s="3" t="s">
        <v>43</v>
      </c>
      <c r="Y770" s="2" t="str">
        <f t="shared" si="105"/>
        <v>Unique</v>
      </c>
      <c r="AA770" s="2" t="str">
        <f t="shared" si="106"/>
        <v>Clean</v>
      </c>
      <c r="AB770" s="2" t="str">
        <f t="shared" si="107"/>
        <v>valid</v>
      </c>
      <c r="AC770">
        <f t="shared" si="95"/>
        <v>0.1</v>
      </c>
      <c r="AD770">
        <f t="shared" si="96"/>
        <v>14554.08</v>
      </c>
      <c r="AE770">
        <f t="shared" si="97"/>
        <v>3387.24</v>
      </c>
      <c r="AF770">
        <f t="shared" si="98"/>
        <v>0.23273473830018798</v>
      </c>
      <c r="AG770" t="str">
        <f t="shared" si="99"/>
        <v>April</v>
      </c>
      <c r="AH770">
        <f t="shared" si="100"/>
        <v>2025</v>
      </c>
      <c r="AI770" t="str">
        <f t="shared" si="101"/>
        <v>Clean</v>
      </c>
    </row>
    <row r="771" spans="1:35" ht="15.75" customHeight="1">
      <c r="A771" s="3" t="s">
        <v>3546</v>
      </c>
      <c r="B771" s="3" t="s">
        <v>3547</v>
      </c>
      <c r="C771" s="3" t="s">
        <v>2011</v>
      </c>
      <c r="D771" s="3" t="str">
        <f t="shared" si="102"/>
        <v>13-May-2024</v>
      </c>
      <c r="E771" s="3" t="str">
        <f t="shared" si="103"/>
        <v>05-Nov-2024</v>
      </c>
      <c r="F771" s="3">
        <f t="shared" si="104"/>
        <v>-176</v>
      </c>
      <c r="G771" s="3" t="s">
        <v>3548</v>
      </c>
      <c r="H771" s="3" t="s">
        <v>150</v>
      </c>
      <c r="I771" s="3" t="s">
        <v>123</v>
      </c>
      <c r="J771" s="3" t="s">
        <v>81</v>
      </c>
      <c r="K771" s="3" t="s">
        <v>257</v>
      </c>
      <c r="L771" s="3" t="s">
        <v>258</v>
      </c>
      <c r="M771" s="3" t="s">
        <v>53</v>
      </c>
      <c r="N771" s="3" t="s">
        <v>212</v>
      </c>
      <c r="O771" s="3" t="s">
        <v>3549</v>
      </c>
      <c r="P771" s="3" t="s">
        <v>56</v>
      </c>
      <c r="Q771" s="3">
        <v>3</v>
      </c>
      <c r="R771" s="3">
        <v>3612.75</v>
      </c>
      <c r="S771" s="3">
        <v>0.25</v>
      </c>
      <c r="T771" s="3">
        <v>8128.69</v>
      </c>
      <c r="U771" s="3">
        <v>5071.66</v>
      </c>
      <c r="V771" s="3">
        <v>3057.03</v>
      </c>
      <c r="W771" s="3" t="s">
        <v>42</v>
      </c>
      <c r="X771" s="3" t="s">
        <v>43</v>
      </c>
      <c r="Y771" s="2" t="str">
        <f t="shared" si="105"/>
        <v>Unique</v>
      </c>
      <c r="AA771" s="2" t="str">
        <f t="shared" si="106"/>
        <v>Clean</v>
      </c>
      <c r="AB771" s="2" t="str">
        <f t="shared" si="107"/>
        <v>Invalid</v>
      </c>
      <c r="AC771">
        <f t="shared" ref="AC771:AC834" si="108">IF(S771="",0,IF(S771&gt;1,S771/100,S771))</f>
        <v>0.25</v>
      </c>
      <c r="AD771">
        <f t="shared" ref="AD771:AD834" si="109">Q771*R771*(1-AC771)</f>
        <v>8128.6875</v>
      </c>
      <c r="AE771">
        <f t="shared" ref="AE771:AE834" si="110">AD771-U771</f>
        <v>3057.0275000000001</v>
      </c>
      <c r="AF771">
        <f t="shared" ref="AF771:AF834" si="111">AE771/AD771</f>
        <v>0.3760788565189645</v>
      </c>
      <c r="AG771" t="str">
        <f t="shared" ref="AG771:AG834" si="112">TEXT(E771,"mmmm")</f>
        <v>November</v>
      </c>
      <c r="AH771">
        <f t="shared" ref="AH771:AH834" si="113">YEAR(E771)</f>
        <v>2024</v>
      </c>
      <c r="AI771" t="str">
        <f t="shared" ref="AI771:AI834" si="114">IF(OR(AC771&lt;0,AC771&gt;0.5,F771="Invalid Shipping Record"),"Invalid",
IF(OR(X771="Cancelled",W771="Failed"),"Warning","Clean"))</f>
        <v>Clean</v>
      </c>
    </row>
    <row r="772" spans="1:35" ht="15.75" customHeight="1">
      <c r="A772" s="3" t="s">
        <v>3550</v>
      </c>
      <c r="B772" s="3" t="s">
        <v>2299</v>
      </c>
      <c r="C772" s="3" t="s">
        <v>2751</v>
      </c>
      <c r="D772" s="3" t="str">
        <f t="shared" si="102"/>
        <v>17-Feb-2024</v>
      </c>
      <c r="E772" s="3" t="str">
        <f t="shared" si="103"/>
        <v>15-Feb-2024</v>
      </c>
      <c r="F772" s="3">
        <f t="shared" si="104"/>
        <v>2</v>
      </c>
      <c r="G772" s="3" t="s">
        <v>3551</v>
      </c>
      <c r="H772" s="3" t="s">
        <v>101</v>
      </c>
      <c r="I772" s="3" t="s">
        <v>34</v>
      </c>
      <c r="J772" s="3" t="s">
        <v>35</v>
      </c>
      <c r="K772" s="3" t="s">
        <v>182</v>
      </c>
      <c r="L772" s="3" t="s">
        <v>183</v>
      </c>
      <c r="M772" s="3" t="s">
        <v>94</v>
      </c>
      <c r="N772" s="3" t="s">
        <v>102</v>
      </c>
      <c r="O772" s="3" t="s">
        <v>3552</v>
      </c>
      <c r="P772" s="3" t="s">
        <v>64</v>
      </c>
      <c r="Q772" s="3">
        <v>4</v>
      </c>
      <c r="R772" s="3">
        <v>863</v>
      </c>
      <c r="S772" s="3">
        <v>0</v>
      </c>
      <c r="T772" s="3">
        <v>3106.8</v>
      </c>
      <c r="U772" s="3">
        <v>2376.62</v>
      </c>
      <c r="V772" s="3">
        <v>730.18</v>
      </c>
      <c r="W772" s="3" t="s">
        <v>42</v>
      </c>
      <c r="X772" s="3" t="s">
        <v>43</v>
      </c>
      <c r="Y772" s="4" t="str">
        <f t="shared" si="105"/>
        <v>Unique</v>
      </c>
      <c r="AA772" s="2" t="str">
        <f t="shared" si="106"/>
        <v>Clean</v>
      </c>
      <c r="AB772" s="2" t="str">
        <f t="shared" si="107"/>
        <v>valid</v>
      </c>
      <c r="AC772">
        <f t="shared" si="108"/>
        <v>0</v>
      </c>
      <c r="AD772">
        <f t="shared" si="109"/>
        <v>3452</v>
      </c>
      <c r="AE772">
        <f t="shared" si="110"/>
        <v>1075.3800000000001</v>
      </c>
      <c r="AF772">
        <f t="shared" si="111"/>
        <v>0.3115237543453071</v>
      </c>
      <c r="AG772" t="str">
        <f t="shared" si="112"/>
        <v>February</v>
      </c>
      <c r="AH772">
        <f t="shared" si="113"/>
        <v>2024</v>
      </c>
      <c r="AI772" t="str">
        <f t="shared" si="114"/>
        <v>Clean</v>
      </c>
    </row>
    <row r="773" spans="1:35" ht="15.75" customHeight="1">
      <c r="A773" s="3" t="s">
        <v>3553</v>
      </c>
      <c r="B773" s="3" t="s">
        <v>3554</v>
      </c>
      <c r="C773" s="3" t="s">
        <v>2612</v>
      </c>
      <c r="D773" s="3" t="str">
        <f t="shared" si="102"/>
        <v>14-Jul-2024</v>
      </c>
      <c r="E773" s="3" t="str">
        <f t="shared" si="103"/>
        <v>12-Jul-2024</v>
      </c>
      <c r="F773" s="3">
        <f t="shared" si="104"/>
        <v>2</v>
      </c>
      <c r="G773" s="3" t="s">
        <v>701</v>
      </c>
      <c r="H773" s="3" t="s">
        <v>80</v>
      </c>
      <c r="I773" s="3" t="s">
        <v>34</v>
      </c>
      <c r="J773" s="3" t="s">
        <v>35</v>
      </c>
      <c r="K773" s="3" t="s">
        <v>331</v>
      </c>
      <c r="L773" s="3" t="s">
        <v>332</v>
      </c>
      <c r="M773" s="3" t="s">
        <v>94</v>
      </c>
      <c r="N773" s="3" t="s">
        <v>391</v>
      </c>
      <c r="O773" s="3" t="s">
        <v>3555</v>
      </c>
      <c r="P773" s="3" t="s">
        <v>41</v>
      </c>
      <c r="Q773" s="3">
        <v>4</v>
      </c>
      <c r="R773" s="3">
        <v>2131.41</v>
      </c>
      <c r="S773" s="3">
        <v>0</v>
      </c>
      <c r="T773" s="3">
        <v>6394.23</v>
      </c>
      <c r="U773" s="3">
        <v>3520.69</v>
      </c>
      <c r="V773" s="3">
        <v>2873.54</v>
      </c>
      <c r="W773" s="3" t="s">
        <v>42</v>
      </c>
      <c r="X773" s="3" t="s">
        <v>43</v>
      </c>
      <c r="Y773" s="4" t="str">
        <f t="shared" si="105"/>
        <v>Unique</v>
      </c>
      <c r="AA773" s="2" t="str">
        <f t="shared" si="106"/>
        <v>Clean</v>
      </c>
      <c r="AB773" s="2" t="str">
        <f t="shared" si="107"/>
        <v>valid</v>
      </c>
      <c r="AC773">
        <f t="shared" si="108"/>
        <v>0</v>
      </c>
      <c r="AD773">
        <f t="shared" si="109"/>
        <v>8525.64</v>
      </c>
      <c r="AE773">
        <f t="shared" si="110"/>
        <v>5004.9499999999989</v>
      </c>
      <c r="AF773">
        <f t="shared" si="111"/>
        <v>0.58704683753946907</v>
      </c>
      <c r="AG773" t="str">
        <f t="shared" si="112"/>
        <v>July</v>
      </c>
      <c r="AH773">
        <f t="shared" si="113"/>
        <v>2024</v>
      </c>
      <c r="AI773" t="str">
        <f t="shared" si="114"/>
        <v>Clean</v>
      </c>
    </row>
    <row r="774" spans="1:35" ht="15.75" customHeight="1">
      <c r="A774" s="3" t="s">
        <v>3556</v>
      </c>
      <c r="B774" s="3" t="s">
        <v>179</v>
      </c>
      <c r="C774" s="3" t="s">
        <v>1571</v>
      </c>
      <c r="D774" s="3" t="str">
        <f t="shared" si="102"/>
        <v>19-Jul-2025</v>
      </c>
      <c r="E774" s="3" t="str">
        <f t="shared" si="103"/>
        <v>15-Jul-2025</v>
      </c>
      <c r="F774" s="3">
        <f t="shared" si="104"/>
        <v>4</v>
      </c>
      <c r="G774" s="3" t="s">
        <v>3557</v>
      </c>
      <c r="H774" s="3" t="s">
        <v>218</v>
      </c>
      <c r="I774" s="3" t="s">
        <v>34</v>
      </c>
      <c r="J774" s="3" t="s">
        <v>70</v>
      </c>
      <c r="K774" s="3" t="s">
        <v>347</v>
      </c>
      <c r="L774" s="3" t="s">
        <v>348</v>
      </c>
      <c r="M774" s="3" t="s">
        <v>53</v>
      </c>
      <c r="N774" s="3" t="s">
        <v>84</v>
      </c>
      <c r="O774" s="3" t="s">
        <v>3558</v>
      </c>
      <c r="P774" s="3" t="s">
        <v>56</v>
      </c>
      <c r="Q774" s="3">
        <v>1</v>
      </c>
      <c r="R774" s="3">
        <v>3903.22</v>
      </c>
      <c r="S774" s="3">
        <v>0.05</v>
      </c>
      <c r="T774" s="3">
        <v>3708.06</v>
      </c>
      <c r="U774" s="3">
        <v>2760.29</v>
      </c>
      <c r="V774" s="3">
        <v>947.77</v>
      </c>
      <c r="W774" s="3" t="s">
        <v>145</v>
      </c>
      <c r="X774" s="3" t="s">
        <v>86</v>
      </c>
      <c r="Y774" s="2" t="str">
        <f t="shared" si="105"/>
        <v>Unique</v>
      </c>
      <c r="AA774" s="2" t="str">
        <f t="shared" si="106"/>
        <v>Clean</v>
      </c>
      <c r="AB774" s="2" t="str">
        <f t="shared" si="107"/>
        <v>valid</v>
      </c>
      <c r="AC774">
        <f t="shared" si="108"/>
        <v>0.05</v>
      </c>
      <c r="AD774">
        <f t="shared" si="109"/>
        <v>3708.0589999999997</v>
      </c>
      <c r="AE774">
        <f t="shared" si="110"/>
        <v>947.76899999999978</v>
      </c>
      <c r="AF774">
        <f t="shared" si="111"/>
        <v>0.25559706574248142</v>
      </c>
      <c r="AG774" t="str">
        <f t="shared" si="112"/>
        <v>July</v>
      </c>
      <c r="AH774">
        <f t="shared" si="113"/>
        <v>2025</v>
      </c>
      <c r="AI774" t="str">
        <f t="shared" si="114"/>
        <v>Warning</v>
      </c>
    </row>
    <row r="775" spans="1:35" ht="15.75" customHeight="1">
      <c r="A775" s="3" t="s">
        <v>3559</v>
      </c>
      <c r="B775" s="3" t="s">
        <v>3560</v>
      </c>
      <c r="C775" s="3" t="s">
        <v>3561</v>
      </c>
      <c r="D775" s="3" t="str">
        <f t="shared" si="102"/>
        <v>21-Feb-2025</v>
      </c>
      <c r="E775" s="3" t="str">
        <f t="shared" si="103"/>
        <v>21-Feb-2025</v>
      </c>
      <c r="F775" s="3">
        <f t="shared" si="104"/>
        <v>0</v>
      </c>
      <c r="G775" s="3" t="s">
        <v>3562</v>
      </c>
      <c r="H775" s="3" t="s">
        <v>33</v>
      </c>
      <c r="I775" s="3" t="s">
        <v>123</v>
      </c>
      <c r="J775" s="3" t="s">
        <v>81</v>
      </c>
      <c r="K775" s="3" t="s">
        <v>243</v>
      </c>
      <c r="L775" s="3" t="s">
        <v>244</v>
      </c>
      <c r="M775" s="3" t="s">
        <v>94</v>
      </c>
      <c r="N775" s="3" t="s">
        <v>231</v>
      </c>
      <c r="O775" s="3" t="s">
        <v>3563</v>
      </c>
      <c r="P775" s="3" t="s">
        <v>280</v>
      </c>
      <c r="Q775" s="3">
        <v>4</v>
      </c>
      <c r="R775" s="3">
        <v>2945.07</v>
      </c>
      <c r="S775" s="3">
        <v>0.2</v>
      </c>
      <c r="T775" s="3">
        <v>9424.2199999999993</v>
      </c>
      <c r="U775" s="3">
        <v>6178.92</v>
      </c>
      <c r="V775" s="3">
        <v>3245.3</v>
      </c>
      <c r="W775" s="3" t="s">
        <v>42</v>
      </c>
      <c r="X775" s="3" t="s">
        <v>43</v>
      </c>
      <c r="Y775" s="2" t="str">
        <f t="shared" si="105"/>
        <v>Unique</v>
      </c>
      <c r="AA775" s="2" t="str">
        <f t="shared" si="106"/>
        <v>Clean</v>
      </c>
      <c r="AB775" s="2" t="str">
        <f t="shared" si="107"/>
        <v>valid</v>
      </c>
      <c r="AC775">
        <f t="shared" si="108"/>
        <v>0.2</v>
      </c>
      <c r="AD775">
        <f t="shared" si="109"/>
        <v>9424.2240000000002</v>
      </c>
      <c r="AE775">
        <f t="shared" si="110"/>
        <v>3245.3040000000001</v>
      </c>
      <c r="AF775">
        <f t="shared" si="111"/>
        <v>0.3443576892909167</v>
      </c>
      <c r="AG775" t="str">
        <f t="shared" si="112"/>
        <v>February</v>
      </c>
      <c r="AH775">
        <f t="shared" si="113"/>
        <v>2025</v>
      </c>
      <c r="AI775" t="str">
        <f t="shared" si="114"/>
        <v>Clean</v>
      </c>
    </row>
    <row r="776" spans="1:35" ht="15.75" customHeight="1">
      <c r="A776" s="3" t="s">
        <v>3564</v>
      </c>
      <c r="B776" s="3" t="s">
        <v>3565</v>
      </c>
      <c r="C776" s="3" t="s">
        <v>1796</v>
      </c>
      <c r="D776" s="3" t="str">
        <f t="shared" si="102"/>
        <v>07-Aug-2025</v>
      </c>
      <c r="E776" s="3" t="str">
        <f t="shared" si="103"/>
        <v>07-Aug-2025</v>
      </c>
      <c r="F776" s="3">
        <f t="shared" si="104"/>
        <v>0</v>
      </c>
      <c r="G776" s="3" t="s">
        <v>3566</v>
      </c>
      <c r="H776" s="3" t="s">
        <v>375</v>
      </c>
      <c r="I776" s="3" t="s">
        <v>34</v>
      </c>
      <c r="J776" s="3" t="s">
        <v>81</v>
      </c>
      <c r="K776" s="3" t="s">
        <v>36</v>
      </c>
      <c r="L776" s="3" t="s">
        <v>143</v>
      </c>
      <c r="M776" s="3" t="s">
        <v>94</v>
      </c>
      <c r="N776" s="3" t="s">
        <v>391</v>
      </c>
      <c r="O776" s="3" t="s">
        <v>3567</v>
      </c>
      <c r="P776" s="3" t="s">
        <v>280</v>
      </c>
      <c r="Q776" s="3">
        <v>9</v>
      </c>
      <c r="R776" s="3">
        <v>1076.75</v>
      </c>
      <c r="S776" s="3">
        <v>0.2</v>
      </c>
      <c r="T776" s="3">
        <v>7752.6</v>
      </c>
      <c r="U776" s="3">
        <v>4689.3</v>
      </c>
      <c r="V776" s="3">
        <v>3063.3</v>
      </c>
      <c r="W776" s="3" t="s">
        <v>42</v>
      </c>
      <c r="X776" s="3" t="s">
        <v>43</v>
      </c>
      <c r="Y776" s="2" t="str">
        <f t="shared" si="105"/>
        <v>Unique</v>
      </c>
      <c r="AA776" s="2" t="str">
        <f t="shared" si="106"/>
        <v>Clean</v>
      </c>
      <c r="AB776" s="2" t="str">
        <f t="shared" si="107"/>
        <v>valid</v>
      </c>
      <c r="AC776">
        <f t="shared" si="108"/>
        <v>0.2</v>
      </c>
      <c r="AD776">
        <f t="shared" si="109"/>
        <v>7752.6</v>
      </c>
      <c r="AE776">
        <f t="shared" si="110"/>
        <v>3063.3</v>
      </c>
      <c r="AF776">
        <f t="shared" si="111"/>
        <v>0.39513195573098059</v>
      </c>
      <c r="AG776" t="str">
        <f t="shared" si="112"/>
        <v>August</v>
      </c>
      <c r="AH776">
        <f t="shared" si="113"/>
        <v>2025</v>
      </c>
      <c r="AI776" t="str">
        <f t="shared" si="114"/>
        <v>Clean</v>
      </c>
    </row>
    <row r="777" spans="1:35" ht="15.75" customHeight="1">
      <c r="A777" s="3" t="s">
        <v>3568</v>
      </c>
      <c r="B777" s="3" t="s">
        <v>3569</v>
      </c>
      <c r="C777" s="3" t="s">
        <v>3570</v>
      </c>
      <c r="D777" s="3" t="str">
        <f t="shared" si="102"/>
        <v>22-Apr-2024</v>
      </c>
      <c r="E777" s="3" t="str">
        <f t="shared" si="103"/>
        <v>14-Apr-2024</v>
      </c>
      <c r="F777" s="3">
        <f t="shared" si="104"/>
        <v>8</v>
      </c>
      <c r="G777" s="3" t="s">
        <v>3571</v>
      </c>
      <c r="H777" s="3" t="s">
        <v>69</v>
      </c>
      <c r="I777" s="3" t="s">
        <v>34</v>
      </c>
      <c r="J777" s="3" t="s">
        <v>35</v>
      </c>
      <c r="K777" s="3" t="s">
        <v>331</v>
      </c>
      <c r="L777" s="3" t="s">
        <v>332</v>
      </c>
      <c r="M777" s="3" t="s">
        <v>94</v>
      </c>
      <c r="N777" s="3" t="s">
        <v>95</v>
      </c>
      <c r="O777" s="3" t="s">
        <v>3572</v>
      </c>
      <c r="P777" s="3" t="s">
        <v>75</v>
      </c>
      <c r="Q777" s="3">
        <v>8</v>
      </c>
      <c r="R777" s="3">
        <v>3956.12</v>
      </c>
      <c r="S777" s="3">
        <v>0.25</v>
      </c>
      <c r="T777" s="3">
        <v>23736.720000000001</v>
      </c>
      <c r="U777" s="3">
        <v>13890.9</v>
      </c>
      <c r="V777" s="3">
        <v>9845.82</v>
      </c>
      <c r="W777" s="3" t="s">
        <v>42</v>
      </c>
      <c r="X777" s="3" t="s">
        <v>43</v>
      </c>
      <c r="Y777" s="2" t="str">
        <f t="shared" si="105"/>
        <v>Unique</v>
      </c>
      <c r="AA777" s="2" t="str">
        <f t="shared" si="106"/>
        <v>Clean</v>
      </c>
      <c r="AB777" s="2" t="str">
        <f t="shared" si="107"/>
        <v>valid</v>
      </c>
      <c r="AC777">
        <f t="shared" si="108"/>
        <v>0.25</v>
      </c>
      <c r="AD777">
        <f t="shared" si="109"/>
        <v>23736.720000000001</v>
      </c>
      <c r="AE777">
        <f t="shared" si="110"/>
        <v>9845.8200000000015</v>
      </c>
      <c r="AF777">
        <f t="shared" si="111"/>
        <v>0.41479277676106896</v>
      </c>
      <c r="AG777" t="str">
        <f t="shared" si="112"/>
        <v>April</v>
      </c>
      <c r="AH777">
        <f t="shared" si="113"/>
        <v>2024</v>
      </c>
      <c r="AI777" t="str">
        <f t="shared" si="114"/>
        <v>Clean</v>
      </c>
    </row>
    <row r="778" spans="1:35" ht="15.75" customHeight="1">
      <c r="A778" s="3" t="s">
        <v>3573</v>
      </c>
      <c r="B778" s="3" t="s">
        <v>3574</v>
      </c>
      <c r="C778" s="3" t="s">
        <v>2343</v>
      </c>
      <c r="D778" s="3" t="str">
        <f t="shared" si="102"/>
        <v>13-Jun-2025</v>
      </c>
      <c r="E778" s="3" t="str">
        <f t="shared" si="103"/>
        <v>08-Jun-2025</v>
      </c>
      <c r="F778" s="3">
        <f t="shared" si="104"/>
        <v>5</v>
      </c>
      <c r="G778" s="3" t="s">
        <v>3575</v>
      </c>
      <c r="H778" s="3" t="s">
        <v>115</v>
      </c>
      <c r="I778" s="3" t="s">
        <v>49</v>
      </c>
      <c r="J778" s="3" t="s">
        <v>35</v>
      </c>
      <c r="K778" s="3" t="s">
        <v>36</v>
      </c>
      <c r="L778" s="3" t="s">
        <v>37</v>
      </c>
      <c r="M778" s="3" t="s">
        <v>94</v>
      </c>
      <c r="N778" s="3" t="s">
        <v>102</v>
      </c>
      <c r="O778" s="3" t="s">
        <v>3576</v>
      </c>
      <c r="P778" s="3" t="s">
        <v>41</v>
      </c>
      <c r="Q778" s="3">
        <v>7</v>
      </c>
      <c r="R778" s="3">
        <v>3857.13</v>
      </c>
      <c r="S778" s="3">
        <v>0</v>
      </c>
      <c r="T778" s="3">
        <v>26999.91</v>
      </c>
      <c r="U778" s="3">
        <v>17815.98</v>
      </c>
      <c r="V778" s="3">
        <v>9183.93</v>
      </c>
      <c r="W778" s="3" t="s">
        <v>42</v>
      </c>
      <c r="X778" s="3" t="s">
        <v>43</v>
      </c>
      <c r="Y778" s="2" t="str">
        <f t="shared" si="105"/>
        <v>Unique</v>
      </c>
      <c r="AA778" s="2" t="str">
        <f t="shared" si="106"/>
        <v>Clean</v>
      </c>
      <c r="AB778" s="2" t="str">
        <f t="shared" si="107"/>
        <v>valid</v>
      </c>
      <c r="AC778">
        <f t="shared" si="108"/>
        <v>0</v>
      </c>
      <c r="AD778">
        <f t="shared" si="109"/>
        <v>26999.91</v>
      </c>
      <c r="AE778">
        <f t="shared" si="110"/>
        <v>9183.93</v>
      </c>
      <c r="AF778">
        <f t="shared" si="111"/>
        <v>0.34014668937785347</v>
      </c>
      <c r="AG778" t="str">
        <f t="shared" si="112"/>
        <v>June</v>
      </c>
      <c r="AH778">
        <f t="shared" si="113"/>
        <v>2025</v>
      </c>
      <c r="AI778" t="str">
        <f t="shared" si="114"/>
        <v>Clean</v>
      </c>
    </row>
    <row r="779" spans="1:35" ht="15.75" customHeight="1">
      <c r="A779" s="3" t="s">
        <v>3577</v>
      </c>
      <c r="B779" s="3" t="s">
        <v>3578</v>
      </c>
      <c r="C779" s="3" t="s">
        <v>2272</v>
      </c>
      <c r="D779" s="3" t="str">
        <f t="shared" si="102"/>
        <v>06-Feb-2024</v>
      </c>
      <c r="E779" s="3" t="str">
        <f t="shared" si="103"/>
        <v>04-Feb-2024</v>
      </c>
      <c r="F779" s="3">
        <f t="shared" si="104"/>
        <v>2</v>
      </c>
      <c r="G779" s="3" t="s">
        <v>3579</v>
      </c>
      <c r="H779" s="3" t="s">
        <v>375</v>
      </c>
      <c r="I779" s="3" t="s">
        <v>49</v>
      </c>
      <c r="J779" s="3" t="s">
        <v>81</v>
      </c>
      <c r="K779" s="3" t="s">
        <v>92</v>
      </c>
      <c r="L779" s="3" t="s">
        <v>93</v>
      </c>
      <c r="M779" s="3" t="s">
        <v>94</v>
      </c>
      <c r="N779" s="3" t="s">
        <v>95</v>
      </c>
      <c r="O779" s="3" t="s">
        <v>3580</v>
      </c>
      <c r="P779" s="3" t="s">
        <v>41</v>
      </c>
      <c r="Q779" s="3">
        <v>4</v>
      </c>
      <c r="R779" s="3">
        <v>1489.74</v>
      </c>
      <c r="S779" s="3">
        <v>0.15</v>
      </c>
      <c r="T779" s="3">
        <v>5065.12</v>
      </c>
      <c r="U779" s="3">
        <v>3530.12</v>
      </c>
      <c r="V779" s="3">
        <v>1535</v>
      </c>
      <c r="W779" s="3" t="s">
        <v>208</v>
      </c>
      <c r="X779" s="3" t="s">
        <v>86</v>
      </c>
      <c r="Y779" s="2" t="str">
        <f t="shared" si="105"/>
        <v>Unique</v>
      </c>
      <c r="AA779" s="2" t="str">
        <f t="shared" si="106"/>
        <v>Clean</v>
      </c>
      <c r="AB779" s="2" t="str">
        <f t="shared" si="107"/>
        <v>valid</v>
      </c>
      <c r="AC779">
        <f t="shared" si="108"/>
        <v>0.15</v>
      </c>
      <c r="AD779">
        <f t="shared" si="109"/>
        <v>5065.116</v>
      </c>
      <c r="AE779">
        <f t="shared" si="110"/>
        <v>1534.9960000000001</v>
      </c>
      <c r="AF779">
        <f t="shared" si="111"/>
        <v>0.30305248685321323</v>
      </c>
      <c r="AG779" t="str">
        <f t="shared" si="112"/>
        <v>February</v>
      </c>
      <c r="AH779">
        <f t="shared" si="113"/>
        <v>2024</v>
      </c>
      <c r="AI779" t="str">
        <f t="shared" si="114"/>
        <v>Warning</v>
      </c>
    </row>
    <row r="780" spans="1:35" ht="15.75" customHeight="1">
      <c r="A780" s="3" t="s">
        <v>3581</v>
      </c>
      <c r="B780" s="3" t="s">
        <v>724</v>
      </c>
      <c r="C780" s="3" t="s">
        <v>3582</v>
      </c>
      <c r="D780" s="3" t="str">
        <f t="shared" si="102"/>
        <v>24-Jul-2024</v>
      </c>
      <c r="E780" s="3" t="str">
        <f t="shared" si="103"/>
        <v>24-Jul-2024</v>
      </c>
      <c r="F780" s="3">
        <f t="shared" si="104"/>
        <v>0</v>
      </c>
      <c r="G780" s="3" t="s">
        <v>3583</v>
      </c>
      <c r="H780" s="3" t="s">
        <v>33</v>
      </c>
      <c r="I780" s="3" t="s">
        <v>49</v>
      </c>
      <c r="J780" s="3" t="s">
        <v>35</v>
      </c>
      <c r="K780" s="3" t="s">
        <v>331</v>
      </c>
      <c r="L780" s="3" t="s">
        <v>332</v>
      </c>
      <c r="M780" s="3" t="s">
        <v>94</v>
      </c>
      <c r="N780" s="3" t="s">
        <v>102</v>
      </c>
      <c r="O780" s="3" t="s">
        <v>3584</v>
      </c>
      <c r="P780" s="3" t="s">
        <v>41</v>
      </c>
      <c r="Q780" s="3">
        <v>4</v>
      </c>
      <c r="R780" s="3">
        <v>1676.88</v>
      </c>
      <c r="S780" s="3">
        <v>0</v>
      </c>
      <c r="T780" s="3">
        <v>6707.52</v>
      </c>
      <c r="U780" s="3">
        <v>5672.57</v>
      </c>
      <c r="V780" s="3">
        <v>1034.95</v>
      </c>
      <c r="W780" s="3" t="s">
        <v>42</v>
      </c>
      <c r="X780" s="3" t="s">
        <v>43</v>
      </c>
      <c r="Y780" s="2" t="str">
        <f t="shared" si="105"/>
        <v>Unique</v>
      </c>
      <c r="AA780" s="2" t="str">
        <f t="shared" si="106"/>
        <v>Clean</v>
      </c>
      <c r="AB780" s="2" t="str">
        <f t="shared" si="107"/>
        <v>valid</v>
      </c>
      <c r="AC780">
        <f t="shared" si="108"/>
        <v>0</v>
      </c>
      <c r="AD780">
        <f t="shared" si="109"/>
        <v>6707.52</v>
      </c>
      <c r="AE780">
        <f t="shared" si="110"/>
        <v>1034.9500000000007</v>
      </c>
      <c r="AF780">
        <f t="shared" si="111"/>
        <v>0.15429696817899918</v>
      </c>
      <c r="AG780" t="str">
        <f t="shared" si="112"/>
        <v>July</v>
      </c>
      <c r="AH780">
        <f t="shared" si="113"/>
        <v>2024</v>
      </c>
      <c r="AI780" t="str">
        <f t="shared" si="114"/>
        <v>Clean</v>
      </c>
    </row>
    <row r="781" spans="1:35" ht="15.75" customHeight="1">
      <c r="A781" s="3" t="s">
        <v>3585</v>
      </c>
      <c r="B781" s="3" t="s">
        <v>2197</v>
      </c>
      <c r="C781" s="3" t="s">
        <v>3586</v>
      </c>
      <c r="D781" s="3" t="str">
        <f t="shared" si="102"/>
        <v>20-Jan-2024</v>
      </c>
      <c r="E781" s="3" t="str">
        <f t="shared" si="103"/>
        <v>15-Jan-2024</v>
      </c>
      <c r="F781" s="3">
        <f t="shared" si="104"/>
        <v>5</v>
      </c>
      <c r="G781" s="3" t="s">
        <v>3587</v>
      </c>
      <c r="H781" s="3" t="s">
        <v>150</v>
      </c>
      <c r="I781" s="3" t="s">
        <v>49</v>
      </c>
      <c r="J781" s="3" t="s">
        <v>70</v>
      </c>
      <c r="K781" s="3" t="s">
        <v>108</v>
      </c>
      <c r="L781" s="3" t="s">
        <v>109</v>
      </c>
      <c r="M781" s="3" t="s">
        <v>53</v>
      </c>
      <c r="N781" s="3" t="s">
        <v>84</v>
      </c>
      <c r="O781" s="3" t="s">
        <v>3588</v>
      </c>
      <c r="P781" s="3" t="s">
        <v>75</v>
      </c>
      <c r="Q781" s="3">
        <v>4</v>
      </c>
      <c r="R781" s="3">
        <v>3153.54</v>
      </c>
      <c r="S781" s="3">
        <v>0.05</v>
      </c>
      <c r="T781" s="3">
        <v>11983.45</v>
      </c>
      <c r="U781" s="3">
        <v>8572.9</v>
      </c>
      <c r="V781" s="3">
        <v>3410.55</v>
      </c>
      <c r="W781" s="3" t="s">
        <v>42</v>
      </c>
      <c r="X781" s="3" t="s">
        <v>43</v>
      </c>
      <c r="Y781" s="2" t="str">
        <f t="shared" si="105"/>
        <v>Unique</v>
      </c>
      <c r="AA781" s="2" t="str">
        <f t="shared" si="106"/>
        <v>Clean</v>
      </c>
      <c r="AB781" s="2" t="str">
        <f t="shared" si="107"/>
        <v>valid</v>
      </c>
      <c r="AC781">
        <f t="shared" si="108"/>
        <v>0.05</v>
      </c>
      <c r="AD781">
        <f t="shared" si="109"/>
        <v>11983.451999999999</v>
      </c>
      <c r="AE781">
        <f t="shared" si="110"/>
        <v>3410.5519999999997</v>
      </c>
      <c r="AF781">
        <f t="shared" si="111"/>
        <v>0.2846051371507976</v>
      </c>
      <c r="AG781" t="str">
        <f t="shared" si="112"/>
        <v>January</v>
      </c>
      <c r="AH781">
        <f t="shared" si="113"/>
        <v>2024</v>
      </c>
      <c r="AI781" t="str">
        <f t="shared" si="114"/>
        <v>Clean</v>
      </c>
    </row>
    <row r="782" spans="1:35" ht="15.75" customHeight="1">
      <c r="A782" s="3" t="s">
        <v>3589</v>
      </c>
      <c r="B782" s="3" t="s">
        <v>3590</v>
      </c>
      <c r="C782" s="3" t="s">
        <v>2642</v>
      </c>
      <c r="D782" s="3" t="str">
        <f t="shared" si="102"/>
        <v>08-Oct-2024</v>
      </c>
      <c r="E782" s="3" t="str">
        <f t="shared" si="103"/>
        <v>04-Aug-2024</v>
      </c>
      <c r="F782" s="3">
        <f t="shared" si="104"/>
        <v>65</v>
      </c>
      <c r="G782" s="3" t="s">
        <v>3591</v>
      </c>
      <c r="H782" s="3" t="s">
        <v>218</v>
      </c>
      <c r="I782" s="3" t="s">
        <v>49</v>
      </c>
      <c r="J782" s="3" t="s">
        <v>81</v>
      </c>
      <c r="K782" s="3" t="s">
        <v>36</v>
      </c>
      <c r="L782" s="3" t="s">
        <v>143</v>
      </c>
      <c r="M782" s="3" t="s">
        <v>53</v>
      </c>
      <c r="N782" s="3" t="s">
        <v>84</v>
      </c>
      <c r="O782" s="3" t="s">
        <v>3592</v>
      </c>
      <c r="P782" s="3" t="s">
        <v>56</v>
      </c>
      <c r="Q782" s="3">
        <v>4</v>
      </c>
      <c r="R782" s="3">
        <v>426.43</v>
      </c>
      <c r="S782" s="3">
        <v>0.2</v>
      </c>
      <c r="T782" s="3">
        <v>1364.58</v>
      </c>
      <c r="U782" s="3">
        <v>978.16</v>
      </c>
      <c r="V782" s="3">
        <v>386.42</v>
      </c>
      <c r="W782" s="3" t="s">
        <v>42</v>
      </c>
      <c r="X782" s="3" t="s">
        <v>43</v>
      </c>
      <c r="Y782" s="2" t="str">
        <f t="shared" si="105"/>
        <v>Unique</v>
      </c>
      <c r="AA782" s="2" t="str">
        <f t="shared" si="106"/>
        <v>Clean</v>
      </c>
      <c r="AB782" s="2" t="str">
        <f t="shared" si="107"/>
        <v>valid</v>
      </c>
      <c r="AC782">
        <f t="shared" si="108"/>
        <v>0.2</v>
      </c>
      <c r="AD782">
        <f t="shared" si="109"/>
        <v>1364.576</v>
      </c>
      <c r="AE782">
        <f t="shared" si="110"/>
        <v>386.41600000000005</v>
      </c>
      <c r="AF782">
        <f t="shared" si="111"/>
        <v>0.28317660577351506</v>
      </c>
      <c r="AG782" t="str">
        <f t="shared" si="112"/>
        <v>August</v>
      </c>
      <c r="AH782">
        <f t="shared" si="113"/>
        <v>2024</v>
      </c>
      <c r="AI782" t="str">
        <f t="shared" si="114"/>
        <v>Clean</v>
      </c>
    </row>
    <row r="783" spans="1:35" ht="15.75" customHeight="1">
      <c r="A783" s="3" t="s">
        <v>3593</v>
      </c>
      <c r="B783" s="3" t="s">
        <v>3594</v>
      </c>
      <c r="C783" s="3" t="s">
        <v>2121</v>
      </c>
      <c r="D783" s="3" t="str">
        <f t="shared" si="102"/>
        <v>10-Feb-2024</v>
      </c>
      <c r="E783" s="3" t="str">
        <f t="shared" si="103"/>
        <v>02-Feb-2024</v>
      </c>
      <c r="F783" s="3">
        <f t="shared" si="104"/>
        <v>8</v>
      </c>
      <c r="G783" s="3" t="s">
        <v>3595</v>
      </c>
      <c r="H783" s="3" t="s">
        <v>33</v>
      </c>
      <c r="I783" s="3" t="s">
        <v>123</v>
      </c>
      <c r="J783" s="3" t="s">
        <v>81</v>
      </c>
      <c r="K783" s="3" t="s">
        <v>36</v>
      </c>
      <c r="L783" s="3" t="s">
        <v>143</v>
      </c>
      <c r="M783" s="3" t="s">
        <v>38</v>
      </c>
      <c r="N783" s="3" t="s">
        <v>117</v>
      </c>
      <c r="O783" s="3" t="s">
        <v>3596</v>
      </c>
      <c r="P783" s="3" t="s">
        <v>64</v>
      </c>
      <c r="Q783" s="3">
        <v>3</v>
      </c>
      <c r="R783" s="3">
        <v>383.4</v>
      </c>
      <c r="S783" s="3">
        <v>0.25</v>
      </c>
      <c r="T783" s="3">
        <v>862.65</v>
      </c>
      <c r="U783" s="3">
        <v>603.73</v>
      </c>
      <c r="V783" s="3">
        <v>258.92</v>
      </c>
      <c r="W783" s="3" t="s">
        <v>145</v>
      </c>
      <c r="X783" s="3" t="s">
        <v>133</v>
      </c>
      <c r="Y783" s="2" t="str">
        <f t="shared" si="105"/>
        <v>Unique</v>
      </c>
      <c r="AA783" s="2" t="str">
        <f t="shared" si="106"/>
        <v>Clean</v>
      </c>
      <c r="AB783" s="2" t="str">
        <f t="shared" si="107"/>
        <v>valid</v>
      </c>
      <c r="AC783">
        <f t="shared" si="108"/>
        <v>0.25</v>
      </c>
      <c r="AD783">
        <f t="shared" si="109"/>
        <v>862.64999999999986</v>
      </c>
      <c r="AE783">
        <f t="shared" si="110"/>
        <v>258.91999999999985</v>
      </c>
      <c r="AF783">
        <f t="shared" si="111"/>
        <v>0.30014490233582553</v>
      </c>
      <c r="AG783" t="str">
        <f t="shared" si="112"/>
        <v>February</v>
      </c>
      <c r="AH783">
        <f t="shared" si="113"/>
        <v>2024</v>
      </c>
      <c r="AI783" t="str">
        <f t="shared" si="114"/>
        <v>Clean</v>
      </c>
    </row>
    <row r="784" spans="1:35" ht="15.75" customHeight="1">
      <c r="A784" s="3" t="s">
        <v>3597</v>
      </c>
      <c r="B784" s="3" t="s">
        <v>1434</v>
      </c>
      <c r="C784" s="3" t="s">
        <v>3598</v>
      </c>
      <c r="D784" s="3" t="str">
        <f t="shared" si="102"/>
        <v>22-Mar-2025</v>
      </c>
      <c r="E784" s="3" t="str">
        <f t="shared" si="103"/>
        <v>14-Mar-2025</v>
      </c>
      <c r="F784" s="3">
        <f t="shared" si="104"/>
        <v>8</v>
      </c>
      <c r="G784" s="3" t="s">
        <v>3599</v>
      </c>
      <c r="H784" s="3" t="s">
        <v>48</v>
      </c>
      <c r="I784" s="3" t="s">
        <v>116</v>
      </c>
      <c r="J784" s="3" t="s">
        <v>50</v>
      </c>
      <c r="K784" s="3" t="s">
        <v>129</v>
      </c>
      <c r="L784" s="3" t="s">
        <v>130</v>
      </c>
      <c r="M784" s="3" t="s">
        <v>94</v>
      </c>
      <c r="N784" s="3" t="s">
        <v>102</v>
      </c>
      <c r="O784" s="3" t="s">
        <v>3600</v>
      </c>
      <c r="P784" s="3" t="s">
        <v>75</v>
      </c>
      <c r="Q784" s="3">
        <v>2</v>
      </c>
      <c r="R784" s="3">
        <v>669.63</v>
      </c>
      <c r="S784" s="3">
        <v>0.15</v>
      </c>
      <c r="T784" s="3">
        <v>1138.3699999999999</v>
      </c>
      <c r="U784" s="3">
        <v>797.34</v>
      </c>
      <c r="V784" s="3">
        <v>341.03</v>
      </c>
      <c r="W784" s="3" t="s">
        <v>42</v>
      </c>
      <c r="X784" s="3" t="s">
        <v>43</v>
      </c>
      <c r="Y784" s="2" t="str">
        <f t="shared" si="105"/>
        <v>Unique</v>
      </c>
      <c r="AA784" s="2" t="str">
        <f t="shared" si="106"/>
        <v>Clean</v>
      </c>
      <c r="AB784" s="2" t="str">
        <f t="shared" si="107"/>
        <v>valid</v>
      </c>
      <c r="AC784">
        <f t="shared" si="108"/>
        <v>0.15</v>
      </c>
      <c r="AD784">
        <f t="shared" si="109"/>
        <v>1138.3709999999999</v>
      </c>
      <c r="AE784">
        <f t="shared" si="110"/>
        <v>341.03099999999984</v>
      </c>
      <c r="AF784">
        <f t="shared" si="111"/>
        <v>0.29957808131092578</v>
      </c>
      <c r="AG784" t="str">
        <f t="shared" si="112"/>
        <v>March</v>
      </c>
      <c r="AH784">
        <f t="shared" si="113"/>
        <v>2025</v>
      </c>
      <c r="AI784" t="str">
        <f t="shared" si="114"/>
        <v>Clean</v>
      </c>
    </row>
    <row r="785" spans="1:35" ht="15.75" customHeight="1">
      <c r="A785" s="3" t="s">
        <v>3601</v>
      </c>
      <c r="B785" s="3" t="s">
        <v>3602</v>
      </c>
      <c r="C785" s="3" t="s">
        <v>3603</v>
      </c>
      <c r="D785" s="3" t="str">
        <f t="shared" si="102"/>
        <v>07-Jun-2024</v>
      </c>
      <c r="E785" s="3" t="str">
        <f t="shared" si="103"/>
        <v>07-Jun-2024</v>
      </c>
      <c r="F785" s="3">
        <f t="shared" si="104"/>
        <v>0</v>
      </c>
      <c r="G785" s="3" t="s">
        <v>3604</v>
      </c>
      <c r="H785" s="3" t="s">
        <v>170</v>
      </c>
      <c r="I785" s="3" t="s">
        <v>49</v>
      </c>
      <c r="J785" s="3" t="s">
        <v>50</v>
      </c>
      <c r="K785" s="3" t="s">
        <v>194</v>
      </c>
      <c r="L785" s="3" t="s">
        <v>195</v>
      </c>
      <c r="M785" s="3" t="s">
        <v>38</v>
      </c>
      <c r="N785" s="3" t="s">
        <v>62</v>
      </c>
      <c r="O785" s="3" t="s">
        <v>3605</v>
      </c>
      <c r="P785" s="3" t="s">
        <v>41</v>
      </c>
      <c r="Q785" s="3">
        <v>1</v>
      </c>
      <c r="R785" s="3">
        <v>2581.9299999999998</v>
      </c>
      <c r="S785" s="3">
        <v>0.05</v>
      </c>
      <c r="T785" s="3">
        <v>2452.83</v>
      </c>
      <c r="U785" s="3">
        <v>1906.7</v>
      </c>
      <c r="V785" s="3">
        <v>546.13</v>
      </c>
      <c r="W785" s="3" t="s">
        <v>42</v>
      </c>
      <c r="X785" s="3" t="s">
        <v>43</v>
      </c>
      <c r="Y785" s="2" t="str">
        <f t="shared" si="105"/>
        <v>Unique</v>
      </c>
      <c r="AA785" s="2" t="str">
        <f t="shared" si="106"/>
        <v>Clean</v>
      </c>
      <c r="AB785" s="2" t="str">
        <f t="shared" si="107"/>
        <v>valid</v>
      </c>
      <c r="AC785">
        <f t="shared" si="108"/>
        <v>0.05</v>
      </c>
      <c r="AD785">
        <f t="shared" si="109"/>
        <v>2452.8334999999997</v>
      </c>
      <c r="AE785">
        <f t="shared" si="110"/>
        <v>546.13349999999969</v>
      </c>
      <c r="AF785">
        <f t="shared" si="111"/>
        <v>0.22265412634000625</v>
      </c>
      <c r="AG785" t="str">
        <f t="shared" si="112"/>
        <v>June</v>
      </c>
      <c r="AH785">
        <f t="shared" si="113"/>
        <v>2024</v>
      </c>
      <c r="AI785" t="str">
        <f t="shared" si="114"/>
        <v>Clean</v>
      </c>
    </row>
    <row r="786" spans="1:35" ht="15.75" customHeight="1">
      <c r="A786" s="3" t="s">
        <v>3606</v>
      </c>
      <c r="B786" s="3" t="s">
        <v>3607</v>
      </c>
      <c r="C786" s="3" t="s">
        <v>2543</v>
      </c>
      <c r="D786" s="3" t="str">
        <f t="shared" si="102"/>
        <v>05-Oct-2025</v>
      </c>
      <c r="E786" s="3" t="str">
        <f t="shared" si="103"/>
        <v>10-Apr-2025</v>
      </c>
      <c r="F786" s="3">
        <f t="shared" si="104"/>
        <v>178</v>
      </c>
      <c r="G786" s="3" t="s">
        <v>3608</v>
      </c>
      <c r="H786" s="3" t="s">
        <v>150</v>
      </c>
      <c r="I786" s="3" t="s">
        <v>116</v>
      </c>
      <c r="J786" s="3" t="s">
        <v>35</v>
      </c>
      <c r="K786" s="3" t="s">
        <v>162</v>
      </c>
      <c r="L786" s="3" t="s">
        <v>163</v>
      </c>
      <c r="M786" s="3" t="s">
        <v>94</v>
      </c>
      <c r="N786" s="3" t="s">
        <v>102</v>
      </c>
      <c r="O786" s="3" t="s">
        <v>3609</v>
      </c>
      <c r="P786" s="3" t="s">
        <v>64</v>
      </c>
      <c r="Q786" s="3">
        <v>4</v>
      </c>
      <c r="R786" s="3">
        <v>418.18</v>
      </c>
      <c r="S786" s="3">
        <v>0.05</v>
      </c>
      <c r="T786" s="3">
        <v>1589.08</v>
      </c>
      <c r="U786" s="3">
        <v>1084.6600000000001</v>
      </c>
      <c r="V786" s="3">
        <v>504.42</v>
      </c>
      <c r="W786" s="3" t="s">
        <v>42</v>
      </c>
      <c r="X786" s="3" t="s">
        <v>43</v>
      </c>
      <c r="Y786" s="2" t="str">
        <f t="shared" si="105"/>
        <v>Unique</v>
      </c>
      <c r="AA786" s="2" t="str">
        <f t="shared" si="106"/>
        <v>Clean</v>
      </c>
      <c r="AB786" s="2" t="str">
        <f t="shared" si="107"/>
        <v>valid</v>
      </c>
      <c r="AC786">
        <f t="shared" si="108"/>
        <v>0.05</v>
      </c>
      <c r="AD786">
        <f t="shared" si="109"/>
        <v>1589.0840000000001</v>
      </c>
      <c r="AE786">
        <f t="shared" si="110"/>
        <v>504.42399999999998</v>
      </c>
      <c r="AF786">
        <f t="shared" si="111"/>
        <v>0.31743067075120002</v>
      </c>
      <c r="AG786" t="str">
        <f t="shared" si="112"/>
        <v>April</v>
      </c>
      <c r="AH786">
        <f t="shared" si="113"/>
        <v>2025</v>
      </c>
      <c r="AI786" t="str">
        <f t="shared" si="114"/>
        <v>Clean</v>
      </c>
    </row>
    <row r="787" spans="1:35" ht="15.75" customHeight="1">
      <c r="A787" s="3" t="s">
        <v>3610</v>
      </c>
      <c r="B787" s="3" t="s">
        <v>3611</v>
      </c>
      <c r="C787" s="3" t="s">
        <v>282</v>
      </c>
      <c r="D787" s="3" t="str">
        <f t="shared" si="102"/>
        <v>29-May-2024</v>
      </c>
      <c r="E787" s="3" t="str">
        <f t="shared" si="103"/>
        <v>23-May-2024</v>
      </c>
      <c r="F787" s="3">
        <f t="shared" si="104"/>
        <v>6</v>
      </c>
      <c r="G787" s="3" t="s">
        <v>3612</v>
      </c>
      <c r="H787" s="3" t="s">
        <v>218</v>
      </c>
      <c r="I787" s="3" t="s">
        <v>49</v>
      </c>
      <c r="J787" s="3" t="s">
        <v>35</v>
      </c>
      <c r="K787" s="3" t="s">
        <v>331</v>
      </c>
      <c r="L787" s="3" t="s">
        <v>332</v>
      </c>
      <c r="M787" s="3" t="s">
        <v>38</v>
      </c>
      <c r="N787" s="3" t="s">
        <v>164</v>
      </c>
      <c r="O787" s="3" t="s">
        <v>3613</v>
      </c>
      <c r="P787" s="3" t="s">
        <v>56</v>
      </c>
      <c r="Q787" s="3">
        <v>2</v>
      </c>
      <c r="R787" s="3">
        <v>3012.94</v>
      </c>
      <c r="S787" s="3">
        <v>0.25</v>
      </c>
      <c r="T787" s="3">
        <v>4519.41</v>
      </c>
      <c r="U787" s="3">
        <v>3504.16</v>
      </c>
      <c r="V787" s="3">
        <v>1275.55</v>
      </c>
      <c r="W787" s="3" t="s">
        <v>208</v>
      </c>
      <c r="X787" s="3" t="s">
        <v>86</v>
      </c>
      <c r="Y787" s="2" t="str">
        <f t="shared" si="105"/>
        <v>Unique</v>
      </c>
      <c r="AA787" s="2" t="str">
        <f t="shared" si="106"/>
        <v>Clean</v>
      </c>
      <c r="AB787" s="2" t="str">
        <f t="shared" si="107"/>
        <v>valid</v>
      </c>
      <c r="AC787">
        <f t="shared" si="108"/>
        <v>0.25</v>
      </c>
      <c r="AD787">
        <f t="shared" si="109"/>
        <v>4519.41</v>
      </c>
      <c r="AE787">
        <f t="shared" si="110"/>
        <v>1015.25</v>
      </c>
      <c r="AF787">
        <f t="shared" si="111"/>
        <v>0.22464215461752751</v>
      </c>
      <c r="AG787" t="str">
        <f t="shared" si="112"/>
        <v>May</v>
      </c>
      <c r="AH787">
        <f t="shared" si="113"/>
        <v>2024</v>
      </c>
      <c r="AI787" t="str">
        <f t="shared" si="114"/>
        <v>Warning</v>
      </c>
    </row>
    <row r="788" spans="1:35" ht="15.75" customHeight="1">
      <c r="A788" s="3" t="s">
        <v>3614</v>
      </c>
      <c r="B788" s="3" t="s">
        <v>1271</v>
      </c>
      <c r="C788" s="3" t="s">
        <v>2842</v>
      </c>
      <c r="D788" s="3" t="str">
        <f t="shared" si="102"/>
        <v>08-Jul-2025</v>
      </c>
      <c r="E788" s="3" t="str">
        <f t="shared" si="103"/>
        <v>07-Jun-2025</v>
      </c>
      <c r="F788" s="3">
        <f t="shared" si="104"/>
        <v>31</v>
      </c>
      <c r="G788" s="3" t="s">
        <v>3615</v>
      </c>
      <c r="H788" s="3" t="s">
        <v>80</v>
      </c>
      <c r="I788" s="3" t="s">
        <v>116</v>
      </c>
      <c r="J788" s="3" t="s">
        <v>35</v>
      </c>
      <c r="K788" s="3" t="s">
        <v>36</v>
      </c>
      <c r="L788" s="3" t="s">
        <v>37</v>
      </c>
      <c r="M788" s="3" t="s">
        <v>53</v>
      </c>
      <c r="N788" s="3" t="s">
        <v>73</v>
      </c>
      <c r="O788" s="3" t="s">
        <v>3616</v>
      </c>
      <c r="P788" s="3" t="s">
        <v>280</v>
      </c>
      <c r="Q788" s="3">
        <v>4</v>
      </c>
      <c r="R788" s="3">
        <v>715.45</v>
      </c>
      <c r="S788" s="3">
        <v>0.05</v>
      </c>
      <c r="T788" s="3">
        <v>2718.71</v>
      </c>
      <c r="U788" s="3">
        <v>2065.0500000000002</v>
      </c>
      <c r="V788" s="3">
        <v>653.66</v>
      </c>
      <c r="W788" s="3" t="s">
        <v>132</v>
      </c>
      <c r="X788" s="3" t="s">
        <v>133</v>
      </c>
      <c r="Y788" s="2" t="str">
        <f t="shared" si="105"/>
        <v>Unique</v>
      </c>
      <c r="AA788" s="2" t="str">
        <f t="shared" si="106"/>
        <v>Clean</v>
      </c>
      <c r="AB788" s="2" t="str">
        <f t="shared" si="107"/>
        <v>valid</v>
      </c>
      <c r="AC788">
        <f t="shared" si="108"/>
        <v>0.05</v>
      </c>
      <c r="AD788">
        <f t="shared" si="109"/>
        <v>2718.71</v>
      </c>
      <c r="AE788">
        <f t="shared" si="110"/>
        <v>653.65999999999985</v>
      </c>
      <c r="AF788">
        <f t="shared" si="111"/>
        <v>0.24043020403058799</v>
      </c>
      <c r="AG788" t="str">
        <f t="shared" si="112"/>
        <v>June</v>
      </c>
      <c r="AH788">
        <f t="shared" si="113"/>
        <v>2025</v>
      </c>
      <c r="AI788" t="str">
        <f t="shared" si="114"/>
        <v>Clean</v>
      </c>
    </row>
    <row r="789" spans="1:35" ht="15.75" customHeight="1">
      <c r="A789" s="3" t="s">
        <v>3617</v>
      </c>
      <c r="B789" s="3" t="s">
        <v>1323</v>
      </c>
      <c r="C789" s="3" t="s">
        <v>3618</v>
      </c>
      <c r="D789" s="3" t="str">
        <f t="shared" si="102"/>
        <v>18-Sep-2024</v>
      </c>
      <c r="E789" s="3" t="str">
        <f t="shared" si="103"/>
        <v>12-Sep-2024</v>
      </c>
      <c r="F789" s="3">
        <f t="shared" si="104"/>
        <v>6</v>
      </c>
      <c r="G789" s="3" t="s">
        <v>3619</v>
      </c>
      <c r="H789" s="3" t="s">
        <v>80</v>
      </c>
      <c r="I789" s="3" t="s">
        <v>123</v>
      </c>
      <c r="J789" s="3" t="s">
        <v>50</v>
      </c>
      <c r="K789" s="3" t="s">
        <v>194</v>
      </c>
      <c r="L789" s="3" t="s">
        <v>195</v>
      </c>
      <c r="M789" s="3" t="s">
        <v>38</v>
      </c>
      <c r="N789" s="3" t="s">
        <v>39</v>
      </c>
      <c r="O789" s="3" t="s">
        <v>3620</v>
      </c>
      <c r="P789" s="3" t="s">
        <v>41</v>
      </c>
      <c r="Q789" s="3">
        <v>2</v>
      </c>
      <c r="R789" s="3">
        <v>3718.77</v>
      </c>
      <c r="S789" s="3">
        <v>0.05</v>
      </c>
      <c r="T789" s="3">
        <v>7065.66</v>
      </c>
      <c r="U789" s="3">
        <v>4915.2700000000004</v>
      </c>
      <c r="V789" s="3">
        <v>2150.39</v>
      </c>
      <c r="W789" s="3" t="s">
        <v>42</v>
      </c>
      <c r="X789" s="3" t="s">
        <v>43</v>
      </c>
      <c r="Y789" s="2" t="str">
        <f t="shared" si="105"/>
        <v>Unique</v>
      </c>
      <c r="AA789" s="2" t="str">
        <f t="shared" si="106"/>
        <v>Clean</v>
      </c>
      <c r="AB789" s="2" t="str">
        <f t="shared" si="107"/>
        <v>valid</v>
      </c>
      <c r="AC789">
        <f t="shared" si="108"/>
        <v>0.05</v>
      </c>
      <c r="AD789">
        <f t="shared" si="109"/>
        <v>7065.6629999999996</v>
      </c>
      <c r="AE789">
        <f t="shared" si="110"/>
        <v>2150.3929999999991</v>
      </c>
      <c r="AF789">
        <f t="shared" si="111"/>
        <v>0.30434412170521002</v>
      </c>
      <c r="AG789" t="str">
        <f t="shared" si="112"/>
        <v>September</v>
      </c>
      <c r="AH789">
        <f t="shared" si="113"/>
        <v>2024</v>
      </c>
      <c r="AI789" t="str">
        <f t="shared" si="114"/>
        <v>Clean</v>
      </c>
    </row>
    <row r="790" spans="1:35" ht="15.75" customHeight="1">
      <c r="A790" s="3" t="s">
        <v>3621</v>
      </c>
      <c r="B790" s="3" t="s">
        <v>1298</v>
      </c>
      <c r="C790" s="3" t="s">
        <v>547</v>
      </c>
      <c r="D790" s="3" t="str">
        <f t="shared" si="102"/>
        <v>02-Aug-2024</v>
      </c>
      <c r="E790" s="3" t="str">
        <f t="shared" si="103"/>
        <v>01-Aug-2024</v>
      </c>
      <c r="F790" s="3">
        <f t="shared" si="104"/>
        <v>1</v>
      </c>
      <c r="G790" s="3" t="s">
        <v>3622</v>
      </c>
      <c r="H790" s="3" t="s">
        <v>61</v>
      </c>
      <c r="I790" s="3" t="s">
        <v>116</v>
      </c>
      <c r="J790" s="3" t="s">
        <v>35</v>
      </c>
      <c r="K790" s="3" t="s">
        <v>182</v>
      </c>
      <c r="L790" s="3" t="s">
        <v>183</v>
      </c>
      <c r="M790" s="3" t="s">
        <v>53</v>
      </c>
      <c r="N790" s="3" t="s">
        <v>84</v>
      </c>
      <c r="O790" s="3" t="s">
        <v>3623</v>
      </c>
      <c r="P790" s="3" t="s">
        <v>75</v>
      </c>
      <c r="Q790" s="3">
        <v>8</v>
      </c>
      <c r="R790" s="3">
        <v>2487.64</v>
      </c>
      <c r="S790" s="3">
        <v>0.1</v>
      </c>
      <c r="T790" s="3">
        <v>17911.009999999998</v>
      </c>
      <c r="U790" s="3">
        <v>11546.05</v>
      </c>
      <c r="V790" s="3">
        <v>6364.96</v>
      </c>
      <c r="W790" s="3" t="s">
        <v>208</v>
      </c>
      <c r="X790" s="3" t="s">
        <v>133</v>
      </c>
      <c r="Y790" s="2" t="str">
        <f t="shared" si="105"/>
        <v>Unique</v>
      </c>
      <c r="AA790" s="2" t="str">
        <f t="shared" si="106"/>
        <v>Clean</v>
      </c>
      <c r="AB790" s="2" t="str">
        <f t="shared" si="107"/>
        <v>valid</v>
      </c>
      <c r="AC790">
        <f t="shared" si="108"/>
        <v>0.1</v>
      </c>
      <c r="AD790">
        <f t="shared" si="109"/>
        <v>17911.007999999998</v>
      </c>
      <c r="AE790">
        <f t="shared" si="110"/>
        <v>6364.9579999999987</v>
      </c>
      <c r="AF790">
        <f t="shared" si="111"/>
        <v>0.35536570582738836</v>
      </c>
      <c r="AG790" t="str">
        <f t="shared" si="112"/>
        <v>August</v>
      </c>
      <c r="AH790">
        <f t="shared" si="113"/>
        <v>2024</v>
      </c>
      <c r="AI790" t="str">
        <f t="shared" si="114"/>
        <v>Warning</v>
      </c>
    </row>
    <row r="791" spans="1:35" ht="15.75" customHeight="1">
      <c r="A791" s="3" t="s">
        <v>3624</v>
      </c>
      <c r="B791" s="3" t="s">
        <v>3625</v>
      </c>
      <c r="C791" s="3" t="s">
        <v>2316</v>
      </c>
      <c r="D791" s="3" t="str">
        <f t="shared" si="102"/>
        <v>08-Mar-2025</v>
      </c>
      <c r="E791" s="3" t="str">
        <f t="shared" si="103"/>
        <v>07-Mar-2025</v>
      </c>
      <c r="F791" s="3">
        <f t="shared" si="104"/>
        <v>1</v>
      </c>
      <c r="G791" s="3" t="s">
        <v>3626</v>
      </c>
      <c r="H791" s="3" t="s">
        <v>150</v>
      </c>
      <c r="I791" s="3" t="s">
        <v>123</v>
      </c>
      <c r="J791" s="3" t="s">
        <v>280</v>
      </c>
      <c r="K791" s="3" t="s">
        <v>36</v>
      </c>
      <c r="L791" s="3" t="s">
        <v>143</v>
      </c>
      <c r="M791" s="3" t="s">
        <v>94</v>
      </c>
      <c r="N791" s="3" t="s">
        <v>102</v>
      </c>
      <c r="O791" s="3" t="s">
        <v>3627</v>
      </c>
      <c r="P791" s="3" t="s">
        <v>56</v>
      </c>
      <c r="Q791" s="3">
        <v>4</v>
      </c>
      <c r="R791" s="3">
        <v>3537.48</v>
      </c>
      <c r="S791" s="3">
        <v>0</v>
      </c>
      <c r="T791" s="3">
        <v>14149.92</v>
      </c>
      <c r="U791" s="3">
        <v>9466.51</v>
      </c>
      <c r="V791" s="3">
        <v>4683.41</v>
      </c>
      <c r="W791" s="3" t="s">
        <v>42</v>
      </c>
      <c r="X791" s="3" t="s">
        <v>43</v>
      </c>
      <c r="Y791" s="2" t="str">
        <f t="shared" si="105"/>
        <v>Unique</v>
      </c>
      <c r="AA791" s="2" t="str">
        <f t="shared" si="106"/>
        <v>Clean</v>
      </c>
      <c r="AB791" s="2" t="str">
        <f t="shared" si="107"/>
        <v>valid</v>
      </c>
      <c r="AC791">
        <f t="shared" si="108"/>
        <v>0</v>
      </c>
      <c r="AD791">
        <f t="shared" si="109"/>
        <v>14149.92</v>
      </c>
      <c r="AE791">
        <f t="shared" si="110"/>
        <v>4683.41</v>
      </c>
      <c r="AF791">
        <f t="shared" si="111"/>
        <v>0.33098491016203624</v>
      </c>
      <c r="AG791" t="str">
        <f t="shared" si="112"/>
        <v>March</v>
      </c>
      <c r="AH791">
        <f t="shared" si="113"/>
        <v>2025</v>
      </c>
      <c r="AI791" t="str">
        <f t="shared" si="114"/>
        <v>Clean</v>
      </c>
    </row>
    <row r="792" spans="1:35" ht="15.75" customHeight="1">
      <c r="A792" s="3" t="s">
        <v>3628</v>
      </c>
      <c r="B792" s="3" t="s">
        <v>3629</v>
      </c>
      <c r="C792" s="3" t="s">
        <v>3630</v>
      </c>
      <c r="D792" s="3" t="str">
        <f t="shared" si="102"/>
        <v>02-Jun-2024</v>
      </c>
      <c r="E792" s="3" t="str">
        <f t="shared" si="103"/>
        <v>31-May-2024</v>
      </c>
      <c r="F792" s="3">
        <f t="shared" si="104"/>
        <v>2</v>
      </c>
      <c r="G792" s="3" t="s">
        <v>3631</v>
      </c>
      <c r="H792" s="3" t="s">
        <v>156</v>
      </c>
      <c r="I792" s="3" t="s">
        <v>116</v>
      </c>
      <c r="J792" s="3" t="s">
        <v>70</v>
      </c>
      <c r="K792" s="3" t="s">
        <v>108</v>
      </c>
      <c r="L792" s="3" t="s">
        <v>109</v>
      </c>
      <c r="M792" s="3" t="s">
        <v>38</v>
      </c>
      <c r="N792" s="3" t="s">
        <v>62</v>
      </c>
      <c r="O792" s="3" t="s">
        <v>3632</v>
      </c>
      <c r="P792" s="3" t="s">
        <v>75</v>
      </c>
      <c r="Q792" s="3">
        <v>8</v>
      </c>
      <c r="R792" s="3">
        <v>667.59</v>
      </c>
      <c r="S792" s="3">
        <v>0.2</v>
      </c>
      <c r="T792" s="3">
        <v>4272.58</v>
      </c>
      <c r="U792" s="3">
        <v>3328.92</v>
      </c>
      <c r="V792" s="3">
        <v>943.66</v>
      </c>
      <c r="W792" s="3" t="s">
        <v>42</v>
      </c>
      <c r="X792" s="3" t="s">
        <v>43</v>
      </c>
      <c r="Y792" s="2" t="str">
        <f t="shared" si="105"/>
        <v>Unique</v>
      </c>
      <c r="AA792" s="2" t="str">
        <f t="shared" si="106"/>
        <v>Clean</v>
      </c>
      <c r="AB792" s="2" t="str">
        <f t="shared" si="107"/>
        <v>valid</v>
      </c>
      <c r="AC792">
        <f t="shared" si="108"/>
        <v>0.2</v>
      </c>
      <c r="AD792">
        <f t="shared" si="109"/>
        <v>4272.576</v>
      </c>
      <c r="AE792">
        <f t="shared" si="110"/>
        <v>943.65599999999995</v>
      </c>
      <c r="AF792">
        <f t="shared" si="111"/>
        <v>0.22086347908147214</v>
      </c>
      <c r="AG792" t="str">
        <f t="shared" si="112"/>
        <v>May</v>
      </c>
      <c r="AH792">
        <f t="shared" si="113"/>
        <v>2024</v>
      </c>
      <c r="AI792" t="str">
        <f t="shared" si="114"/>
        <v>Clean</v>
      </c>
    </row>
    <row r="793" spans="1:35" ht="15.75" customHeight="1">
      <c r="A793" s="3" t="s">
        <v>3633</v>
      </c>
      <c r="B793" s="3" t="s">
        <v>3002</v>
      </c>
      <c r="C793" s="3" t="s">
        <v>3634</v>
      </c>
      <c r="D793" s="3" t="str">
        <f t="shared" si="102"/>
        <v>06-Oct-2024</v>
      </c>
      <c r="E793" s="3" t="str">
        <f t="shared" si="103"/>
        <v>02-Oct-2024</v>
      </c>
      <c r="F793" s="3">
        <f t="shared" si="104"/>
        <v>4</v>
      </c>
      <c r="G793" s="3" t="s">
        <v>3635</v>
      </c>
      <c r="H793" s="3" t="s">
        <v>156</v>
      </c>
      <c r="I793" s="3" t="s">
        <v>123</v>
      </c>
      <c r="J793" s="3" t="s">
        <v>70</v>
      </c>
      <c r="K793" s="3" t="s">
        <v>237</v>
      </c>
      <c r="L793" s="3" t="s">
        <v>238</v>
      </c>
      <c r="M793" s="3" t="s">
        <v>53</v>
      </c>
      <c r="N793" s="3" t="s">
        <v>212</v>
      </c>
      <c r="O793" s="3" t="s">
        <v>3636</v>
      </c>
      <c r="P793" s="3" t="s">
        <v>56</v>
      </c>
      <c r="Q793" s="3">
        <v>8</v>
      </c>
      <c r="R793" s="3">
        <v>1558.77</v>
      </c>
      <c r="S793" s="3">
        <v>0.25</v>
      </c>
      <c r="T793" s="3">
        <v>9352.6200000000008</v>
      </c>
      <c r="U793" s="3">
        <v>5269.41</v>
      </c>
      <c r="V793" s="3">
        <v>4083.21</v>
      </c>
      <c r="W793" s="3" t="s">
        <v>42</v>
      </c>
      <c r="X793" s="3" t="s">
        <v>43</v>
      </c>
      <c r="Y793" s="2" t="str">
        <f t="shared" si="105"/>
        <v>Unique</v>
      </c>
      <c r="AA793" s="2" t="str">
        <f t="shared" si="106"/>
        <v>Clean</v>
      </c>
      <c r="AB793" s="2" t="str">
        <f t="shared" si="107"/>
        <v>valid</v>
      </c>
      <c r="AC793">
        <f t="shared" si="108"/>
        <v>0.25</v>
      </c>
      <c r="AD793">
        <f t="shared" si="109"/>
        <v>9352.619999999999</v>
      </c>
      <c r="AE793">
        <f t="shared" si="110"/>
        <v>4083.2099999999991</v>
      </c>
      <c r="AF793">
        <f t="shared" si="111"/>
        <v>0.43658461479243243</v>
      </c>
      <c r="AG793" t="str">
        <f t="shared" si="112"/>
        <v>October</v>
      </c>
      <c r="AH793">
        <f t="shared" si="113"/>
        <v>2024</v>
      </c>
      <c r="AI793" t="str">
        <f t="shared" si="114"/>
        <v>Clean</v>
      </c>
    </row>
    <row r="794" spans="1:35" ht="15.75" customHeight="1">
      <c r="A794" s="3" t="s">
        <v>3637</v>
      </c>
      <c r="B794" s="3" t="s">
        <v>1230</v>
      </c>
      <c r="C794" s="3" t="s">
        <v>3638</v>
      </c>
      <c r="D794" s="3" t="str">
        <f t="shared" si="102"/>
        <v>08-Jun-2025</v>
      </c>
      <c r="E794" s="3" t="str">
        <f t="shared" si="103"/>
        <v>04-Jun-2025</v>
      </c>
      <c r="F794" s="3">
        <f t="shared" si="104"/>
        <v>4</v>
      </c>
      <c r="G794" s="3" t="s">
        <v>3639</v>
      </c>
      <c r="H794" s="3" t="s">
        <v>69</v>
      </c>
      <c r="I794" s="3" t="s">
        <v>49</v>
      </c>
      <c r="J794" s="3" t="s">
        <v>50</v>
      </c>
      <c r="K794" s="3" t="s">
        <v>224</v>
      </c>
      <c r="L794" s="3" t="s">
        <v>225</v>
      </c>
      <c r="M794" s="3" t="s">
        <v>53</v>
      </c>
      <c r="N794" s="3" t="s">
        <v>73</v>
      </c>
      <c r="O794" s="3" t="s">
        <v>3640</v>
      </c>
      <c r="P794" s="3" t="s">
        <v>41</v>
      </c>
      <c r="Q794" s="3">
        <v>1</v>
      </c>
      <c r="R794" s="3">
        <v>3501.12</v>
      </c>
      <c r="S794" s="3">
        <v>0.2</v>
      </c>
      <c r="T794" s="3">
        <v>2800.9</v>
      </c>
      <c r="U794" s="3">
        <v>1735.98</v>
      </c>
      <c r="V794" s="3">
        <v>1064.92</v>
      </c>
      <c r="W794" s="3" t="s">
        <v>42</v>
      </c>
      <c r="X794" s="3" t="s">
        <v>133</v>
      </c>
      <c r="Y794" s="2" t="str">
        <f t="shared" si="105"/>
        <v>Unique</v>
      </c>
      <c r="AA794" s="2" t="str">
        <f t="shared" si="106"/>
        <v>Clean</v>
      </c>
      <c r="AB794" s="2" t="str">
        <f t="shared" si="107"/>
        <v>valid</v>
      </c>
      <c r="AC794">
        <f t="shared" si="108"/>
        <v>0.2</v>
      </c>
      <c r="AD794">
        <f t="shared" si="109"/>
        <v>2800.8960000000002</v>
      </c>
      <c r="AE794">
        <f t="shared" si="110"/>
        <v>1064.9160000000002</v>
      </c>
      <c r="AF794">
        <f t="shared" si="111"/>
        <v>0.38020547710446945</v>
      </c>
      <c r="AG794" t="str">
        <f t="shared" si="112"/>
        <v>June</v>
      </c>
      <c r="AH794">
        <f t="shared" si="113"/>
        <v>2025</v>
      </c>
      <c r="AI794" t="str">
        <f t="shared" si="114"/>
        <v>Clean</v>
      </c>
    </row>
    <row r="795" spans="1:35" ht="15.75" customHeight="1">
      <c r="A795" s="3" t="s">
        <v>3641</v>
      </c>
      <c r="B795" s="3" t="s">
        <v>89</v>
      </c>
      <c r="C795" s="3" t="s">
        <v>3642</v>
      </c>
      <c r="D795" s="3" t="str">
        <f t="shared" si="102"/>
        <v>03-Jun-2024</v>
      </c>
      <c r="E795" s="3" t="str">
        <f t="shared" si="103"/>
        <v>28-May-2024</v>
      </c>
      <c r="F795" s="3">
        <f t="shared" si="104"/>
        <v>6</v>
      </c>
      <c r="G795" s="3" t="s">
        <v>3643</v>
      </c>
      <c r="H795" s="3" t="s">
        <v>91</v>
      </c>
      <c r="I795" s="3" t="s">
        <v>116</v>
      </c>
      <c r="J795" s="3" t="s">
        <v>35</v>
      </c>
      <c r="K795" s="3" t="s">
        <v>36</v>
      </c>
      <c r="L795" s="3" t="s">
        <v>37</v>
      </c>
      <c r="M795" s="3" t="s">
        <v>94</v>
      </c>
      <c r="N795" s="3" t="s">
        <v>102</v>
      </c>
      <c r="O795" s="3" t="s">
        <v>3644</v>
      </c>
      <c r="P795" s="3" t="s">
        <v>41</v>
      </c>
      <c r="Q795" s="3">
        <v>5</v>
      </c>
      <c r="R795" s="3">
        <v>4302.32</v>
      </c>
      <c r="S795" s="3">
        <v>0</v>
      </c>
      <c r="T795" s="3">
        <v>21511.599999999999</v>
      </c>
      <c r="U795" s="3">
        <v>15408.47</v>
      </c>
      <c r="V795" s="3">
        <v>6103.13</v>
      </c>
      <c r="W795" s="3" t="s">
        <v>42</v>
      </c>
      <c r="X795" s="3" t="s">
        <v>43</v>
      </c>
      <c r="Y795" s="2" t="str">
        <f t="shared" si="105"/>
        <v>Unique</v>
      </c>
      <c r="AA795" s="2" t="str">
        <f t="shared" si="106"/>
        <v>Clean</v>
      </c>
      <c r="AB795" s="2" t="str">
        <f t="shared" si="107"/>
        <v>valid</v>
      </c>
      <c r="AC795">
        <f t="shared" si="108"/>
        <v>0</v>
      </c>
      <c r="AD795">
        <f t="shared" si="109"/>
        <v>21511.599999999999</v>
      </c>
      <c r="AE795">
        <f t="shared" si="110"/>
        <v>6103.1299999999992</v>
      </c>
      <c r="AF795">
        <f t="shared" si="111"/>
        <v>0.28371343833094703</v>
      </c>
      <c r="AG795" t="str">
        <f t="shared" si="112"/>
        <v>May</v>
      </c>
      <c r="AH795">
        <f t="shared" si="113"/>
        <v>2024</v>
      </c>
      <c r="AI795" t="str">
        <f t="shared" si="114"/>
        <v>Clean</v>
      </c>
    </row>
    <row r="796" spans="1:35" ht="15.75" customHeight="1">
      <c r="A796" s="3" t="s">
        <v>3645</v>
      </c>
      <c r="B796" s="3" t="s">
        <v>3646</v>
      </c>
      <c r="C796" s="3" t="s">
        <v>1001</v>
      </c>
      <c r="D796" s="3" t="str">
        <f t="shared" si="102"/>
        <v>24-Jun-2025</v>
      </c>
      <c r="E796" s="3" t="str">
        <f t="shared" si="103"/>
        <v>22-Jun-2025</v>
      </c>
      <c r="F796" s="3">
        <f t="shared" si="104"/>
        <v>2</v>
      </c>
      <c r="G796" s="3" t="s">
        <v>3647</v>
      </c>
      <c r="H796" s="3" t="s">
        <v>176</v>
      </c>
      <c r="I796" s="3" t="s">
        <v>116</v>
      </c>
      <c r="J796" s="3" t="s">
        <v>50</v>
      </c>
      <c r="K796" s="3" t="s">
        <v>224</v>
      </c>
      <c r="L796" s="3" t="s">
        <v>225</v>
      </c>
      <c r="M796" s="3" t="s">
        <v>38</v>
      </c>
      <c r="N796" s="3" t="s">
        <v>39</v>
      </c>
      <c r="O796" s="3" t="s">
        <v>3648</v>
      </c>
      <c r="P796" s="3" t="s">
        <v>75</v>
      </c>
      <c r="Q796" s="3">
        <v>9</v>
      </c>
      <c r="R796" s="3">
        <v>951.55</v>
      </c>
      <c r="S796" s="3">
        <v>0.15</v>
      </c>
      <c r="T796" s="3">
        <v>7279.36</v>
      </c>
      <c r="U796" s="3">
        <v>4870.3900000000003</v>
      </c>
      <c r="V796" s="3">
        <v>2408.9699999999998</v>
      </c>
      <c r="W796" s="3" t="s">
        <v>42</v>
      </c>
      <c r="X796" s="3" t="s">
        <v>43</v>
      </c>
      <c r="Y796" s="2" t="str">
        <f t="shared" si="105"/>
        <v>Unique</v>
      </c>
      <c r="AA796" s="2" t="str">
        <f t="shared" si="106"/>
        <v>Clean</v>
      </c>
      <c r="AB796" s="2" t="str">
        <f t="shared" si="107"/>
        <v>valid</v>
      </c>
      <c r="AC796">
        <f t="shared" si="108"/>
        <v>0.15</v>
      </c>
      <c r="AD796">
        <f t="shared" si="109"/>
        <v>7279.3574999999992</v>
      </c>
      <c r="AE796">
        <f t="shared" si="110"/>
        <v>2408.9674999999988</v>
      </c>
      <c r="AF796">
        <f t="shared" si="111"/>
        <v>0.33093133562955235</v>
      </c>
      <c r="AG796" t="str">
        <f t="shared" si="112"/>
        <v>June</v>
      </c>
      <c r="AH796">
        <f t="shared" si="113"/>
        <v>2025</v>
      </c>
      <c r="AI796" t="str">
        <f t="shared" si="114"/>
        <v>Clean</v>
      </c>
    </row>
    <row r="797" spans="1:35" ht="15.75" customHeight="1">
      <c r="A797" s="3" t="s">
        <v>3649</v>
      </c>
      <c r="B797" s="3" t="s">
        <v>3650</v>
      </c>
      <c r="C797" s="3" t="s">
        <v>538</v>
      </c>
      <c r="D797" s="3" t="str">
        <f t="shared" si="102"/>
        <v>30-Jul-2024</v>
      </c>
      <c r="E797" s="3" t="str">
        <f t="shared" si="103"/>
        <v>30-Jul-2024</v>
      </c>
      <c r="F797" s="3">
        <f t="shared" si="104"/>
        <v>0</v>
      </c>
      <c r="G797" s="3" t="s">
        <v>3651</v>
      </c>
      <c r="H797" s="3" t="s">
        <v>218</v>
      </c>
      <c r="I797" s="3" t="s">
        <v>123</v>
      </c>
      <c r="J797" s="3" t="s">
        <v>50</v>
      </c>
      <c r="K797" s="3" t="s">
        <v>51</v>
      </c>
      <c r="L797" s="3" t="s">
        <v>52</v>
      </c>
      <c r="M797" s="3" t="s">
        <v>94</v>
      </c>
      <c r="N797" s="3" t="s">
        <v>102</v>
      </c>
      <c r="O797" s="3" t="s">
        <v>3652</v>
      </c>
      <c r="P797" s="3" t="s">
        <v>56</v>
      </c>
      <c r="Q797" s="3">
        <v>9</v>
      </c>
      <c r="R797" s="3">
        <v>2894.66</v>
      </c>
      <c r="S797" s="3">
        <v>0</v>
      </c>
      <c r="T797" s="3">
        <v>26051.94</v>
      </c>
      <c r="U797" s="3">
        <v>16883.59</v>
      </c>
      <c r="V797" s="3">
        <v>9168.35</v>
      </c>
      <c r="W797" s="3" t="s">
        <v>132</v>
      </c>
      <c r="X797" s="3" t="s">
        <v>86</v>
      </c>
      <c r="Y797" s="2" t="str">
        <f t="shared" si="105"/>
        <v>Unique</v>
      </c>
      <c r="AA797" s="2" t="str">
        <f t="shared" si="106"/>
        <v>Clean</v>
      </c>
      <c r="AB797" s="2" t="str">
        <f t="shared" si="107"/>
        <v>valid</v>
      </c>
      <c r="AC797">
        <f t="shared" si="108"/>
        <v>0</v>
      </c>
      <c r="AD797">
        <f t="shared" si="109"/>
        <v>26051.94</v>
      </c>
      <c r="AE797">
        <f t="shared" si="110"/>
        <v>9168.3499999999985</v>
      </c>
      <c r="AF797">
        <f t="shared" si="111"/>
        <v>0.3519258066769691</v>
      </c>
      <c r="AG797" t="str">
        <f t="shared" si="112"/>
        <v>July</v>
      </c>
      <c r="AH797">
        <f t="shared" si="113"/>
        <v>2024</v>
      </c>
      <c r="AI797" t="str">
        <f t="shared" si="114"/>
        <v>Warning</v>
      </c>
    </row>
    <row r="798" spans="1:35" ht="15.75" customHeight="1">
      <c r="A798" s="3" t="s">
        <v>3653</v>
      </c>
      <c r="B798" s="3" t="s">
        <v>804</v>
      </c>
      <c r="C798" s="3" t="s">
        <v>3654</v>
      </c>
      <c r="D798" s="3" t="str">
        <f t="shared" si="102"/>
        <v>30-Mar-2024</v>
      </c>
      <c r="E798" s="3" t="str">
        <f t="shared" si="103"/>
        <v>23-Mar-2024</v>
      </c>
      <c r="F798" s="3">
        <f t="shared" si="104"/>
        <v>7</v>
      </c>
      <c r="G798" s="3" t="s">
        <v>3655</v>
      </c>
      <c r="H798" s="3" t="s">
        <v>188</v>
      </c>
      <c r="I798" s="3" t="s">
        <v>49</v>
      </c>
      <c r="J798" s="3" t="s">
        <v>70</v>
      </c>
      <c r="K798" s="3" t="s">
        <v>108</v>
      </c>
      <c r="L798" s="3" t="s">
        <v>109</v>
      </c>
      <c r="M798" s="3" t="s">
        <v>94</v>
      </c>
      <c r="N798" s="3" t="s">
        <v>391</v>
      </c>
      <c r="O798" s="3" t="s">
        <v>3656</v>
      </c>
      <c r="P798" s="3" t="s">
        <v>64</v>
      </c>
      <c r="Q798" s="3">
        <v>6</v>
      </c>
      <c r="R798" s="3">
        <v>1894.44</v>
      </c>
      <c r="S798" s="3">
        <v>0.15</v>
      </c>
      <c r="T798" s="3">
        <v>9661.64</v>
      </c>
      <c r="U798" s="3">
        <v>6303.77</v>
      </c>
      <c r="V798" s="3">
        <v>3357.87</v>
      </c>
      <c r="W798" s="3" t="s">
        <v>42</v>
      </c>
      <c r="X798" s="3" t="s">
        <v>43</v>
      </c>
      <c r="Y798" s="2" t="str">
        <f t="shared" si="105"/>
        <v>Unique</v>
      </c>
      <c r="AA798" s="2" t="str">
        <f t="shared" si="106"/>
        <v>Clean</v>
      </c>
      <c r="AB798" s="2" t="str">
        <f t="shared" si="107"/>
        <v>valid</v>
      </c>
      <c r="AC798">
        <f t="shared" si="108"/>
        <v>0.15</v>
      </c>
      <c r="AD798">
        <f t="shared" si="109"/>
        <v>9661.6439999999984</v>
      </c>
      <c r="AE798">
        <f t="shared" si="110"/>
        <v>3357.873999999998</v>
      </c>
      <c r="AF798">
        <f t="shared" si="111"/>
        <v>0.34754685641491223</v>
      </c>
      <c r="AG798" t="str">
        <f t="shared" si="112"/>
        <v>March</v>
      </c>
      <c r="AH798">
        <f t="shared" si="113"/>
        <v>2024</v>
      </c>
      <c r="AI798" t="str">
        <f t="shared" si="114"/>
        <v>Clean</v>
      </c>
    </row>
    <row r="799" spans="1:35" ht="15.75" customHeight="1">
      <c r="A799" s="3" t="s">
        <v>3657</v>
      </c>
      <c r="B799" s="3" t="s">
        <v>3658</v>
      </c>
      <c r="C799" s="3" t="s">
        <v>3570</v>
      </c>
      <c r="D799" s="3" t="str">
        <f t="shared" si="102"/>
        <v>22-Apr-2024</v>
      </c>
      <c r="E799" s="3" t="str">
        <f t="shared" si="103"/>
        <v>18-Apr-2024</v>
      </c>
      <c r="F799" s="3">
        <f t="shared" si="104"/>
        <v>4</v>
      </c>
      <c r="G799" s="3" t="s">
        <v>3659</v>
      </c>
      <c r="H799" s="3" t="s">
        <v>170</v>
      </c>
      <c r="I799" s="3" t="s">
        <v>34</v>
      </c>
      <c r="J799" s="3" t="s">
        <v>50</v>
      </c>
      <c r="K799" s="3" t="s">
        <v>51</v>
      </c>
      <c r="L799" s="3" t="s">
        <v>52</v>
      </c>
      <c r="M799" s="3" t="s">
        <v>38</v>
      </c>
      <c r="N799" s="3" t="s">
        <v>206</v>
      </c>
      <c r="O799" s="3" t="s">
        <v>3660</v>
      </c>
      <c r="P799" s="3" t="s">
        <v>64</v>
      </c>
      <c r="Q799" s="3">
        <v>8</v>
      </c>
      <c r="R799" s="3">
        <v>1714.37</v>
      </c>
      <c r="S799" s="3">
        <v>0</v>
      </c>
      <c r="T799" s="3">
        <v>13714.96</v>
      </c>
      <c r="U799" s="3">
        <v>10550.47</v>
      </c>
      <c r="V799" s="3">
        <v>3164.49</v>
      </c>
      <c r="W799" s="3" t="s">
        <v>208</v>
      </c>
      <c r="X799" s="3" t="s">
        <v>86</v>
      </c>
      <c r="Y799" s="2" t="str">
        <f t="shared" si="105"/>
        <v>Unique</v>
      </c>
      <c r="AA799" s="2" t="str">
        <f t="shared" si="106"/>
        <v>Clean</v>
      </c>
      <c r="AB799" s="2" t="str">
        <f t="shared" si="107"/>
        <v>valid</v>
      </c>
      <c r="AC799">
        <f t="shared" si="108"/>
        <v>0</v>
      </c>
      <c r="AD799">
        <f t="shared" si="109"/>
        <v>13714.96</v>
      </c>
      <c r="AE799">
        <f t="shared" si="110"/>
        <v>3164.49</v>
      </c>
      <c r="AF799">
        <f t="shared" si="111"/>
        <v>0.23073271814135804</v>
      </c>
      <c r="AG799" t="str">
        <f t="shared" si="112"/>
        <v>April</v>
      </c>
      <c r="AH799">
        <f t="shared" si="113"/>
        <v>2024</v>
      </c>
      <c r="AI799" t="str">
        <f t="shared" si="114"/>
        <v>Warning</v>
      </c>
    </row>
    <row r="800" spans="1:35" ht="15.75" customHeight="1">
      <c r="A800" s="3" t="s">
        <v>3661</v>
      </c>
      <c r="B800" s="3" t="s">
        <v>3662</v>
      </c>
      <c r="C800" s="3" t="s">
        <v>3663</v>
      </c>
      <c r="D800" s="3" t="str">
        <f t="shared" si="102"/>
        <v>09-Jul-2025</v>
      </c>
      <c r="E800" s="3" t="str">
        <f t="shared" si="103"/>
        <v>11-Jul-2025</v>
      </c>
      <c r="F800" s="3">
        <f t="shared" si="104"/>
        <v>-2</v>
      </c>
      <c r="G800" s="3" t="s">
        <v>3664</v>
      </c>
      <c r="H800" s="3" t="s">
        <v>115</v>
      </c>
      <c r="I800" s="3" t="s">
        <v>116</v>
      </c>
      <c r="J800" s="3" t="s">
        <v>35</v>
      </c>
      <c r="K800" s="3" t="s">
        <v>515</v>
      </c>
      <c r="L800" s="3" t="s">
        <v>516</v>
      </c>
      <c r="M800" s="3" t="s">
        <v>53</v>
      </c>
      <c r="N800" s="3" t="s">
        <v>73</v>
      </c>
      <c r="O800" s="3" t="s">
        <v>3665</v>
      </c>
      <c r="P800" s="3" t="s">
        <v>75</v>
      </c>
      <c r="Q800" s="3">
        <v>9</v>
      </c>
      <c r="R800" s="3">
        <v>1706.05</v>
      </c>
      <c r="S800" s="3">
        <v>0</v>
      </c>
      <c r="T800" s="3">
        <v>15354.45</v>
      </c>
      <c r="U800" s="3">
        <v>9656.5</v>
      </c>
      <c r="V800" s="3">
        <v>5697.95</v>
      </c>
      <c r="W800" s="3" t="s">
        <v>42</v>
      </c>
      <c r="X800" s="3" t="s">
        <v>43</v>
      </c>
      <c r="Y800" s="2" t="str">
        <f t="shared" si="105"/>
        <v>Unique</v>
      </c>
      <c r="AA800" s="2" t="str">
        <f t="shared" si="106"/>
        <v>Clean</v>
      </c>
      <c r="AB800" s="2" t="str">
        <f t="shared" si="107"/>
        <v>Invalid</v>
      </c>
      <c r="AC800">
        <f t="shared" si="108"/>
        <v>0</v>
      </c>
      <c r="AD800">
        <f t="shared" si="109"/>
        <v>15354.449999999999</v>
      </c>
      <c r="AE800">
        <f t="shared" si="110"/>
        <v>5697.9499999999989</v>
      </c>
      <c r="AF800">
        <f t="shared" si="111"/>
        <v>0.37109437329243311</v>
      </c>
      <c r="AG800" t="str">
        <f t="shared" si="112"/>
        <v>July</v>
      </c>
      <c r="AH800">
        <f t="shared" si="113"/>
        <v>2025</v>
      </c>
      <c r="AI800" t="str">
        <f t="shared" si="114"/>
        <v>Clean</v>
      </c>
    </row>
    <row r="801" spans="1:35" ht="15.75" customHeight="1">
      <c r="A801" s="3" t="s">
        <v>3666</v>
      </c>
      <c r="B801" s="3" t="s">
        <v>3354</v>
      </c>
      <c r="C801" s="3" t="s">
        <v>2533</v>
      </c>
      <c r="D801" s="3" t="str">
        <f t="shared" si="102"/>
        <v>17-Oct-2024</v>
      </c>
      <c r="E801" s="3" t="str">
        <f t="shared" si="103"/>
        <v>10-Oct-2024</v>
      </c>
      <c r="F801" s="3">
        <f t="shared" si="104"/>
        <v>7</v>
      </c>
      <c r="G801" s="3" t="s">
        <v>3667</v>
      </c>
      <c r="H801" s="3" t="s">
        <v>61</v>
      </c>
      <c r="I801" s="3" t="s">
        <v>123</v>
      </c>
      <c r="J801" s="3" t="s">
        <v>35</v>
      </c>
      <c r="K801" s="3" t="s">
        <v>331</v>
      </c>
      <c r="L801" s="3" t="s">
        <v>332</v>
      </c>
      <c r="M801" s="3" t="s">
        <v>94</v>
      </c>
      <c r="N801" s="3" t="s">
        <v>95</v>
      </c>
      <c r="O801" s="3" t="s">
        <v>3668</v>
      </c>
      <c r="P801" s="3" t="s">
        <v>280</v>
      </c>
      <c r="Q801" s="3">
        <v>5</v>
      </c>
      <c r="R801" s="3">
        <v>967.41</v>
      </c>
      <c r="S801" s="3">
        <v>0.05</v>
      </c>
      <c r="T801" s="3">
        <v>4595.2</v>
      </c>
      <c r="U801" s="3">
        <v>3887.41</v>
      </c>
      <c r="V801" s="3">
        <v>707.79</v>
      </c>
      <c r="W801" s="3" t="s">
        <v>42</v>
      </c>
      <c r="X801" s="3" t="s">
        <v>133</v>
      </c>
      <c r="Y801" s="2" t="str">
        <f t="shared" si="105"/>
        <v>Unique</v>
      </c>
      <c r="AA801" s="2" t="str">
        <f t="shared" si="106"/>
        <v>Clean</v>
      </c>
      <c r="AB801" s="2" t="str">
        <f t="shared" si="107"/>
        <v>valid</v>
      </c>
      <c r="AC801">
        <f t="shared" si="108"/>
        <v>0.05</v>
      </c>
      <c r="AD801">
        <f t="shared" si="109"/>
        <v>4595.1975000000002</v>
      </c>
      <c r="AE801">
        <f t="shared" si="110"/>
        <v>707.78750000000036</v>
      </c>
      <c r="AF801">
        <f t="shared" si="111"/>
        <v>0.15402765604742785</v>
      </c>
      <c r="AG801" t="str">
        <f t="shared" si="112"/>
        <v>October</v>
      </c>
      <c r="AH801">
        <f t="shared" si="113"/>
        <v>2024</v>
      </c>
      <c r="AI801" t="str">
        <f t="shared" si="114"/>
        <v>Clean</v>
      </c>
    </row>
    <row r="802" spans="1:35" ht="15.75" customHeight="1">
      <c r="A802" s="3" t="s">
        <v>3669</v>
      </c>
      <c r="B802" s="3" t="s">
        <v>3670</v>
      </c>
      <c r="C802" s="3" t="s">
        <v>3671</v>
      </c>
      <c r="D802" s="3" t="str">
        <f t="shared" si="102"/>
        <v>07-Mar-2024</v>
      </c>
      <c r="E802" s="3" t="str">
        <f t="shared" si="103"/>
        <v>01-Mar-2024</v>
      </c>
      <c r="F802" s="3">
        <f t="shared" si="104"/>
        <v>6</v>
      </c>
      <c r="G802" s="3" t="s">
        <v>3672</v>
      </c>
      <c r="H802" s="3" t="s">
        <v>91</v>
      </c>
      <c r="I802" s="3" t="s">
        <v>49</v>
      </c>
      <c r="J802" s="3" t="s">
        <v>81</v>
      </c>
      <c r="K802" s="3" t="s">
        <v>82</v>
      </c>
      <c r="L802" s="3" t="s">
        <v>83</v>
      </c>
      <c r="M802" s="3" t="s">
        <v>38</v>
      </c>
      <c r="N802" s="3" t="s">
        <v>164</v>
      </c>
      <c r="O802" s="3" t="s">
        <v>3673</v>
      </c>
      <c r="P802" s="3" t="s">
        <v>41</v>
      </c>
      <c r="Q802" s="3">
        <v>6</v>
      </c>
      <c r="R802" s="3">
        <v>4163.72</v>
      </c>
      <c r="S802" s="3">
        <v>0.15</v>
      </c>
      <c r="T802" s="3">
        <v>21234.97</v>
      </c>
      <c r="U802" s="3">
        <v>16736.09</v>
      </c>
      <c r="V802" s="3">
        <v>4498.88</v>
      </c>
      <c r="W802" s="3" t="s">
        <v>42</v>
      </c>
      <c r="X802" s="3" t="s">
        <v>43</v>
      </c>
      <c r="Y802" s="2" t="str">
        <f t="shared" si="105"/>
        <v>Unique</v>
      </c>
      <c r="AA802" s="2" t="str">
        <f t="shared" si="106"/>
        <v>Clean</v>
      </c>
      <c r="AB802" s="2" t="str">
        <f t="shared" si="107"/>
        <v>valid</v>
      </c>
      <c r="AC802">
        <f t="shared" si="108"/>
        <v>0.15</v>
      </c>
      <c r="AD802">
        <f t="shared" si="109"/>
        <v>21234.971999999998</v>
      </c>
      <c r="AE802">
        <f t="shared" si="110"/>
        <v>4498.8819999999978</v>
      </c>
      <c r="AF802">
        <f t="shared" si="111"/>
        <v>0.21186192286950029</v>
      </c>
      <c r="AG802" t="str">
        <f t="shared" si="112"/>
        <v>March</v>
      </c>
      <c r="AH802">
        <f t="shared" si="113"/>
        <v>2024</v>
      </c>
      <c r="AI802" t="str">
        <f t="shared" si="114"/>
        <v>Clean</v>
      </c>
    </row>
    <row r="803" spans="1:35" ht="15.75" customHeight="1">
      <c r="A803" s="3" t="s">
        <v>3674</v>
      </c>
      <c r="B803" s="3" t="s">
        <v>3675</v>
      </c>
      <c r="C803" s="3" t="s">
        <v>317</v>
      </c>
      <c r="D803" s="3" t="str">
        <f t="shared" si="102"/>
        <v>15-Oct-2025</v>
      </c>
      <c r="E803" s="3" t="str">
        <f t="shared" si="103"/>
        <v>08-Oct-2025</v>
      </c>
      <c r="F803" s="3">
        <f t="shared" si="104"/>
        <v>7</v>
      </c>
      <c r="G803" s="3" t="s">
        <v>3676</v>
      </c>
      <c r="H803" s="3" t="s">
        <v>170</v>
      </c>
      <c r="I803" s="3" t="s">
        <v>123</v>
      </c>
      <c r="J803" s="3" t="s">
        <v>50</v>
      </c>
      <c r="K803" s="3" t="s">
        <v>51</v>
      </c>
      <c r="L803" s="3" t="s">
        <v>52</v>
      </c>
      <c r="M803" s="3" t="s">
        <v>94</v>
      </c>
      <c r="N803" s="3" t="s">
        <v>95</v>
      </c>
      <c r="O803" s="3" t="s">
        <v>3677</v>
      </c>
      <c r="P803" s="3" t="s">
        <v>41</v>
      </c>
      <c r="Q803" s="3">
        <v>3</v>
      </c>
      <c r="R803" s="3">
        <v>3372.21</v>
      </c>
      <c r="S803" s="3">
        <v>0.2</v>
      </c>
      <c r="T803" s="3">
        <v>8093.3</v>
      </c>
      <c r="U803" s="3">
        <v>6052.43</v>
      </c>
      <c r="V803" s="3">
        <v>2040.87</v>
      </c>
      <c r="W803" s="3" t="s">
        <v>145</v>
      </c>
      <c r="X803" s="3" t="s">
        <v>86</v>
      </c>
      <c r="Y803" s="2" t="str">
        <f t="shared" si="105"/>
        <v>Unique</v>
      </c>
      <c r="AA803" s="2" t="str">
        <f t="shared" si="106"/>
        <v>Clean</v>
      </c>
      <c r="AB803" s="2" t="str">
        <f t="shared" si="107"/>
        <v>valid</v>
      </c>
      <c r="AC803">
        <f t="shared" si="108"/>
        <v>0.2</v>
      </c>
      <c r="AD803">
        <f t="shared" si="109"/>
        <v>8093.304000000001</v>
      </c>
      <c r="AE803">
        <f t="shared" si="110"/>
        <v>2040.8740000000007</v>
      </c>
      <c r="AF803">
        <f t="shared" si="111"/>
        <v>0.25216821214179036</v>
      </c>
      <c r="AG803" t="str">
        <f t="shared" si="112"/>
        <v>October</v>
      </c>
      <c r="AH803">
        <f t="shared" si="113"/>
        <v>2025</v>
      </c>
      <c r="AI803" t="str">
        <f t="shared" si="114"/>
        <v>Warning</v>
      </c>
    </row>
    <row r="804" spans="1:35" ht="15.75" customHeight="1">
      <c r="A804" s="3" t="s">
        <v>3678</v>
      </c>
      <c r="B804" s="3" t="s">
        <v>3160</v>
      </c>
      <c r="C804" s="3" t="s">
        <v>3679</v>
      </c>
      <c r="D804" s="3" t="str">
        <f t="shared" si="102"/>
        <v>16-Feb-2025</v>
      </c>
      <c r="E804" s="3" t="str">
        <f t="shared" si="103"/>
        <v>16-Feb-2025</v>
      </c>
      <c r="F804" s="3">
        <f t="shared" si="104"/>
        <v>0</v>
      </c>
      <c r="G804" s="3" t="s">
        <v>3680</v>
      </c>
      <c r="H804" s="3" t="s">
        <v>188</v>
      </c>
      <c r="I804" s="3" t="s">
        <v>49</v>
      </c>
      <c r="J804" s="3" t="s">
        <v>50</v>
      </c>
      <c r="K804" s="3" t="s">
        <v>224</v>
      </c>
      <c r="L804" s="3" t="s">
        <v>225</v>
      </c>
      <c r="M804" s="3" t="s">
        <v>53</v>
      </c>
      <c r="N804" s="3" t="s">
        <v>73</v>
      </c>
      <c r="O804" s="3" t="s">
        <v>3681</v>
      </c>
      <c r="P804" s="3" t="s">
        <v>41</v>
      </c>
      <c r="Q804" s="3">
        <v>6</v>
      </c>
      <c r="R804" s="3">
        <v>1441.91</v>
      </c>
      <c r="S804" s="3">
        <v>0</v>
      </c>
      <c r="T804" s="3">
        <v>8651.4599999999991</v>
      </c>
      <c r="U804" s="3">
        <v>5254.62</v>
      </c>
      <c r="V804" s="3">
        <v>3396.84</v>
      </c>
      <c r="W804" s="3" t="s">
        <v>208</v>
      </c>
      <c r="X804" s="3" t="s">
        <v>133</v>
      </c>
      <c r="Y804" s="2" t="str">
        <f t="shared" si="105"/>
        <v>Unique</v>
      </c>
      <c r="AA804" s="2" t="str">
        <f t="shared" si="106"/>
        <v>Clean</v>
      </c>
      <c r="AB804" s="2" t="str">
        <f t="shared" si="107"/>
        <v>valid</v>
      </c>
      <c r="AC804">
        <f t="shared" si="108"/>
        <v>0</v>
      </c>
      <c r="AD804">
        <f t="shared" si="109"/>
        <v>8651.4600000000009</v>
      </c>
      <c r="AE804">
        <f t="shared" si="110"/>
        <v>3396.8400000000011</v>
      </c>
      <c r="AF804">
        <f t="shared" si="111"/>
        <v>0.39263199506210522</v>
      </c>
      <c r="AG804" t="str">
        <f t="shared" si="112"/>
        <v>February</v>
      </c>
      <c r="AH804">
        <f t="shared" si="113"/>
        <v>2025</v>
      </c>
      <c r="AI804" t="str">
        <f t="shared" si="114"/>
        <v>Warning</v>
      </c>
    </row>
    <row r="805" spans="1:35" ht="15.75" customHeight="1">
      <c r="A805" s="3" t="s">
        <v>3682</v>
      </c>
      <c r="B805" s="3" t="s">
        <v>3683</v>
      </c>
      <c r="C805" s="3" t="s">
        <v>742</v>
      </c>
      <c r="D805" s="3" t="str">
        <f t="shared" si="102"/>
        <v>13-Dec-2024</v>
      </c>
      <c r="E805" s="3" t="str">
        <f t="shared" si="103"/>
        <v>09-Dec-2024</v>
      </c>
      <c r="F805" s="3">
        <f t="shared" si="104"/>
        <v>4</v>
      </c>
      <c r="G805" s="3" t="s">
        <v>3684</v>
      </c>
      <c r="H805" s="3" t="s">
        <v>188</v>
      </c>
      <c r="I805" s="3" t="s">
        <v>34</v>
      </c>
      <c r="J805" s="3" t="s">
        <v>280</v>
      </c>
      <c r="K805" s="3" t="s">
        <v>319</v>
      </c>
      <c r="L805" s="3" t="s">
        <v>320</v>
      </c>
      <c r="M805" s="3" t="s">
        <v>38</v>
      </c>
      <c r="N805" s="3" t="s">
        <v>117</v>
      </c>
      <c r="O805" s="3" t="s">
        <v>3685</v>
      </c>
      <c r="P805" s="3" t="s">
        <v>64</v>
      </c>
      <c r="Q805" s="3">
        <v>1</v>
      </c>
      <c r="R805" s="3">
        <v>4306.6499999999996</v>
      </c>
      <c r="S805" s="3">
        <v>0</v>
      </c>
      <c r="T805" s="3">
        <v>4306.6499999999996</v>
      </c>
      <c r="U805" s="3">
        <v>2568.8200000000002</v>
      </c>
      <c r="V805" s="3">
        <v>1737.83</v>
      </c>
      <c r="W805" s="3" t="s">
        <v>42</v>
      </c>
      <c r="X805" s="3" t="s">
        <v>43</v>
      </c>
      <c r="Y805" s="2" t="str">
        <f t="shared" si="105"/>
        <v>Unique</v>
      </c>
      <c r="AA805" s="2" t="str">
        <f t="shared" si="106"/>
        <v>Clean</v>
      </c>
      <c r="AB805" s="2" t="str">
        <f t="shared" si="107"/>
        <v>valid</v>
      </c>
      <c r="AC805">
        <f t="shared" si="108"/>
        <v>0</v>
      </c>
      <c r="AD805">
        <f t="shared" si="109"/>
        <v>4306.6499999999996</v>
      </c>
      <c r="AE805">
        <f t="shared" si="110"/>
        <v>1737.8299999999995</v>
      </c>
      <c r="AF805">
        <f t="shared" si="111"/>
        <v>0.40352245945224235</v>
      </c>
      <c r="AG805" t="str">
        <f t="shared" si="112"/>
        <v>December</v>
      </c>
      <c r="AH805">
        <f t="shared" si="113"/>
        <v>2024</v>
      </c>
      <c r="AI805" t="str">
        <f t="shared" si="114"/>
        <v>Clean</v>
      </c>
    </row>
    <row r="806" spans="1:35" ht="15.75" customHeight="1">
      <c r="A806" s="3" t="s">
        <v>3686</v>
      </c>
      <c r="B806" s="3" t="s">
        <v>994</v>
      </c>
      <c r="C806" s="3" t="s">
        <v>2188</v>
      </c>
      <c r="D806" s="3" t="str">
        <f t="shared" si="102"/>
        <v>18-Sep-2025</v>
      </c>
      <c r="E806" s="3" t="str">
        <f t="shared" si="103"/>
        <v>10-Sep-2025</v>
      </c>
      <c r="F806" s="3">
        <f t="shared" si="104"/>
        <v>8</v>
      </c>
      <c r="G806" s="3" t="s">
        <v>3687</v>
      </c>
      <c r="H806" s="3" t="s">
        <v>156</v>
      </c>
      <c r="I806" s="3" t="s">
        <v>123</v>
      </c>
      <c r="J806" s="3" t="s">
        <v>70</v>
      </c>
      <c r="K806" s="3" t="s">
        <v>71</v>
      </c>
      <c r="L806" s="3" t="s">
        <v>72</v>
      </c>
      <c r="M806" s="3" t="s">
        <v>53</v>
      </c>
      <c r="N806" s="3" t="s">
        <v>73</v>
      </c>
      <c r="O806" s="3" t="s">
        <v>3688</v>
      </c>
      <c r="P806" s="3" t="s">
        <v>75</v>
      </c>
      <c r="Q806" s="3">
        <v>1</v>
      </c>
      <c r="R806" s="3">
        <v>2050.62</v>
      </c>
      <c r="S806" s="3">
        <v>0.05</v>
      </c>
      <c r="T806" s="3">
        <v>1948.09</v>
      </c>
      <c r="U806" s="3">
        <v>1507.08</v>
      </c>
      <c r="V806" s="3">
        <v>441.01</v>
      </c>
      <c r="W806" s="3" t="s">
        <v>42</v>
      </c>
      <c r="X806" s="3" t="s">
        <v>43</v>
      </c>
      <c r="Y806" s="2" t="str">
        <f t="shared" si="105"/>
        <v>Unique</v>
      </c>
      <c r="AA806" s="2" t="str">
        <f t="shared" si="106"/>
        <v>Clean</v>
      </c>
      <c r="AB806" s="2" t="str">
        <f t="shared" si="107"/>
        <v>valid</v>
      </c>
      <c r="AC806">
        <f t="shared" si="108"/>
        <v>0.05</v>
      </c>
      <c r="AD806">
        <f t="shared" si="109"/>
        <v>1948.0889999999997</v>
      </c>
      <c r="AE806">
        <f t="shared" si="110"/>
        <v>441.00899999999979</v>
      </c>
      <c r="AF806">
        <f t="shared" si="111"/>
        <v>0.22638031424642296</v>
      </c>
      <c r="AG806" t="str">
        <f t="shared" si="112"/>
        <v>September</v>
      </c>
      <c r="AH806">
        <f t="shared" si="113"/>
        <v>2025</v>
      </c>
      <c r="AI806" t="str">
        <f t="shared" si="114"/>
        <v>Clean</v>
      </c>
    </row>
    <row r="807" spans="1:35" ht="15.75" customHeight="1">
      <c r="A807" s="3" t="s">
        <v>3689</v>
      </c>
      <c r="B807" s="3" t="s">
        <v>1315</v>
      </c>
      <c r="C807" s="3" t="s">
        <v>1066</v>
      </c>
      <c r="D807" s="3" t="str">
        <f t="shared" si="102"/>
        <v>07-Apr-2025</v>
      </c>
      <c r="E807" s="3" t="str">
        <f t="shared" si="103"/>
        <v>06-Apr-2025</v>
      </c>
      <c r="F807" s="3">
        <f t="shared" si="104"/>
        <v>1</v>
      </c>
      <c r="G807" s="3" t="s">
        <v>3507</v>
      </c>
      <c r="H807" s="3" t="s">
        <v>150</v>
      </c>
      <c r="I807" s="3" t="s">
        <v>123</v>
      </c>
      <c r="J807" s="3" t="s">
        <v>50</v>
      </c>
      <c r="K807" s="3" t="s">
        <v>224</v>
      </c>
      <c r="L807" s="3" t="s">
        <v>225</v>
      </c>
      <c r="M807" s="3" t="s">
        <v>38</v>
      </c>
      <c r="N807" s="3" t="s">
        <v>206</v>
      </c>
      <c r="O807" s="3" t="s">
        <v>3690</v>
      </c>
      <c r="P807" s="3" t="s">
        <v>41</v>
      </c>
      <c r="Q807" s="3">
        <v>2</v>
      </c>
      <c r="R807" s="3">
        <v>2030.06</v>
      </c>
      <c r="S807" s="3">
        <v>0.25</v>
      </c>
      <c r="T807" s="3">
        <v>3045.09</v>
      </c>
      <c r="U807" s="3">
        <v>2601.09</v>
      </c>
      <c r="V807" s="3">
        <v>444</v>
      </c>
      <c r="W807" s="3" t="s">
        <v>42</v>
      </c>
      <c r="X807" s="3" t="s">
        <v>43</v>
      </c>
      <c r="Y807" s="2" t="str">
        <f t="shared" si="105"/>
        <v>Unique</v>
      </c>
      <c r="AA807" s="2" t="str">
        <f t="shared" si="106"/>
        <v>Clean</v>
      </c>
      <c r="AB807" s="2" t="str">
        <f t="shared" si="107"/>
        <v>valid</v>
      </c>
      <c r="AC807">
        <f t="shared" si="108"/>
        <v>0.25</v>
      </c>
      <c r="AD807">
        <f t="shared" si="109"/>
        <v>3045.09</v>
      </c>
      <c r="AE807">
        <f t="shared" si="110"/>
        <v>444</v>
      </c>
      <c r="AF807">
        <f t="shared" si="111"/>
        <v>0.14580849827098705</v>
      </c>
      <c r="AG807" t="str">
        <f t="shared" si="112"/>
        <v>April</v>
      </c>
      <c r="AH807">
        <f t="shared" si="113"/>
        <v>2025</v>
      </c>
      <c r="AI807" t="str">
        <f t="shared" si="114"/>
        <v>Clean</v>
      </c>
    </row>
    <row r="808" spans="1:35" ht="15.75" customHeight="1">
      <c r="A808" s="3" t="s">
        <v>3691</v>
      </c>
      <c r="B808" s="3" t="s">
        <v>3692</v>
      </c>
      <c r="C808" s="3" t="s">
        <v>3693</v>
      </c>
      <c r="D808" s="3" t="str">
        <f t="shared" si="102"/>
        <v>15-Nov-2024</v>
      </c>
      <c r="E808" s="3" t="str">
        <f t="shared" si="103"/>
        <v>09-Nov-2024</v>
      </c>
      <c r="F808" s="3">
        <f t="shared" si="104"/>
        <v>6</v>
      </c>
      <c r="G808" s="3" t="s">
        <v>3694</v>
      </c>
      <c r="H808" s="3" t="s">
        <v>61</v>
      </c>
      <c r="I808" s="3" t="s">
        <v>123</v>
      </c>
      <c r="J808" s="3" t="s">
        <v>35</v>
      </c>
      <c r="K808" s="3" t="s">
        <v>36</v>
      </c>
      <c r="L808" s="3" t="s">
        <v>37</v>
      </c>
      <c r="M808" s="3" t="s">
        <v>94</v>
      </c>
      <c r="N808" s="3" t="s">
        <v>102</v>
      </c>
      <c r="O808" s="3" t="s">
        <v>3695</v>
      </c>
      <c r="P808" s="3" t="s">
        <v>75</v>
      </c>
      <c r="Q808" s="3">
        <v>1</v>
      </c>
      <c r="R808" s="3">
        <v>3665.97</v>
      </c>
      <c r="S808" s="3">
        <v>0.2</v>
      </c>
      <c r="T808" s="3">
        <v>2932.78</v>
      </c>
      <c r="U808" s="3">
        <v>1900.35</v>
      </c>
      <c r="V808" s="3">
        <v>1032.43</v>
      </c>
      <c r="W808" s="3" t="s">
        <v>208</v>
      </c>
      <c r="X808" s="3" t="s">
        <v>86</v>
      </c>
      <c r="Y808" s="2" t="str">
        <f t="shared" si="105"/>
        <v>Unique</v>
      </c>
      <c r="AA808" s="2" t="str">
        <f t="shared" si="106"/>
        <v>Clean</v>
      </c>
      <c r="AB808" s="2" t="str">
        <f t="shared" si="107"/>
        <v>valid</v>
      </c>
      <c r="AC808">
        <f t="shared" si="108"/>
        <v>0.2</v>
      </c>
      <c r="AD808">
        <f t="shared" si="109"/>
        <v>2932.7759999999998</v>
      </c>
      <c r="AE808">
        <f t="shared" si="110"/>
        <v>1032.4259999999999</v>
      </c>
      <c r="AF808">
        <f t="shared" si="111"/>
        <v>0.35203029484692999</v>
      </c>
      <c r="AG808" t="str">
        <f t="shared" si="112"/>
        <v>November</v>
      </c>
      <c r="AH808">
        <f t="shared" si="113"/>
        <v>2024</v>
      </c>
      <c r="AI808" t="str">
        <f t="shared" si="114"/>
        <v>Warning</v>
      </c>
    </row>
    <row r="809" spans="1:35" ht="15.75" customHeight="1">
      <c r="A809" s="3" t="s">
        <v>3696</v>
      </c>
      <c r="B809" s="3" t="s">
        <v>1276</v>
      </c>
      <c r="C809" s="3" t="s">
        <v>2262</v>
      </c>
      <c r="D809" s="3" t="str">
        <f t="shared" si="102"/>
        <v>08-Feb-2025</v>
      </c>
      <c r="E809" s="3" t="str">
        <f t="shared" si="103"/>
        <v>07-Feb-2025</v>
      </c>
      <c r="F809" s="3">
        <f t="shared" si="104"/>
        <v>1</v>
      </c>
      <c r="G809" s="3" t="s">
        <v>3697</v>
      </c>
      <c r="H809" s="3" t="s">
        <v>33</v>
      </c>
      <c r="I809" s="3" t="s">
        <v>49</v>
      </c>
      <c r="J809" s="3" t="s">
        <v>70</v>
      </c>
      <c r="K809" s="3" t="s">
        <v>71</v>
      </c>
      <c r="L809" s="3" t="s">
        <v>72</v>
      </c>
      <c r="M809" s="3" t="s">
        <v>38</v>
      </c>
      <c r="N809" s="3" t="s">
        <v>117</v>
      </c>
      <c r="O809" s="3" t="s">
        <v>3698</v>
      </c>
      <c r="P809" s="3" t="s">
        <v>75</v>
      </c>
      <c r="Q809" s="3">
        <v>2</v>
      </c>
      <c r="R809" s="3">
        <v>2432.98</v>
      </c>
      <c r="S809" s="3">
        <v>0.1</v>
      </c>
      <c r="T809" s="3">
        <v>4379.3599999999997</v>
      </c>
      <c r="U809" s="3">
        <v>3723.93</v>
      </c>
      <c r="V809" s="3">
        <v>655.43</v>
      </c>
      <c r="W809" s="3" t="s">
        <v>42</v>
      </c>
      <c r="X809" s="3" t="s">
        <v>43</v>
      </c>
      <c r="Y809" s="2" t="str">
        <f t="shared" si="105"/>
        <v>Unique</v>
      </c>
      <c r="AA809" s="2" t="str">
        <f t="shared" si="106"/>
        <v>Clean</v>
      </c>
      <c r="AB809" s="2" t="str">
        <f t="shared" si="107"/>
        <v>valid</v>
      </c>
      <c r="AC809">
        <f t="shared" si="108"/>
        <v>0.1</v>
      </c>
      <c r="AD809">
        <f t="shared" si="109"/>
        <v>4379.3640000000005</v>
      </c>
      <c r="AE809">
        <f t="shared" si="110"/>
        <v>655.43400000000065</v>
      </c>
      <c r="AF809">
        <f t="shared" si="111"/>
        <v>0.14966419781502532</v>
      </c>
      <c r="AG809" t="str">
        <f t="shared" si="112"/>
        <v>February</v>
      </c>
      <c r="AH809">
        <f t="shared" si="113"/>
        <v>2025</v>
      </c>
      <c r="AI809" t="str">
        <f t="shared" si="114"/>
        <v>Clean</v>
      </c>
    </row>
    <row r="810" spans="1:35" ht="15.75" customHeight="1">
      <c r="A810" s="3" t="s">
        <v>3699</v>
      </c>
      <c r="B810" s="3" t="s">
        <v>3700</v>
      </c>
      <c r="C810" s="3" t="s">
        <v>2027</v>
      </c>
      <c r="D810" s="3" t="str">
        <f t="shared" si="102"/>
        <v>28-Aug-2025</v>
      </c>
      <c r="E810" s="3" t="str">
        <f t="shared" si="103"/>
        <v>31-Aug-2025</v>
      </c>
      <c r="F810" s="3">
        <f t="shared" si="104"/>
        <v>-3</v>
      </c>
      <c r="G810" s="3" t="s">
        <v>3701</v>
      </c>
      <c r="H810" s="3" t="s">
        <v>170</v>
      </c>
      <c r="I810" s="3" t="s">
        <v>49</v>
      </c>
      <c r="J810" s="3" t="s">
        <v>70</v>
      </c>
      <c r="K810" s="3" t="s">
        <v>347</v>
      </c>
      <c r="L810" s="3" t="s">
        <v>348</v>
      </c>
      <c r="M810" s="3" t="s">
        <v>53</v>
      </c>
      <c r="N810" s="3" t="s">
        <v>73</v>
      </c>
      <c r="O810" s="3" t="s">
        <v>3702</v>
      </c>
      <c r="P810" s="3" t="s">
        <v>64</v>
      </c>
      <c r="Q810" s="3">
        <v>7</v>
      </c>
      <c r="R810" s="3">
        <v>977.28</v>
      </c>
      <c r="S810" s="3">
        <v>0.2</v>
      </c>
      <c r="T810" s="3">
        <v>5472.77</v>
      </c>
      <c r="U810" s="3">
        <v>4477.33</v>
      </c>
      <c r="V810" s="3">
        <v>995.44</v>
      </c>
      <c r="W810" s="3" t="s">
        <v>42</v>
      </c>
      <c r="X810" s="3" t="s">
        <v>43</v>
      </c>
      <c r="Y810" s="2" t="str">
        <f t="shared" si="105"/>
        <v>Unique</v>
      </c>
      <c r="AA810" s="2" t="str">
        <f t="shared" si="106"/>
        <v>Clean</v>
      </c>
      <c r="AB810" s="2" t="str">
        <f t="shared" si="107"/>
        <v>Invalid</v>
      </c>
      <c r="AC810">
        <f t="shared" si="108"/>
        <v>0.2</v>
      </c>
      <c r="AD810">
        <f t="shared" si="109"/>
        <v>5472.768</v>
      </c>
      <c r="AE810">
        <f t="shared" si="110"/>
        <v>995.4380000000001</v>
      </c>
      <c r="AF810">
        <f t="shared" si="111"/>
        <v>0.18188931085695575</v>
      </c>
      <c r="AG810" t="str">
        <f t="shared" si="112"/>
        <v>August</v>
      </c>
      <c r="AH810">
        <f t="shared" si="113"/>
        <v>2025</v>
      </c>
      <c r="AI810" t="str">
        <f t="shared" si="114"/>
        <v>Clean</v>
      </c>
    </row>
    <row r="811" spans="1:35" ht="15.75" customHeight="1">
      <c r="A811" s="3" t="s">
        <v>3703</v>
      </c>
      <c r="B811" s="3" t="s">
        <v>1516</v>
      </c>
      <c r="C811" s="3" t="s">
        <v>1516</v>
      </c>
      <c r="D811" s="3" t="str">
        <f t="shared" si="102"/>
        <v>25-Jun-2025</v>
      </c>
      <c r="E811" s="3" t="str">
        <f t="shared" si="103"/>
        <v>25-Jun-2025</v>
      </c>
      <c r="F811" s="3">
        <f t="shared" si="104"/>
        <v>0</v>
      </c>
      <c r="G811" s="3" t="s">
        <v>3704</v>
      </c>
      <c r="H811" s="3" t="s">
        <v>69</v>
      </c>
      <c r="I811" s="3" t="s">
        <v>49</v>
      </c>
      <c r="J811" s="3" t="s">
        <v>280</v>
      </c>
      <c r="K811" s="3" t="s">
        <v>162</v>
      </c>
      <c r="L811" s="3" t="s">
        <v>163</v>
      </c>
      <c r="M811" s="3" t="s">
        <v>38</v>
      </c>
      <c r="N811" s="3" t="s">
        <v>206</v>
      </c>
      <c r="O811" s="3" t="s">
        <v>3705</v>
      </c>
      <c r="P811" s="3" t="s">
        <v>41</v>
      </c>
      <c r="Q811" s="3">
        <v>6</v>
      </c>
      <c r="R811" s="3">
        <v>1366.13</v>
      </c>
      <c r="S811" s="3">
        <v>0.1</v>
      </c>
      <c r="T811" s="3">
        <v>7377.1</v>
      </c>
      <c r="U811" s="3">
        <v>5085.21</v>
      </c>
      <c r="V811" s="3">
        <v>2291.89</v>
      </c>
      <c r="W811" s="3" t="s">
        <v>42</v>
      </c>
      <c r="X811" s="3" t="s">
        <v>43</v>
      </c>
      <c r="Y811" s="2" t="str">
        <f t="shared" si="105"/>
        <v>Unique</v>
      </c>
      <c r="AA811" s="2" t="str">
        <f t="shared" si="106"/>
        <v>Clean</v>
      </c>
      <c r="AB811" s="2" t="str">
        <f t="shared" si="107"/>
        <v>valid</v>
      </c>
      <c r="AC811">
        <f t="shared" si="108"/>
        <v>0.1</v>
      </c>
      <c r="AD811">
        <f t="shared" si="109"/>
        <v>7377.1020000000008</v>
      </c>
      <c r="AE811">
        <f t="shared" si="110"/>
        <v>2291.8920000000007</v>
      </c>
      <c r="AF811">
        <f t="shared" si="111"/>
        <v>0.31067646888981615</v>
      </c>
      <c r="AG811" t="str">
        <f t="shared" si="112"/>
        <v>June</v>
      </c>
      <c r="AH811">
        <f t="shared" si="113"/>
        <v>2025</v>
      </c>
      <c r="AI811" t="str">
        <f t="shared" si="114"/>
        <v>Clean</v>
      </c>
    </row>
    <row r="812" spans="1:35" ht="15.75" customHeight="1">
      <c r="A812" s="3" t="s">
        <v>3706</v>
      </c>
      <c r="B812" s="3" t="s">
        <v>3707</v>
      </c>
      <c r="C812" s="3" t="s">
        <v>3708</v>
      </c>
      <c r="D812" s="3" t="str">
        <f t="shared" si="102"/>
        <v>08-Apr-2024</v>
      </c>
      <c r="E812" s="3" t="str">
        <f t="shared" si="103"/>
        <v>04-Mar-2024</v>
      </c>
      <c r="F812" s="3">
        <f t="shared" si="104"/>
        <v>35</v>
      </c>
      <c r="G812" s="3" t="s">
        <v>2524</v>
      </c>
      <c r="H812" s="3" t="s">
        <v>375</v>
      </c>
      <c r="I812" s="3" t="s">
        <v>123</v>
      </c>
      <c r="J812" s="3" t="s">
        <v>81</v>
      </c>
      <c r="K812" s="3" t="s">
        <v>243</v>
      </c>
      <c r="L812" s="3" t="s">
        <v>244</v>
      </c>
      <c r="M812" s="3" t="s">
        <v>94</v>
      </c>
      <c r="N812" s="3" t="s">
        <v>102</v>
      </c>
      <c r="O812" s="3" t="s">
        <v>3709</v>
      </c>
      <c r="P812" s="3" t="s">
        <v>64</v>
      </c>
      <c r="Q812" s="3">
        <v>1</v>
      </c>
      <c r="R812" s="3">
        <v>3151.85</v>
      </c>
      <c r="S812" s="3">
        <v>0.25</v>
      </c>
      <c r="T812" s="3">
        <v>2363.89</v>
      </c>
      <c r="U812" s="3">
        <v>1471.51</v>
      </c>
      <c r="V812" s="3">
        <v>892.38</v>
      </c>
      <c r="W812" s="3" t="s">
        <v>42</v>
      </c>
      <c r="X812" s="3" t="s">
        <v>43</v>
      </c>
      <c r="Y812" s="2" t="str">
        <f t="shared" si="105"/>
        <v>Unique</v>
      </c>
      <c r="AA812" s="2" t="str">
        <f t="shared" si="106"/>
        <v>Clean</v>
      </c>
      <c r="AB812" s="2" t="str">
        <f t="shared" si="107"/>
        <v>valid</v>
      </c>
      <c r="AC812">
        <f t="shared" si="108"/>
        <v>0.25</v>
      </c>
      <c r="AD812">
        <f t="shared" si="109"/>
        <v>2363.8874999999998</v>
      </c>
      <c r="AE812">
        <f t="shared" si="110"/>
        <v>892.37749999999983</v>
      </c>
      <c r="AF812">
        <f t="shared" si="111"/>
        <v>0.37750421710000998</v>
      </c>
      <c r="AG812" t="str">
        <f t="shared" si="112"/>
        <v>March</v>
      </c>
      <c r="AH812">
        <f t="shared" si="113"/>
        <v>2024</v>
      </c>
      <c r="AI812" t="str">
        <f t="shared" si="114"/>
        <v>Clean</v>
      </c>
    </row>
    <row r="813" spans="1:35" ht="15.75" customHeight="1">
      <c r="A813" s="3" t="s">
        <v>3710</v>
      </c>
      <c r="B813" s="3" t="s">
        <v>3711</v>
      </c>
      <c r="C813" s="3" t="s">
        <v>3712</v>
      </c>
      <c r="D813" s="3" t="str">
        <f t="shared" si="102"/>
        <v>19-Dec-2024</v>
      </c>
      <c r="E813" s="3" t="str">
        <f t="shared" si="103"/>
        <v>12-Dec-2024</v>
      </c>
      <c r="F813" s="3">
        <f t="shared" si="104"/>
        <v>7</v>
      </c>
      <c r="G813" s="3" t="s">
        <v>3713</v>
      </c>
      <c r="H813" s="3" t="s">
        <v>188</v>
      </c>
      <c r="I813" s="3" t="s">
        <v>123</v>
      </c>
      <c r="J813" s="3" t="s">
        <v>35</v>
      </c>
      <c r="K813" s="3" t="s">
        <v>331</v>
      </c>
      <c r="L813" s="3" t="s">
        <v>332</v>
      </c>
      <c r="M813" s="3" t="s">
        <v>94</v>
      </c>
      <c r="N813" s="3" t="s">
        <v>95</v>
      </c>
      <c r="O813" s="3" t="s">
        <v>3714</v>
      </c>
      <c r="P813" s="3" t="s">
        <v>64</v>
      </c>
      <c r="Q813" s="3">
        <v>2</v>
      </c>
      <c r="R813" s="3">
        <v>1610.75</v>
      </c>
      <c r="S813" s="3">
        <v>0.2</v>
      </c>
      <c r="T813" s="3">
        <v>2577.1999999999998</v>
      </c>
      <c r="U813" s="3">
        <v>1475.87</v>
      </c>
      <c r="V813" s="3">
        <v>1101.33</v>
      </c>
      <c r="W813" s="3" t="s">
        <v>42</v>
      </c>
      <c r="X813" s="3" t="s">
        <v>43</v>
      </c>
      <c r="Y813" s="2" t="str">
        <f t="shared" si="105"/>
        <v>Unique</v>
      </c>
      <c r="AA813" s="2" t="str">
        <f t="shared" si="106"/>
        <v>Clean</v>
      </c>
      <c r="AB813" s="2" t="str">
        <f t="shared" si="107"/>
        <v>valid</v>
      </c>
      <c r="AC813">
        <f t="shared" si="108"/>
        <v>0.2</v>
      </c>
      <c r="AD813">
        <f t="shared" si="109"/>
        <v>2577.2000000000003</v>
      </c>
      <c r="AE813">
        <f t="shared" si="110"/>
        <v>1101.3300000000004</v>
      </c>
      <c r="AF813">
        <f t="shared" si="111"/>
        <v>0.42733586838429316</v>
      </c>
      <c r="AG813" t="str">
        <f t="shared" si="112"/>
        <v>December</v>
      </c>
      <c r="AH813">
        <f t="shared" si="113"/>
        <v>2024</v>
      </c>
      <c r="AI813" t="str">
        <f t="shared" si="114"/>
        <v>Clean</v>
      </c>
    </row>
    <row r="814" spans="1:35" ht="15.75" customHeight="1">
      <c r="A814" s="3" t="s">
        <v>3715</v>
      </c>
      <c r="B814" s="3" t="s">
        <v>818</v>
      </c>
      <c r="C814" s="3" t="s">
        <v>3716</v>
      </c>
      <c r="D814" s="3" t="str">
        <f t="shared" si="102"/>
        <v>20-Jun-2024</v>
      </c>
      <c r="E814" s="3" t="str">
        <f t="shared" si="103"/>
        <v>15-Jun-2024</v>
      </c>
      <c r="F814" s="3">
        <f t="shared" si="104"/>
        <v>5</v>
      </c>
      <c r="G814" s="3" t="s">
        <v>3717</v>
      </c>
      <c r="H814" s="3" t="s">
        <v>176</v>
      </c>
      <c r="I814" s="3" t="s">
        <v>49</v>
      </c>
      <c r="J814" s="3" t="s">
        <v>50</v>
      </c>
      <c r="K814" s="3" t="s">
        <v>319</v>
      </c>
      <c r="L814" s="3" t="s">
        <v>320</v>
      </c>
      <c r="M814" s="3" t="s">
        <v>53</v>
      </c>
      <c r="N814" s="3" t="s">
        <v>54</v>
      </c>
      <c r="O814" s="3" t="s">
        <v>3718</v>
      </c>
      <c r="P814" s="3" t="s">
        <v>64</v>
      </c>
      <c r="Q814" s="3">
        <v>8</v>
      </c>
      <c r="R814" s="3">
        <v>2228.4699999999998</v>
      </c>
      <c r="S814" s="3">
        <v>0</v>
      </c>
      <c r="T814" s="3">
        <v>17827.759999999998</v>
      </c>
      <c r="U814" s="3">
        <v>14122.13</v>
      </c>
      <c r="V814" s="3">
        <v>3705.63</v>
      </c>
      <c r="W814" s="3" t="s">
        <v>42</v>
      </c>
      <c r="X814" s="3" t="s">
        <v>43</v>
      </c>
      <c r="Y814" s="2" t="str">
        <f t="shared" si="105"/>
        <v>Unique</v>
      </c>
      <c r="AA814" s="2" t="str">
        <f t="shared" si="106"/>
        <v>Clean</v>
      </c>
      <c r="AB814" s="2" t="str">
        <f t="shared" si="107"/>
        <v>valid</v>
      </c>
      <c r="AC814">
        <f t="shared" si="108"/>
        <v>0</v>
      </c>
      <c r="AD814">
        <f t="shared" si="109"/>
        <v>17827.759999999998</v>
      </c>
      <c r="AE814">
        <f t="shared" si="110"/>
        <v>3705.6299999999992</v>
      </c>
      <c r="AF814">
        <f t="shared" si="111"/>
        <v>0.20785729671029896</v>
      </c>
      <c r="AG814" t="str">
        <f t="shared" si="112"/>
        <v>June</v>
      </c>
      <c r="AH814">
        <f t="shared" si="113"/>
        <v>2024</v>
      </c>
      <c r="AI814" t="str">
        <f t="shared" si="114"/>
        <v>Clean</v>
      </c>
    </row>
    <row r="815" spans="1:35" ht="15.75" customHeight="1">
      <c r="A815" s="3" t="s">
        <v>3719</v>
      </c>
      <c r="B815" s="3" t="s">
        <v>3720</v>
      </c>
      <c r="C815" s="3" t="s">
        <v>3721</v>
      </c>
      <c r="D815" s="3" t="str">
        <f t="shared" si="102"/>
        <v>10-Apr-2025</v>
      </c>
      <c r="E815" s="3" t="str">
        <f t="shared" si="103"/>
        <v>04-Jun-2025</v>
      </c>
      <c r="F815" s="3">
        <f t="shared" si="104"/>
        <v>-55</v>
      </c>
      <c r="G815" s="3" t="s">
        <v>3722</v>
      </c>
      <c r="H815" s="3" t="s">
        <v>188</v>
      </c>
      <c r="I815" s="3" t="s">
        <v>34</v>
      </c>
      <c r="J815" s="3" t="s">
        <v>50</v>
      </c>
      <c r="K815" s="3" t="s">
        <v>51</v>
      </c>
      <c r="L815" s="3" t="s">
        <v>52</v>
      </c>
      <c r="M815" s="3" t="s">
        <v>53</v>
      </c>
      <c r="N815" s="3" t="s">
        <v>212</v>
      </c>
      <c r="O815" s="3" t="s">
        <v>1715</v>
      </c>
      <c r="P815" s="3" t="s">
        <v>75</v>
      </c>
      <c r="Q815" s="3">
        <v>2</v>
      </c>
      <c r="R815" s="3">
        <v>1337.67</v>
      </c>
      <c r="S815" s="3">
        <v>0</v>
      </c>
      <c r="T815" s="3">
        <v>2675.34</v>
      </c>
      <c r="U815" s="3">
        <v>1595.87</v>
      </c>
      <c r="V815" s="3">
        <v>1079.47</v>
      </c>
      <c r="W815" s="3" t="s">
        <v>42</v>
      </c>
      <c r="X815" s="3" t="s">
        <v>43</v>
      </c>
      <c r="Y815" s="2" t="str">
        <f t="shared" si="105"/>
        <v>Unique</v>
      </c>
      <c r="AA815" s="2" t="str">
        <f t="shared" si="106"/>
        <v>Clean</v>
      </c>
      <c r="AB815" s="2" t="str">
        <f t="shared" si="107"/>
        <v>Invalid</v>
      </c>
      <c r="AC815">
        <f t="shared" si="108"/>
        <v>0</v>
      </c>
      <c r="AD815">
        <f t="shared" si="109"/>
        <v>2675.34</v>
      </c>
      <c r="AE815">
        <f t="shared" si="110"/>
        <v>1079.4700000000003</v>
      </c>
      <c r="AF815">
        <f t="shared" si="111"/>
        <v>0.40348890234512258</v>
      </c>
      <c r="AG815" t="str">
        <f t="shared" si="112"/>
        <v>June</v>
      </c>
      <c r="AH815">
        <f t="shared" si="113"/>
        <v>2025</v>
      </c>
      <c r="AI815" t="str">
        <f t="shared" si="114"/>
        <v>Clean</v>
      </c>
    </row>
    <row r="816" spans="1:35" ht="15.75" customHeight="1">
      <c r="A816" s="3" t="s">
        <v>3723</v>
      </c>
      <c r="B816" s="3" t="s">
        <v>1370</v>
      </c>
      <c r="C816" s="3" t="s">
        <v>593</v>
      </c>
      <c r="D816" s="3" t="str">
        <f t="shared" si="102"/>
        <v>11-Aug-2025</v>
      </c>
      <c r="E816" s="3" t="str">
        <f t="shared" si="103"/>
        <v>06-Aug-2025</v>
      </c>
      <c r="F816" s="3">
        <f t="shared" si="104"/>
        <v>5</v>
      </c>
      <c r="G816" s="3" t="s">
        <v>3724</v>
      </c>
      <c r="H816" s="3" t="s">
        <v>69</v>
      </c>
      <c r="I816" s="3" t="s">
        <v>34</v>
      </c>
      <c r="J816" s="3" t="s">
        <v>81</v>
      </c>
      <c r="K816" s="3" t="s">
        <v>92</v>
      </c>
      <c r="L816" s="3" t="s">
        <v>93</v>
      </c>
      <c r="M816" s="3" t="s">
        <v>38</v>
      </c>
      <c r="N816" s="3" t="s">
        <v>117</v>
      </c>
      <c r="O816" s="3" t="s">
        <v>3725</v>
      </c>
      <c r="P816" s="3" t="s">
        <v>64</v>
      </c>
      <c r="Q816" s="3">
        <v>2</v>
      </c>
      <c r="R816" s="3">
        <v>2375.94</v>
      </c>
      <c r="S816" s="3">
        <v>0.25</v>
      </c>
      <c r="T816" s="3">
        <v>3563.91</v>
      </c>
      <c r="U816" s="3">
        <v>2639.7</v>
      </c>
      <c r="V816" s="3">
        <v>924.21</v>
      </c>
      <c r="W816" s="3" t="s">
        <v>42</v>
      </c>
      <c r="X816" s="3" t="s">
        <v>43</v>
      </c>
      <c r="Y816" s="2" t="str">
        <f t="shared" si="105"/>
        <v>Unique</v>
      </c>
      <c r="AA816" s="2" t="str">
        <f t="shared" si="106"/>
        <v>Clean</v>
      </c>
      <c r="AB816" s="2" t="str">
        <f t="shared" si="107"/>
        <v>valid</v>
      </c>
      <c r="AC816">
        <f t="shared" si="108"/>
        <v>0.25</v>
      </c>
      <c r="AD816">
        <f t="shared" si="109"/>
        <v>3563.91</v>
      </c>
      <c r="AE816">
        <f t="shared" si="110"/>
        <v>924.21</v>
      </c>
      <c r="AF816">
        <f t="shared" si="111"/>
        <v>0.25932473042248544</v>
      </c>
      <c r="AG816" t="str">
        <f t="shared" si="112"/>
        <v>August</v>
      </c>
      <c r="AH816">
        <f t="shared" si="113"/>
        <v>2025</v>
      </c>
      <c r="AI816" t="str">
        <f t="shared" si="114"/>
        <v>Clean</v>
      </c>
    </row>
    <row r="817" spans="1:35" ht="15.75" customHeight="1">
      <c r="A817" s="3" t="s">
        <v>3726</v>
      </c>
      <c r="B817" s="3" t="s">
        <v>2432</v>
      </c>
      <c r="C817" s="3" t="s">
        <v>3727</v>
      </c>
      <c r="D817" s="3" t="str">
        <f t="shared" si="102"/>
        <v>08-Apr-2024</v>
      </c>
      <c r="E817" s="3" t="str">
        <f t="shared" si="103"/>
        <v>04-Jan-2024</v>
      </c>
      <c r="F817" s="3">
        <f t="shared" si="104"/>
        <v>95</v>
      </c>
      <c r="G817" s="3" t="s">
        <v>3728</v>
      </c>
      <c r="H817" s="3" t="s">
        <v>218</v>
      </c>
      <c r="I817" s="3" t="s">
        <v>34</v>
      </c>
      <c r="J817" s="3" t="s">
        <v>50</v>
      </c>
      <c r="K817" s="3" t="s">
        <v>51</v>
      </c>
      <c r="L817" s="3" t="s">
        <v>52</v>
      </c>
      <c r="M817" s="3" t="s">
        <v>94</v>
      </c>
      <c r="N817" s="3" t="s">
        <v>391</v>
      </c>
      <c r="O817" s="3" t="s">
        <v>3729</v>
      </c>
      <c r="P817" s="3" t="s">
        <v>75</v>
      </c>
      <c r="Q817" s="3">
        <v>7</v>
      </c>
      <c r="R817" s="3">
        <v>715.81</v>
      </c>
      <c r="S817" s="3">
        <v>0.15</v>
      </c>
      <c r="T817" s="3">
        <v>4259.07</v>
      </c>
      <c r="U817" s="3">
        <v>3130.32</v>
      </c>
      <c r="V817" s="3">
        <v>1128.75</v>
      </c>
      <c r="W817" s="3" t="s">
        <v>145</v>
      </c>
      <c r="X817" s="3" t="s">
        <v>86</v>
      </c>
      <c r="Y817" s="2" t="str">
        <f t="shared" si="105"/>
        <v>Unique</v>
      </c>
      <c r="AA817" s="2" t="str">
        <f t="shared" si="106"/>
        <v>Clean</v>
      </c>
      <c r="AB817" s="2" t="str">
        <f t="shared" si="107"/>
        <v>valid</v>
      </c>
      <c r="AC817">
        <f t="shared" si="108"/>
        <v>0.15</v>
      </c>
      <c r="AD817">
        <f t="shared" si="109"/>
        <v>4259.0694999999996</v>
      </c>
      <c r="AE817">
        <f t="shared" si="110"/>
        <v>1128.7494999999994</v>
      </c>
      <c r="AF817">
        <f t="shared" si="111"/>
        <v>0.26502255950507486</v>
      </c>
      <c r="AG817" t="str">
        <f t="shared" si="112"/>
        <v>January</v>
      </c>
      <c r="AH817">
        <f t="shared" si="113"/>
        <v>2024</v>
      </c>
      <c r="AI817" t="str">
        <f t="shared" si="114"/>
        <v>Warning</v>
      </c>
    </row>
    <row r="818" spans="1:35" ht="15.75" customHeight="1">
      <c r="A818" s="3" t="s">
        <v>3730</v>
      </c>
      <c r="B818" s="3" t="s">
        <v>3731</v>
      </c>
      <c r="C818" s="3" t="s">
        <v>3732</v>
      </c>
      <c r="D818" s="3" t="str">
        <f t="shared" si="102"/>
        <v>30-Nov-2024</v>
      </c>
      <c r="E818" s="3" t="str">
        <f t="shared" si="103"/>
        <v>27-Nov-2024</v>
      </c>
      <c r="F818" s="3">
        <f t="shared" si="104"/>
        <v>3</v>
      </c>
      <c r="G818" s="3" t="s">
        <v>3733</v>
      </c>
      <c r="H818" s="3" t="s">
        <v>156</v>
      </c>
      <c r="I818" s="3" t="s">
        <v>49</v>
      </c>
      <c r="J818" s="3" t="s">
        <v>50</v>
      </c>
      <c r="K818" s="3" t="s">
        <v>319</v>
      </c>
      <c r="L818" s="3" t="s">
        <v>320</v>
      </c>
      <c r="M818" s="3" t="s">
        <v>53</v>
      </c>
      <c r="N818" s="3" t="s">
        <v>73</v>
      </c>
      <c r="O818" s="3" t="s">
        <v>3734</v>
      </c>
      <c r="P818" s="3" t="s">
        <v>64</v>
      </c>
      <c r="Q818" s="3">
        <v>1</v>
      </c>
      <c r="R818" s="3">
        <v>874.3</v>
      </c>
      <c r="S818" s="3">
        <v>0.1</v>
      </c>
      <c r="T818" s="3">
        <v>786.87</v>
      </c>
      <c r="U818" s="3">
        <v>498.5</v>
      </c>
      <c r="V818" s="3">
        <v>288.37</v>
      </c>
      <c r="W818" s="3" t="s">
        <v>42</v>
      </c>
      <c r="X818" s="3" t="s">
        <v>43</v>
      </c>
      <c r="Y818" s="2" t="str">
        <f t="shared" si="105"/>
        <v>Unique</v>
      </c>
      <c r="AA818" s="2" t="str">
        <f t="shared" si="106"/>
        <v>Clean</v>
      </c>
      <c r="AB818" s="2" t="str">
        <f t="shared" si="107"/>
        <v>valid</v>
      </c>
      <c r="AC818">
        <f t="shared" si="108"/>
        <v>0.1</v>
      </c>
      <c r="AD818">
        <f t="shared" si="109"/>
        <v>786.87</v>
      </c>
      <c r="AE818">
        <f t="shared" si="110"/>
        <v>288.37</v>
      </c>
      <c r="AF818">
        <f t="shared" si="111"/>
        <v>0.36647730883119195</v>
      </c>
      <c r="AG818" t="str">
        <f t="shared" si="112"/>
        <v>November</v>
      </c>
      <c r="AH818">
        <f t="shared" si="113"/>
        <v>2024</v>
      </c>
      <c r="AI818" t="str">
        <f t="shared" si="114"/>
        <v>Clean</v>
      </c>
    </row>
    <row r="819" spans="1:35" ht="15.75" customHeight="1">
      <c r="A819" s="3" t="s">
        <v>3735</v>
      </c>
      <c r="B819" s="3" t="s">
        <v>3736</v>
      </c>
      <c r="C819" s="3" t="s">
        <v>3737</v>
      </c>
      <c r="D819" s="3" t="str">
        <f t="shared" si="102"/>
        <v>04-May-2025</v>
      </c>
      <c r="E819" s="3" t="str">
        <f t="shared" si="103"/>
        <v>05-Apr-2025</v>
      </c>
      <c r="F819" s="3">
        <f t="shared" si="104"/>
        <v>29</v>
      </c>
      <c r="G819" s="3" t="s">
        <v>3738</v>
      </c>
      <c r="H819" s="3" t="s">
        <v>176</v>
      </c>
      <c r="I819" s="3" t="s">
        <v>34</v>
      </c>
      <c r="J819" s="3" t="s">
        <v>50</v>
      </c>
      <c r="K819" s="3" t="s">
        <v>194</v>
      </c>
      <c r="L819" s="3" t="s">
        <v>195</v>
      </c>
      <c r="M819" s="3" t="s">
        <v>38</v>
      </c>
      <c r="N819" s="3" t="s">
        <v>206</v>
      </c>
      <c r="O819" s="3" t="s">
        <v>3739</v>
      </c>
      <c r="P819" s="3" t="s">
        <v>75</v>
      </c>
      <c r="Q819" s="3">
        <v>6</v>
      </c>
      <c r="R819" s="3">
        <v>1829.69</v>
      </c>
      <c r="S819" s="3">
        <v>0.25</v>
      </c>
      <c r="T819" s="3">
        <v>8233.6</v>
      </c>
      <c r="U819" s="3">
        <v>4713.79</v>
      </c>
      <c r="V819" s="3">
        <v>3519.81</v>
      </c>
      <c r="W819" s="3" t="s">
        <v>42</v>
      </c>
      <c r="X819" s="3" t="s">
        <v>43</v>
      </c>
      <c r="Y819" s="2" t="str">
        <f t="shared" si="105"/>
        <v>Unique</v>
      </c>
      <c r="AA819" s="2" t="str">
        <f t="shared" si="106"/>
        <v>Clean</v>
      </c>
      <c r="AB819" s="2" t="str">
        <f t="shared" si="107"/>
        <v>valid</v>
      </c>
      <c r="AC819">
        <f t="shared" si="108"/>
        <v>0.25</v>
      </c>
      <c r="AD819">
        <f t="shared" si="109"/>
        <v>8233.6049999999996</v>
      </c>
      <c r="AE819">
        <f t="shared" si="110"/>
        <v>3519.8149999999996</v>
      </c>
      <c r="AF819">
        <f t="shared" si="111"/>
        <v>0.42749378917254349</v>
      </c>
      <c r="AG819" t="str">
        <f t="shared" si="112"/>
        <v>April</v>
      </c>
      <c r="AH819">
        <f t="shared" si="113"/>
        <v>2025</v>
      </c>
      <c r="AI819" t="str">
        <f t="shared" si="114"/>
        <v>Clean</v>
      </c>
    </row>
    <row r="820" spans="1:35" ht="15.75" customHeight="1">
      <c r="A820" s="3" t="s">
        <v>3740</v>
      </c>
      <c r="B820" s="3" t="s">
        <v>3741</v>
      </c>
      <c r="C820" s="3" t="s">
        <v>3226</v>
      </c>
      <c r="D820" s="3" t="str">
        <f t="shared" si="102"/>
        <v>05-Oct-2024</v>
      </c>
      <c r="E820" s="3" t="str">
        <f t="shared" si="103"/>
        <v>29-Sep-2024</v>
      </c>
      <c r="F820" s="3">
        <f t="shared" si="104"/>
        <v>6</v>
      </c>
      <c r="G820" s="3" t="s">
        <v>3742</v>
      </c>
      <c r="H820" s="3" t="s">
        <v>150</v>
      </c>
      <c r="I820" s="3" t="s">
        <v>49</v>
      </c>
      <c r="J820" s="3" t="s">
        <v>81</v>
      </c>
      <c r="K820" s="3" t="s">
        <v>82</v>
      </c>
      <c r="L820" s="3" t="s">
        <v>83</v>
      </c>
      <c r="M820" s="3" t="s">
        <v>38</v>
      </c>
      <c r="N820" s="3" t="s">
        <v>117</v>
      </c>
      <c r="O820" s="3" t="s">
        <v>3743</v>
      </c>
      <c r="P820" s="3" t="s">
        <v>64</v>
      </c>
      <c r="Q820" s="3">
        <v>8</v>
      </c>
      <c r="R820" s="3">
        <v>1981.04</v>
      </c>
      <c r="S820" s="3">
        <v>-0.14000000000000001</v>
      </c>
      <c r="T820" s="3">
        <v>12678.66</v>
      </c>
      <c r="U820" s="3">
        <v>10088.65</v>
      </c>
      <c r="V820" s="3">
        <v>2590.0100000000002</v>
      </c>
      <c r="W820" s="3" t="s">
        <v>42</v>
      </c>
      <c r="X820" s="3" t="s">
        <v>43</v>
      </c>
      <c r="Y820" s="2" t="str">
        <f t="shared" si="105"/>
        <v>Unique</v>
      </c>
      <c r="AA820" s="2" t="str">
        <f t="shared" si="106"/>
        <v>Invalid</v>
      </c>
      <c r="AB820" s="2" t="str">
        <f t="shared" si="107"/>
        <v>valid</v>
      </c>
      <c r="AC820">
        <f t="shared" si="108"/>
        <v>-0.14000000000000001</v>
      </c>
      <c r="AD820">
        <f t="shared" si="109"/>
        <v>18067.084800000001</v>
      </c>
      <c r="AE820">
        <f t="shared" si="110"/>
        <v>7978.4348000000009</v>
      </c>
      <c r="AF820">
        <f t="shared" si="111"/>
        <v>0.44160056192352631</v>
      </c>
      <c r="AG820" t="str">
        <f t="shared" si="112"/>
        <v>September</v>
      </c>
      <c r="AH820">
        <f t="shared" si="113"/>
        <v>2024</v>
      </c>
      <c r="AI820" t="str">
        <f t="shared" si="114"/>
        <v>Invalid</v>
      </c>
    </row>
    <row r="821" spans="1:35" ht="15.75" customHeight="1">
      <c r="A821" s="3" t="s">
        <v>3744</v>
      </c>
      <c r="B821" s="3" t="s">
        <v>1593</v>
      </c>
      <c r="C821" s="3" t="s">
        <v>3745</v>
      </c>
      <c r="D821" s="3" t="str">
        <f t="shared" si="102"/>
        <v>31-Jul-2024</v>
      </c>
      <c r="E821" s="3" t="str">
        <f t="shared" si="103"/>
        <v>31-Jul-2024</v>
      </c>
      <c r="F821" s="3">
        <f t="shared" si="104"/>
        <v>0</v>
      </c>
      <c r="G821" s="3" t="s">
        <v>3746</v>
      </c>
      <c r="H821" s="3" t="s">
        <v>33</v>
      </c>
      <c r="I821" s="3" t="s">
        <v>123</v>
      </c>
      <c r="J821" s="3" t="s">
        <v>70</v>
      </c>
      <c r="K821" s="3" t="s">
        <v>250</v>
      </c>
      <c r="L821" s="3" t="s">
        <v>251</v>
      </c>
      <c r="M821" s="3" t="s">
        <v>94</v>
      </c>
      <c r="N821" s="3" t="s">
        <v>391</v>
      </c>
      <c r="O821" s="3" t="s">
        <v>3747</v>
      </c>
      <c r="P821" s="3" t="s">
        <v>75</v>
      </c>
      <c r="Q821" s="3">
        <v>8</v>
      </c>
      <c r="R821" s="3">
        <v>4246.01</v>
      </c>
      <c r="S821" s="3">
        <v>0</v>
      </c>
      <c r="T821" s="3">
        <v>33968.080000000002</v>
      </c>
      <c r="U821" s="3">
        <v>26902.44</v>
      </c>
      <c r="V821" s="3">
        <v>7065.64</v>
      </c>
      <c r="W821" s="3" t="s">
        <v>208</v>
      </c>
      <c r="X821" s="3" t="s">
        <v>86</v>
      </c>
      <c r="Y821" s="2" t="str">
        <f t="shared" si="105"/>
        <v>Unique</v>
      </c>
      <c r="AA821" s="2" t="str">
        <f t="shared" si="106"/>
        <v>Clean</v>
      </c>
      <c r="AB821" s="2" t="str">
        <f t="shared" si="107"/>
        <v>valid</v>
      </c>
      <c r="AC821">
        <f t="shared" si="108"/>
        <v>0</v>
      </c>
      <c r="AD821">
        <f t="shared" si="109"/>
        <v>33968.080000000002</v>
      </c>
      <c r="AE821">
        <f t="shared" si="110"/>
        <v>7065.6400000000031</v>
      </c>
      <c r="AF821">
        <f t="shared" si="111"/>
        <v>0.20800822419165294</v>
      </c>
      <c r="AG821" t="str">
        <f t="shared" si="112"/>
        <v>July</v>
      </c>
      <c r="AH821">
        <f t="shared" si="113"/>
        <v>2024</v>
      </c>
      <c r="AI821" t="str">
        <f t="shared" si="114"/>
        <v>Warning</v>
      </c>
    </row>
    <row r="822" spans="1:35" ht="15.75" customHeight="1">
      <c r="A822" s="3" t="s">
        <v>3748</v>
      </c>
      <c r="B822" s="3" t="s">
        <v>3749</v>
      </c>
      <c r="C822" s="3" t="s">
        <v>3750</v>
      </c>
      <c r="D822" s="3" t="str">
        <f t="shared" si="102"/>
        <v>10-Feb-2025</v>
      </c>
      <c r="E822" s="3" t="str">
        <f t="shared" si="103"/>
        <v>06-Feb-2025</v>
      </c>
      <c r="F822" s="3">
        <f t="shared" si="104"/>
        <v>4</v>
      </c>
      <c r="G822" s="3" t="s">
        <v>3751</v>
      </c>
      <c r="H822" s="3" t="s">
        <v>80</v>
      </c>
      <c r="I822" s="3" t="s">
        <v>123</v>
      </c>
      <c r="J822" s="3" t="s">
        <v>35</v>
      </c>
      <c r="K822" s="3" t="s">
        <v>182</v>
      </c>
      <c r="L822" s="3" t="s">
        <v>183</v>
      </c>
      <c r="M822" s="3" t="s">
        <v>53</v>
      </c>
      <c r="N822" s="3" t="s">
        <v>212</v>
      </c>
      <c r="O822" s="3" t="s">
        <v>3752</v>
      </c>
      <c r="P822" s="3" t="s">
        <v>75</v>
      </c>
      <c r="Q822" s="3">
        <v>2</v>
      </c>
      <c r="R822" s="3">
        <v>319.57</v>
      </c>
      <c r="S822" s="3">
        <v>0.2</v>
      </c>
      <c r="T822" s="3">
        <v>511.31</v>
      </c>
      <c r="U822" s="3">
        <v>436.43</v>
      </c>
      <c r="V822" s="3">
        <v>74.88</v>
      </c>
      <c r="W822" s="3" t="s">
        <v>42</v>
      </c>
      <c r="X822" s="3" t="s">
        <v>43</v>
      </c>
      <c r="Y822" s="2" t="str">
        <f t="shared" si="105"/>
        <v>Unique</v>
      </c>
      <c r="AA822" s="2" t="str">
        <f t="shared" si="106"/>
        <v>Clean</v>
      </c>
      <c r="AB822" s="2" t="str">
        <f t="shared" si="107"/>
        <v>valid</v>
      </c>
      <c r="AC822">
        <f t="shared" si="108"/>
        <v>0.2</v>
      </c>
      <c r="AD822">
        <f t="shared" si="109"/>
        <v>511.31200000000001</v>
      </c>
      <c r="AE822">
        <f t="shared" si="110"/>
        <v>74.882000000000005</v>
      </c>
      <c r="AF822">
        <f t="shared" si="111"/>
        <v>0.14645069937728825</v>
      </c>
      <c r="AG822" t="str">
        <f t="shared" si="112"/>
        <v>February</v>
      </c>
      <c r="AH822">
        <f t="shared" si="113"/>
        <v>2025</v>
      </c>
      <c r="AI822" t="str">
        <f t="shared" si="114"/>
        <v>Clean</v>
      </c>
    </row>
    <row r="823" spans="1:35" ht="15.75" customHeight="1">
      <c r="A823" s="3" t="s">
        <v>3753</v>
      </c>
      <c r="B823" s="3" t="s">
        <v>3754</v>
      </c>
      <c r="C823" s="3" t="s">
        <v>3755</v>
      </c>
      <c r="D823" s="3" t="str">
        <f t="shared" si="102"/>
        <v>06-Jul-2024</v>
      </c>
      <c r="E823" s="3" t="str">
        <f t="shared" si="103"/>
        <v>03-Jul-2024</v>
      </c>
      <c r="F823" s="3">
        <f t="shared" si="104"/>
        <v>3</v>
      </c>
      <c r="G823" s="3" t="s">
        <v>3756</v>
      </c>
      <c r="H823" s="3" t="s">
        <v>170</v>
      </c>
      <c r="I823" s="3" t="s">
        <v>116</v>
      </c>
      <c r="J823" s="3" t="s">
        <v>70</v>
      </c>
      <c r="K823" s="3" t="s">
        <v>237</v>
      </c>
      <c r="L823" s="3" t="s">
        <v>238</v>
      </c>
      <c r="M823" s="3" t="s">
        <v>94</v>
      </c>
      <c r="N823" s="3" t="s">
        <v>95</v>
      </c>
      <c r="O823" s="3" t="s">
        <v>3757</v>
      </c>
      <c r="P823" s="3" t="s">
        <v>64</v>
      </c>
      <c r="Q823" s="3">
        <v>7</v>
      </c>
      <c r="R823" s="3">
        <v>1942.49</v>
      </c>
      <c r="S823" s="3">
        <v>0.2</v>
      </c>
      <c r="T823" s="3">
        <v>10877.94</v>
      </c>
      <c r="U823" s="3">
        <v>9110.14</v>
      </c>
      <c r="V823" s="3">
        <v>1767.8</v>
      </c>
      <c r="W823" s="3" t="s">
        <v>42</v>
      </c>
      <c r="X823" s="3" t="s">
        <v>43</v>
      </c>
      <c r="Y823" s="2" t="str">
        <f t="shared" si="105"/>
        <v>Unique</v>
      </c>
      <c r="AA823" s="2" t="str">
        <f t="shared" si="106"/>
        <v>Clean</v>
      </c>
      <c r="AB823" s="2" t="str">
        <f t="shared" si="107"/>
        <v>valid</v>
      </c>
      <c r="AC823">
        <f t="shared" si="108"/>
        <v>0.2</v>
      </c>
      <c r="AD823">
        <f t="shared" si="109"/>
        <v>10877.944000000001</v>
      </c>
      <c r="AE823">
        <f t="shared" si="110"/>
        <v>1767.8040000000019</v>
      </c>
      <c r="AF823">
        <f t="shared" si="111"/>
        <v>0.16251269541376584</v>
      </c>
      <c r="AG823" t="str">
        <f t="shared" si="112"/>
        <v>July</v>
      </c>
      <c r="AH823">
        <f t="shared" si="113"/>
        <v>2024</v>
      </c>
      <c r="AI823" t="str">
        <f t="shared" si="114"/>
        <v>Clean</v>
      </c>
    </row>
    <row r="824" spans="1:35" ht="15.75" customHeight="1">
      <c r="A824" s="3" t="s">
        <v>3758</v>
      </c>
      <c r="B824" s="3" t="s">
        <v>3759</v>
      </c>
      <c r="C824" s="3" t="s">
        <v>3760</v>
      </c>
      <c r="D824" s="3" t="str">
        <f t="shared" si="102"/>
        <v>08-Oct-2024</v>
      </c>
      <c r="E824" s="3" t="str">
        <f t="shared" si="103"/>
        <v>10-Dec-2024</v>
      </c>
      <c r="F824" s="3">
        <f t="shared" si="104"/>
        <v>-63</v>
      </c>
      <c r="G824" s="3" t="s">
        <v>3761</v>
      </c>
      <c r="H824" s="3" t="s">
        <v>48</v>
      </c>
      <c r="I824" s="3" t="s">
        <v>116</v>
      </c>
      <c r="J824" s="3" t="s">
        <v>50</v>
      </c>
      <c r="K824" s="3" t="s">
        <v>224</v>
      </c>
      <c r="L824" s="3" t="s">
        <v>225</v>
      </c>
      <c r="M824" s="3" t="s">
        <v>53</v>
      </c>
      <c r="N824" s="3" t="s">
        <v>73</v>
      </c>
      <c r="O824" s="3" t="s">
        <v>3762</v>
      </c>
      <c r="P824" s="3" t="s">
        <v>41</v>
      </c>
      <c r="Q824" s="3">
        <v>4</v>
      </c>
      <c r="R824" s="3">
        <v>3202.04</v>
      </c>
      <c r="S824" s="3">
        <v>0.2</v>
      </c>
      <c r="T824" s="3">
        <v>10246.530000000001</v>
      </c>
      <c r="U824" s="3">
        <v>8634.42</v>
      </c>
      <c r="V824" s="3">
        <v>1612.11</v>
      </c>
      <c r="W824" s="3" t="s">
        <v>145</v>
      </c>
      <c r="X824" s="3" t="s">
        <v>133</v>
      </c>
      <c r="Y824" s="2" t="str">
        <f t="shared" si="105"/>
        <v>Unique</v>
      </c>
      <c r="AA824" s="2" t="str">
        <f t="shared" si="106"/>
        <v>Clean</v>
      </c>
      <c r="AB824" s="2" t="str">
        <f t="shared" si="107"/>
        <v>Invalid</v>
      </c>
      <c r="AC824">
        <f t="shared" si="108"/>
        <v>0.2</v>
      </c>
      <c r="AD824">
        <f t="shared" si="109"/>
        <v>10246.528</v>
      </c>
      <c r="AE824">
        <f t="shared" si="110"/>
        <v>1612.1080000000002</v>
      </c>
      <c r="AF824">
        <f t="shared" si="111"/>
        <v>0.15733212264681268</v>
      </c>
      <c r="AG824" t="str">
        <f t="shared" si="112"/>
        <v>December</v>
      </c>
      <c r="AH824">
        <f t="shared" si="113"/>
        <v>2024</v>
      </c>
      <c r="AI824" t="str">
        <f t="shared" si="114"/>
        <v>Clean</v>
      </c>
    </row>
    <row r="825" spans="1:35" ht="15.75" customHeight="1">
      <c r="A825" s="3" t="s">
        <v>3763</v>
      </c>
      <c r="B825" s="3" t="s">
        <v>3764</v>
      </c>
      <c r="C825" s="3" t="s">
        <v>2170</v>
      </c>
      <c r="D825" s="3" t="str">
        <f t="shared" si="102"/>
        <v>12-Jan-2025</v>
      </c>
      <c r="E825" s="3" t="str">
        <f t="shared" si="103"/>
        <v>06-Jan-2025</v>
      </c>
      <c r="F825" s="3">
        <f t="shared" si="104"/>
        <v>6</v>
      </c>
      <c r="G825" s="3" t="s">
        <v>3765</v>
      </c>
      <c r="H825" s="3" t="s">
        <v>48</v>
      </c>
      <c r="I825" s="3" t="s">
        <v>123</v>
      </c>
      <c r="J825" s="3" t="s">
        <v>81</v>
      </c>
      <c r="K825" s="3" t="s">
        <v>257</v>
      </c>
      <c r="L825" s="3" t="s">
        <v>258</v>
      </c>
      <c r="M825" s="3" t="s">
        <v>38</v>
      </c>
      <c r="N825" s="3" t="s">
        <v>39</v>
      </c>
      <c r="O825" s="3" t="s">
        <v>3766</v>
      </c>
      <c r="P825" s="3" t="s">
        <v>56</v>
      </c>
      <c r="Q825" s="3">
        <v>3</v>
      </c>
      <c r="R825" s="3">
        <v>668.33</v>
      </c>
      <c r="S825" s="3">
        <v>0.15</v>
      </c>
      <c r="T825" s="3">
        <v>1704.24</v>
      </c>
      <c r="U825" s="3">
        <v>957.55</v>
      </c>
      <c r="V825" s="3">
        <v>746.69</v>
      </c>
      <c r="W825" s="3" t="s">
        <v>42</v>
      </c>
      <c r="X825" s="3" t="s">
        <v>43</v>
      </c>
      <c r="Y825" s="2" t="str">
        <f t="shared" si="105"/>
        <v>Unique</v>
      </c>
      <c r="AA825" s="2" t="str">
        <f t="shared" si="106"/>
        <v>Clean</v>
      </c>
      <c r="AB825" s="2" t="str">
        <f t="shared" si="107"/>
        <v>valid</v>
      </c>
      <c r="AC825">
        <f t="shared" si="108"/>
        <v>0.15</v>
      </c>
      <c r="AD825">
        <f t="shared" si="109"/>
        <v>1704.2415000000001</v>
      </c>
      <c r="AE825">
        <f t="shared" si="110"/>
        <v>746.69150000000013</v>
      </c>
      <c r="AF825">
        <f t="shared" si="111"/>
        <v>0.43813714194848563</v>
      </c>
      <c r="AG825" t="str">
        <f t="shared" si="112"/>
        <v>January</v>
      </c>
      <c r="AH825">
        <f t="shared" si="113"/>
        <v>2025</v>
      </c>
      <c r="AI825" t="str">
        <f t="shared" si="114"/>
        <v>Clean</v>
      </c>
    </row>
    <row r="826" spans="1:35" ht="15.75" customHeight="1">
      <c r="A826" s="3" t="s">
        <v>3767</v>
      </c>
      <c r="B826" s="3" t="s">
        <v>3768</v>
      </c>
      <c r="C826" s="3" t="s">
        <v>2107</v>
      </c>
      <c r="D826" s="3" t="str">
        <f t="shared" si="102"/>
        <v>22-Mar-2025</v>
      </c>
      <c r="E826" s="3" t="str">
        <f t="shared" si="103"/>
        <v>21-Mar-2025</v>
      </c>
      <c r="F826" s="3">
        <f t="shared" si="104"/>
        <v>1</v>
      </c>
      <c r="G826" s="3" t="s">
        <v>3769</v>
      </c>
      <c r="H826" s="3" t="s">
        <v>150</v>
      </c>
      <c r="I826" s="3" t="s">
        <v>34</v>
      </c>
      <c r="J826" s="3" t="s">
        <v>81</v>
      </c>
      <c r="K826" s="3" t="s">
        <v>257</v>
      </c>
      <c r="L826" s="3" t="s">
        <v>258</v>
      </c>
      <c r="M826" s="3" t="s">
        <v>38</v>
      </c>
      <c r="N826" s="3" t="s">
        <v>39</v>
      </c>
      <c r="O826" s="3" t="s">
        <v>3770</v>
      </c>
      <c r="P826" s="3" t="s">
        <v>64</v>
      </c>
      <c r="Q826" s="3">
        <v>8</v>
      </c>
      <c r="R826" s="3">
        <v>4436.74</v>
      </c>
      <c r="S826" s="3">
        <v>0.05</v>
      </c>
      <c r="T826" s="3">
        <v>33719.22</v>
      </c>
      <c r="U826" s="3">
        <v>28924.43</v>
      </c>
      <c r="V826" s="3">
        <v>4794.79</v>
      </c>
      <c r="W826" s="3" t="s">
        <v>42</v>
      </c>
      <c r="X826" s="3" t="s">
        <v>43</v>
      </c>
      <c r="Y826" s="2" t="str">
        <f t="shared" si="105"/>
        <v>Unique</v>
      </c>
      <c r="AA826" s="2" t="str">
        <f t="shared" si="106"/>
        <v>Clean</v>
      </c>
      <c r="AB826" s="2" t="str">
        <f t="shared" si="107"/>
        <v>valid</v>
      </c>
      <c r="AC826">
        <f t="shared" si="108"/>
        <v>0.05</v>
      </c>
      <c r="AD826">
        <f t="shared" si="109"/>
        <v>33719.223999999995</v>
      </c>
      <c r="AE826">
        <f t="shared" si="110"/>
        <v>4794.7939999999944</v>
      </c>
      <c r="AF826">
        <f t="shared" si="111"/>
        <v>0.14219763776295669</v>
      </c>
      <c r="AG826" t="str">
        <f t="shared" si="112"/>
        <v>March</v>
      </c>
      <c r="AH826">
        <f t="shared" si="113"/>
        <v>2025</v>
      </c>
      <c r="AI826" t="str">
        <f t="shared" si="114"/>
        <v>Clean</v>
      </c>
    </row>
    <row r="827" spans="1:35" ht="15.75" customHeight="1">
      <c r="A827" s="3" t="s">
        <v>3771</v>
      </c>
      <c r="B827" s="3" t="s">
        <v>3772</v>
      </c>
      <c r="C827" s="3" t="s">
        <v>3773</v>
      </c>
      <c r="D827" s="3" t="str">
        <f t="shared" si="102"/>
        <v>17-Apr-2025</v>
      </c>
      <c r="E827" s="3" t="str">
        <f t="shared" si="103"/>
        <v>16-Apr-2025</v>
      </c>
      <c r="F827" s="3">
        <f t="shared" si="104"/>
        <v>1</v>
      </c>
      <c r="G827" s="3" t="s">
        <v>3774</v>
      </c>
      <c r="H827" s="3" t="s">
        <v>91</v>
      </c>
      <c r="I827" s="3" t="s">
        <v>49</v>
      </c>
      <c r="J827" s="3" t="s">
        <v>35</v>
      </c>
      <c r="K827" s="3" t="s">
        <v>182</v>
      </c>
      <c r="L827" s="3" t="s">
        <v>183</v>
      </c>
      <c r="M827" s="3" t="s">
        <v>94</v>
      </c>
      <c r="N827" s="3" t="s">
        <v>391</v>
      </c>
      <c r="O827" s="3" t="s">
        <v>3775</v>
      </c>
      <c r="P827" s="3" t="s">
        <v>64</v>
      </c>
      <c r="Q827" s="3">
        <v>1</v>
      </c>
      <c r="R827" s="3">
        <v>2720.17</v>
      </c>
      <c r="S827" s="3">
        <v>0</v>
      </c>
      <c r="T827" s="3">
        <v>2720.17</v>
      </c>
      <c r="U827" s="3">
        <v>1834.23</v>
      </c>
      <c r="V827" s="3">
        <v>885.94</v>
      </c>
      <c r="W827" s="3" t="s">
        <v>42</v>
      </c>
      <c r="X827" s="3" t="s">
        <v>43</v>
      </c>
      <c r="Y827" s="2" t="str">
        <f t="shared" si="105"/>
        <v>Unique</v>
      </c>
      <c r="AA827" s="2" t="str">
        <f t="shared" si="106"/>
        <v>Clean</v>
      </c>
      <c r="AB827" s="2" t="str">
        <f t="shared" si="107"/>
        <v>valid</v>
      </c>
      <c r="AC827">
        <f t="shared" si="108"/>
        <v>0</v>
      </c>
      <c r="AD827">
        <f t="shared" si="109"/>
        <v>2720.17</v>
      </c>
      <c r="AE827">
        <f t="shared" si="110"/>
        <v>885.94</v>
      </c>
      <c r="AF827">
        <f t="shared" si="111"/>
        <v>0.3256928794891496</v>
      </c>
      <c r="AG827" t="str">
        <f t="shared" si="112"/>
        <v>April</v>
      </c>
      <c r="AH827">
        <f t="shared" si="113"/>
        <v>2025</v>
      </c>
      <c r="AI827" t="str">
        <f t="shared" si="114"/>
        <v>Clean</v>
      </c>
    </row>
    <row r="828" spans="1:35" ht="15.75" customHeight="1">
      <c r="A828" s="3" t="s">
        <v>3776</v>
      </c>
      <c r="B828" s="3" t="s">
        <v>3091</v>
      </c>
      <c r="C828" s="3" t="s">
        <v>3777</v>
      </c>
      <c r="D828" s="3" t="str">
        <f t="shared" si="102"/>
        <v>14-Aug-2025</v>
      </c>
      <c r="E828" s="3" t="str">
        <f t="shared" si="103"/>
        <v>10-Aug-2025</v>
      </c>
      <c r="F828" s="3">
        <f t="shared" si="104"/>
        <v>4</v>
      </c>
      <c r="G828" s="3" t="s">
        <v>3778</v>
      </c>
      <c r="H828" s="3" t="s">
        <v>115</v>
      </c>
      <c r="I828" s="3" t="s">
        <v>34</v>
      </c>
      <c r="J828" s="3" t="s">
        <v>81</v>
      </c>
      <c r="K828" s="3" t="s">
        <v>36</v>
      </c>
      <c r="L828" s="3" t="s">
        <v>143</v>
      </c>
      <c r="M828" s="3" t="s">
        <v>94</v>
      </c>
      <c r="N828" s="3" t="s">
        <v>95</v>
      </c>
      <c r="O828" s="3" t="s">
        <v>3779</v>
      </c>
      <c r="P828" s="3" t="s">
        <v>75</v>
      </c>
      <c r="Q828" s="3">
        <v>5</v>
      </c>
      <c r="R828" s="3">
        <v>2190.14</v>
      </c>
      <c r="S828" s="3">
        <v>0.25</v>
      </c>
      <c r="T828" s="3">
        <v>8213.02</v>
      </c>
      <c r="U828" s="3">
        <v>5569.3</v>
      </c>
      <c r="V828" s="3">
        <v>2643.72</v>
      </c>
      <c r="W828" s="3" t="s">
        <v>42</v>
      </c>
      <c r="X828" s="3" t="s">
        <v>43</v>
      </c>
      <c r="Y828" s="2" t="str">
        <f t="shared" si="105"/>
        <v>Unique</v>
      </c>
      <c r="AA828" s="2" t="str">
        <f t="shared" si="106"/>
        <v>Clean</v>
      </c>
      <c r="AB828" s="2" t="str">
        <f t="shared" si="107"/>
        <v>valid</v>
      </c>
      <c r="AC828">
        <f t="shared" si="108"/>
        <v>0.25</v>
      </c>
      <c r="AD828">
        <f t="shared" si="109"/>
        <v>8213.0249999999996</v>
      </c>
      <c r="AE828">
        <f t="shared" si="110"/>
        <v>2643.7249999999995</v>
      </c>
      <c r="AF828">
        <f t="shared" si="111"/>
        <v>0.32189418636860345</v>
      </c>
      <c r="AG828" t="str">
        <f t="shared" si="112"/>
        <v>August</v>
      </c>
      <c r="AH828">
        <f t="shared" si="113"/>
        <v>2025</v>
      </c>
      <c r="AI828" t="str">
        <f t="shared" si="114"/>
        <v>Clean</v>
      </c>
    </row>
    <row r="829" spans="1:35" ht="15.75" customHeight="1">
      <c r="A829" s="3" t="s">
        <v>3780</v>
      </c>
      <c r="B829" s="3" t="s">
        <v>3781</v>
      </c>
      <c r="C829" s="3" t="s">
        <v>1748</v>
      </c>
      <c r="D829" s="3" t="str">
        <f t="shared" si="102"/>
        <v>01-Dec-2024</v>
      </c>
      <c r="E829" s="3" t="str">
        <f t="shared" si="103"/>
        <v>24-Nov-2024</v>
      </c>
      <c r="F829" s="3">
        <f t="shared" si="104"/>
        <v>7</v>
      </c>
      <c r="G829" s="3" t="s">
        <v>3782</v>
      </c>
      <c r="H829" s="3" t="s">
        <v>150</v>
      </c>
      <c r="I829" s="3" t="s">
        <v>123</v>
      </c>
      <c r="J829" s="3" t="s">
        <v>70</v>
      </c>
      <c r="K829" s="3" t="s">
        <v>347</v>
      </c>
      <c r="L829" s="3" t="s">
        <v>348</v>
      </c>
      <c r="M829" s="3" t="s">
        <v>38</v>
      </c>
      <c r="N829" s="3" t="s">
        <v>39</v>
      </c>
      <c r="O829" s="3" t="s">
        <v>3783</v>
      </c>
      <c r="P829" s="3" t="s">
        <v>56</v>
      </c>
      <c r="Q829" s="3">
        <v>1</v>
      </c>
      <c r="R829" s="3">
        <v>844.89</v>
      </c>
      <c r="S829" s="3">
        <v>0.25</v>
      </c>
      <c r="T829" s="3">
        <v>633.66999999999996</v>
      </c>
      <c r="U829" s="3">
        <v>520.47</v>
      </c>
      <c r="V829" s="3">
        <v>113.2</v>
      </c>
      <c r="W829" s="3" t="s">
        <v>42</v>
      </c>
      <c r="X829" s="3" t="s">
        <v>86</v>
      </c>
      <c r="Y829" s="2" t="str">
        <f t="shared" si="105"/>
        <v>Unique</v>
      </c>
      <c r="AA829" s="2" t="str">
        <f t="shared" si="106"/>
        <v>Clean</v>
      </c>
      <c r="AB829" s="2" t="str">
        <f t="shared" si="107"/>
        <v>valid</v>
      </c>
      <c r="AC829">
        <f t="shared" si="108"/>
        <v>0.25</v>
      </c>
      <c r="AD829">
        <f t="shared" si="109"/>
        <v>633.66750000000002</v>
      </c>
      <c r="AE829">
        <f t="shared" si="110"/>
        <v>113.19749999999999</v>
      </c>
      <c r="AF829">
        <f t="shared" si="111"/>
        <v>0.17863863934950111</v>
      </c>
      <c r="AG829" t="str">
        <f t="shared" si="112"/>
        <v>November</v>
      </c>
      <c r="AH829">
        <f t="shared" si="113"/>
        <v>2024</v>
      </c>
      <c r="AI829" t="str">
        <f t="shared" si="114"/>
        <v>Warning</v>
      </c>
    </row>
    <row r="830" spans="1:35" ht="15.75" customHeight="1">
      <c r="A830" s="3" t="s">
        <v>3784</v>
      </c>
      <c r="B830" s="3" t="s">
        <v>3785</v>
      </c>
      <c r="C830" s="3" t="s">
        <v>3786</v>
      </c>
      <c r="D830" s="3" t="str">
        <f t="shared" si="102"/>
        <v>11-Oct-2025</v>
      </c>
      <c r="E830" s="3" t="str">
        <f t="shared" si="103"/>
        <v>10-Oct-2025</v>
      </c>
      <c r="F830" s="3">
        <f t="shared" si="104"/>
        <v>1</v>
      </c>
      <c r="G830" s="3" t="s">
        <v>3787</v>
      </c>
      <c r="H830" s="3" t="s">
        <v>3788</v>
      </c>
      <c r="I830" s="3" t="s">
        <v>116</v>
      </c>
      <c r="J830" s="3" t="s">
        <v>50</v>
      </c>
      <c r="K830" s="3" t="s">
        <v>51</v>
      </c>
      <c r="L830" s="3" t="s">
        <v>52</v>
      </c>
      <c r="M830" s="3" t="s">
        <v>53</v>
      </c>
      <c r="N830" s="3" t="s">
        <v>84</v>
      </c>
      <c r="O830" s="3" t="s">
        <v>3789</v>
      </c>
      <c r="P830" s="3" t="s">
        <v>41</v>
      </c>
      <c r="Q830" s="3">
        <v>7</v>
      </c>
      <c r="R830" s="3">
        <v>3791.96</v>
      </c>
      <c r="S830" s="3">
        <v>0.05</v>
      </c>
      <c r="T830" s="3">
        <v>25216.53</v>
      </c>
      <c r="U830" s="3">
        <v>14216.94</v>
      </c>
      <c r="V830" s="3">
        <v>10999.59</v>
      </c>
      <c r="W830" s="3" t="s">
        <v>208</v>
      </c>
      <c r="X830" s="3" t="s">
        <v>86</v>
      </c>
      <c r="Y830" s="2" t="str">
        <f t="shared" si="105"/>
        <v>Unique</v>
      </c>
      <c r="AA830" s="2" t="str">
        <f t="shared" si="106"/>
        <v>Clean</v>
      </c>
      <c r="AB830" s="2" t="str">
        <f t="shared" si="107"/>
        <v>valid</v>
      </c>
      <c r="AC830">
        <f t="shared" si="108"/>
        <v>0.05</v>
      </c>
      <c r="AD830">
        <f t="shared" si="109"/>
        <v>25216.534</v>
      </c>
      <c r="AE830">
        <f t="shared" si="110"/>
        <v>10999.593999999999</v>
      </c>
      <c r="AF830">
        <f t="shared" si="111"/>
        <v>0.4362056260388521</v>
      </c>
      <c r="AG830" t="str">
        <f t="shared" si="112"/>
        <v>October</v>
      </c>
      <c r="AH830">
        <f t="shared" si="113"/>
        <v>2025</v>
      </c>
      <c r="AI830" t="str">
        <f t="shared" si="114"/>
        <v>Warning</v>
      </c>
    </row>
    <row r="831" spans="1:35" ht="15.75" customHeight="1">
      <c r="A831" s="3" t="s">
        <v>3790</v>
      </c>
      <c r="B831" s="3" t="s">
        <v>3791</v>
      </c>
      <c r="C831" s="3" t="s">
        <v>1474</v>
      </c>
      <c r="D831" s="3" t="str">
        <f t="shared" si="102"/>
        <v>28-Feb-2024</v>
      </c>
      <c r="E831" s="3" t="str">
        <f t="shared" si="103"/>
        <v>26-Feb-2024</v>
      </c>
      <c r="F831" s="3">
        <f t="shared" si="104"/>
        <v>2</v>
      </c>
      <c r="G831" s="3" t="s">
        <v>3792</v>
      </c>
      <c r="H831" s="3" t="s">
        <v>115</v>
      </c>
      <c r="I831" s="3" t="s">
        <v>49</v>
      </c>
      <c r="J831" s="3" t="s">
        <v>81</v>
      </c>
      <c r="K831" s="3" t="s">
        <v>257</v>
      </c>
      <c r="L831" s="3" t="s">
        <v>258</v>
      </c>
      <c r="M831" s="3" t="s">
        <v>53</v>
      </c>
      <c r="N831" s="3" t="s">
        <v>73</v>
      </c>
      <c r="O831" s="3" t="s">
        <v>3793</v>
      </c>
      <c r="P831" s="3" t="s">
        <v>41</v>
      </c>
      <c r="Q831" s="3">
        <v>7</v>
      </c>
      <c r="R831" s="3">
        <v>1035.1400000000001</v>
      </c>
      <c r="S831" s="3">
        <v>0.1</v>
      </c>
      <c r="T831" s="3">
        <v>6521.38</v>
      </c>
      <c r="U831" s="3">
        <v>4511.1000000000004</v>
      </c>
      <c r="V831" s="3">
        <v>2010.28</v>
      </c>
      <c r="W831" s="3" t="s">
        <v>42</v>
      </c>
      <c r="X831" s="3" t="s">
        <v>43</v>
      </c>
      <c r="Y831" s="2" t="str">
        <f t="shared" si="105"/>
        <v>Unique</v>
      </c>
      <c r="AA831" s="2" t="str">
        <f t="shared" si="106"/>
        <v>Clean</v>
      </c>
      <c r="AB831" s="2" t="str">
        <f t="shared" si="107"/>
        <v>valid</v>
      </c>
      <c r="AC831">
        <f t="shared" si="108"/>
        <v>0.1</v>
      </c>
      <c r="AD831">
        <f t="shared" si="109"/>
        <v>6521.3820000000005</v>
      </c>
      <c r="AE831">
        <f t="shared" si="110"/>
        <v>2010.2820000000002</v>
      </c>
      <c r="AF831">
        <f t="shared" si="111"/>
        <v>0.30826012032418892</v>
      </c>
      <c r="AG831" t="str">
        <f t="shared" si="112"/>
        <v>February</v>
      </c>
      <c r="AH831">
        <f t="shared" si="113"/>
        <v>2024</v>
      </c>
      <c r="AI831" t="str">
        <f t="shared" si="114"/>
        <v>Clean</v>
      </c>
    </row>
    <row r="832" spans="1:35" ht="15.75" customHeight="1">
      <c r="A832" s="3" t="s">
        <v>3794</v>
      </c>
      <c r="B832" s="3" t="s">
        <v>2897</v>
      </c>
      <c r="C832" s="3" t="s">
        <v>729</v>
      </c>
      <c r="D832" s="3" t="str">
        <f t="shared" si="102"/>
        <v>18-Jul-2025</v>
      </c>
      <c r="E832" s="3" t="str">
        <f t="shared" si="103"/>
        <v>15-Jul-2025</v>
      </c>
      <c r="F832" s="3">
        <f t="shared" si="104"/>
        <v>3</v>
      </c>
      <c r="G832" s="3" t="s">
        <v>3795</v>
      </c>
      <c r="H832" s="3" t="s">
        <v>115</v>
      </c>
      <c r="I832" s="3" t="s">
        <v>49</v>
      </c>
      <c r="J832" s="3" t="s">
        <v>280</v>
      </c>
      <c r="K832" s="3" t="s">
        <v>347</v>
      </c>
      <c r="L832" s="3" t="s">
        <v>348</v>
      </c>
      <c r="M832" s="3" t="s">
        <v>94</v>
      </c>
      <c r="N832" s="3" t="s">
        <v>391</v>
      </c>
      <c r="O832" s="3" t="s">
        <v>3796</v>
      </c>
      <c r="P832" s="3" t="s">
        <v>64</v>
      </c>
      <c r="Q832" s="3">
        <v>6</v>
      </c>
      <c r="R832" s="3">
        <v>2382.88</v>
      </c>
      <c r="S832" s="3">
        <v>0.1</v>
      </c>
      <c r="T832" s="3">
        <v>12867.55</v>
      </c>
      <c r="U832" s="3">
        <v>10068.94</v>
      </c>
      <c r="V832" s="3">
        <v>2798.61</v>
      </c>
      <c r="W832" s="3" t="s">
        <v>42</v>
      </c>
      <c r="X832" s="3" t="s">
        <v>43</v>
      </c>
      <c r="Y832" s="2" t="str">
        <f t="shared" si="105"/>
        <v>Unique</v>
      </c>
      <c r="AA832" s="2" t="str">
        <f t="shared" si="106"/>
        <v>Clean</v>
      </c>
      <c r="AB832" s="2" t="str">
        <f t="shared" si="107"/>
        <v>valid</v>
      </c>
      <c r="AC832">
        <f t="shared" si="108"/>
        <v>0.1</v>
      </c>
      <c r="AD832">
        <f t="shared" si="109"/>
        <v>12867.552000000001</v>
      </c>
      <c r="AE832">
        <f t="shared" si="110"/>
        <v>2798.612000000001</v>
      </c>
      <c r="AF832">
        <f t="shared" si="111"/>
        <v>0.21749373929089236</v>
      </c>
      <c r="AG832" t="str">
        <f t="shared" si="112"/>
        <v>July</v>
      </c>
      <c r="AH832">
        <f t="shared" si="113"/>
        <v>2025</v>
      </c>
      <c r="AI832" t="str">
        <f t="shared" si="114"/>
        <v>Clean</v>
      </c>
    </row>
    <row r="833" spans="1:35" ht="15.75" customHeight="1">
      <c r="A833" s="3" t="s">
        <v>3797</v>
      </c>
      <c r="B833" s="3" t="s">
        <v>478</v>
      </c>
      <c r="C833" s="3" t="s">
        <v>3243</v>
      </c>
      <c r="D833" s="3" t="str">
        <f t="shared" si="102"/>
        <v>03-Apr-2025</v>
      </c>
      <c r="E833" s="3" t="str">
        <f t="shared" si="103"/>
        <v>04-Mar-2025</v>
      </c>
      <c r="F833" s="3">
        <f t="shared" si="104"/>
        <v>30</v>
      </c>
      <c r="G833" s="3" t="s">
        <v>3798</v>
      </c>
      <c r="H833" s="3" t="s">
        <v>218</v>
      </c>
      <c r="I833" s="3" t="s">
        <v>123</v>
      </c>
      <c r="J833" s="3" t="s">
        <v>280</v>
      </c>
      <c r="K833" s="3" t="s">
        <v>331</v>
      </c>
      <c r="L833" s="3" t="s">
        <v>332</v>
      </c>
      <c r="M833" s="3" t="s">
        <v>53</v>
      </c>
      <c r="N833" s="3" t="s">
        <v>84</v>
      </c>
      <c r="O833" s="3" t="s">
        <v>3799</v>
      </c>
      <c r="P833" s="3" t="s">
        <v>64</v>
      </c>
      <c r="Q833" s="3">
        <v>9</v>
      </c>
      <c r="R833" s="3">
        <v>3462.7</v>
      </c>
      <c r="S833" s="3">
        <v>0.15</v>
      </c>
      <c r="T833" s="3">
        <v>26489.65</v>
      </c>
      <c r="U833" s="3">
        <v>15818.46</v>
      </c>
      <c r="V833" s="3">
        <v>10671.19</v>
      </c>
      <c r="W833" s="3" t="s">
        <v>208</v>
      </c>
      <c r="X833" s="3" t="s">
        <v>133</v>
      </c>
      <c r="Y833" s="2" t="str">
        <f t="shared" si="105"/>
        <v>Unique</v>
      </c>
      <c r="AA833" s="2" t="str">
        <f t="shared" si="106"/>
        <v>Clean</v>
      </c>
      <c r="AB833" s="2" t="str">
        <f t="shared" si="107"/>
        <v>valid</v>
      </c>
      <c r="AC833">
        <f t="shared" si="108"/>
        <v>0.15</v>
      </c>
      <c r="AD833">
        <f t="shared" si="109"/>
        <v>26489.654999999999</v>
      </c>
      <c r="AE833">
        <f t="shared" si="110"/>
        <v>10671.195</v>
      </c>
      <c r="AF833">
        <f t="shared" si="111"/>
        <v>0.40284386489744772</v>
      </c>
      <c r="AG833" t="str">
        <f t="shared" si="112"/>
        <v>March</v>
      </c>
      <c r="AH833">
        <f t="shared" si="113"/>
        <v>2025</v>
      </c>
      <c r="AI833" t="str">
        <f t="shared" si="114"/>
        <v>Warning</v>
      </c>
    </row>
    <row r="834" spans="1:35" ht="15.75" customHeight="1">
      <c r="A834" s="3" t="s">
        <v>3800</v>
      </c>
      <c r="B834" s="3" t="s">
        <v>3801</v>
      </c>
      <c r="C834" s="3" t="s">
        <v>3802</v>
      </c>
      <c r="D834" s="3" t="str">
        <f t="shared" si="102"/>
        <v>28-May-2025</v>
      </c>
      <c r="E834" s="3" t="str">
        <f t="shared" si="103"/>
        <v>26-May-2025</v>
      </c>
      <c r="F834" s="3">
        <f t="shared" si="104"/>
        <v>2</v>
      </c>
      <c r="G834" s="3" t="s">
        <v>3803</v>
      </c>
      <c r="H834" s="3" t="s">
        <v>375</v>
      </c>
      <c r="I834" s="3" t="s">
        <v>49</v>
      </c>
      <c r="J834" s="3" t="s">
        <v>70</v>
      </c>
      <c r="K834" s="3" t="s">
        <v>108</v>
      </c>
      <c r="L834" s="3" t="s">
        <v>109</v>
      </c>
      <c r="M834" s="3" t="s">
        <v>94</v>
      </c>
      <c r="N834" s="3" t="s">
        <v>231</v>
      </c>
      <c r="O834" s="3" t="s">
        <v>3804</v>
      </c>
      <c r="P834" s="3" t="s">
        <v>41</v>
      </c>
      <c r="Q834" s="3">
        <v>9</v>
      </c>
      <c r="R834" s="3">
        <v>4302.0200000000004</v>
      </c>
      <c r="S834" s="3">
        <v>0.05</v>
      </c>
      <c r="T834" s="3">
        <v>36782.269999999997</v>
      </c>
      <c r="U834" s="3">
        <v>25902.81</v>
      </c>
      <c r="V834" s="3">
        <v>10879.46</v>
      </c>
      <c r="W834" s="3" t="s">
        <v>42</v>
      </c>
      <c r="X834" s="3" t="s">
        <v>43</v>
      </c>
      <c r="Y834" s="2" t="str">
        <f t="shared" si="105"/>
        <v>Unique</v>
      </c>
      <c r="AA834" s="2" t="str">
        <f t="shared" si="106"/>
        <v>Clean</v>
      </c>
      <c r="AB834" s="2" t="str">
        <f t="shared" si="107"/>
        <v>valid</v>
      </c>
      <c r="AC834">
        <f t="shared" si="108"/>
        <v>0.05</v>
      </c>
      <c r="AD834">
        <f t="shared" si="109"/>
        <v>36782.271000000008</v>
      </c>
      <c r="AE834">
        <f t="shared" si="110"/>
        <v>10879.461000000007</v>
      </c>
      <c r="AF834">
        <f t="shared" si="111"/>
        <v>0.29578002402298664</v>
      </c>
      <c r="AG834" t="str">
        <f t="shared" si="112"/>
        <v>May</v>
      </c>
      <c r="AH834">
        <f t="shared" si="113"/>
        <v>2025</v>
      </c>
      <c r="AI834" t="str">
        <f t="shared" si="114"/>
        <v>Clean</v>
      </c>
    </row>
    <row r="835" spans="1:35" ht="15.75" customHeight="1">
      <c r="A835" s="3" t="s">
        <v>3805</v>
      </c>
      <c r="B835" s="3" t="s">
        <v>3806</v>
      </c>
      <c r="C835" s="3" t="s">
        <v>3807</v>
      </c>
      <c r="D835" s="3" t="str">
        <f t="shared" si="102"/>
        <v>06-Apr-2024</v>
      </c>
      <c r="E835" s="3" t="str">
        <f t="shared" si="103"/>
        <v>04-Jun-2024</v>
      </c>
      <c r="F835" s="3">
        <f t="shared" si="104"/>
        <v>-59</v>
      </c>
      <c r="G835" s="3" t="s">
        <v>3808</v>
      </c>
      <c r="H835" s="3" t="s">
        <v>156</v>
      </c>
      <c r="I835" s="3" t="s">
        <v>123</v>
      </c>
      <c r="J835" s="3" t="s">
        <v>50</v>
      </c>
      <c r="K835" s="3" t="s">
        <v>129</v>
      </c>
      <c r="L835" s="3" t="s">
        <v>130</v>
      </c>
      <c r="M835" s="3" t="s">
        <v>53</v>
      </c>
      <c r="N835" s="3" t="s">
        <v>212</v>
      </c>
      <c r="O835" s="3" t="s">
        <v>3809</v>
      </c>
      <c r="P835" s="3" t="s">
        <v>64</v>
      </c>
      <c r="Q835" s="3">
        <v>6</v>
      </c>
      <c r="R835" s="3">
        <v>3949.4</v>
      </c>
      <c r="S835" s="3">
        <v>0</v>
      </c>
      <c r="T835" s="3">
        <v>23696.400000000001</v>
      </c>
      <c r="U835" s="3">
        <v>18109.77</v>
      </c>
      <c r="V835" s="3">
        <v>5586.63</v>
      </c>
      <c r="W835" s="3" t="s">
        <v>42</v>
      </c>
      <c r="X835" s="3" t="s">
        <v>43</v>
      </c>
      <c r="Y835" s="2" t="str">
        <f t="shared" si="105"/>
        <v>Unique</v>
      </c>
      <c r="AA835" s="2" t="str">
        <f t="shared" si="106"/>
        <v>Clean</v>
      </c>
      <c r="AB835" s="2" t="str">
        <f t="shared" si="107"/>
        <v>Invalid</v>
      </c>
      <c r="AC835">
        <f t="shared" ref="AC835:AC898" si="115">IF(S835="",0,IF(S835&gt;1,S835/100,S835))</f>
        <v>0</v>
      </c>
      <c r="AD835">
        <f t="shared" ref="AD835:AD898" si="116">Q835*R835*(1-AC835)</f>
        <v>23696.400000000001</v>
      </c>
      <c r="AE835">
        <f t="shared" ref="AE835:AE898" si="117">AD835-U835</f>
        <v>5586.630000000001</v>
      </c>
      <c r="AF835">
        <f t="shared" ref="AF835:AF898" si="118">AE835/AD835</f>
        <v>0.23575859624246723</v>
      </c>
      <c r="AG835" t="str">
        <f t="shared" ref="AG835:AG898" si="119">TEXT(E835,"mmmm")</f>
        <v>June</v>
      </c>
      <c r="AH835">
        <f t="shared" ref="AH835:AH898" si="120">YEAR(E835)</f>
        <v>2024</v>
      </c>
      <c r="AI835" t="str">
        <f t="shared" ref="AI835:AI898" si="121">IF(OR(AC835&lt;0,AC835&gt;0.5,F835="Invalid Shipping Record"),"Invalid",
IF(OR(X835="Cancelled",W835="Failed"),"Warning","Clean"))</f>
        <v>Clean</v>
      </c>
    </row>
    <row r="836" spans="1:35" ht="15.75" customHeight="1">
      <c r="A836" s="3" t="s">
        <v>3810</v>
      </c>
      <c r="B836" s="3" t="s">
        <v>241</v>
      </c>
      <c r="C836" s="3" t="s">
        <v>3811</v>
      </c>
      <c r="D836" s="3" t="str">
        <f t="shared" si="102"/>
        <v>22-Oct-2024</v>
      </c>
      <c r="E836" s="3" t="str">
        <f t="shared" si="103"/>
        <v>18-Oct-2024</v>
      </c>
      <c r="F836" s="3">
        <f t="shared" si="104"/>
        <v>4</v>
      </c>
      <c r="G836" s="3" t="s">
        <v>3812</v>
      </c>
      <c r="H836" s="3" t="s">
        <v>170</v>
      </c>
      <c r="I836" s="3" t="s">
        <v>123</v>
      </c>
      <c r="J836" s="3" t="s">
        <v>70</v>
      </c>
      <c r="K836" s="3" t="s">
        <v>71</v>
      </c>
      <c r="L836" s="3" t="s">
        <v>72</v>
      </c>
      <c r="M836" s="3" t="s">
        <v>38</v>
      </c>
      <c r="N836" s="3" t="s">
        <v>62</v>
      </c>
      <c r="O836" s="3" t="s">
        <v>3813</v>
      </c>
      <c r="P836" s="3" t="s">
        <v>64</v>
      </c>
      <c r="Q836" s="3">
        <v>6</v>
      </c>
      <c r="R836" s="3">
        <v>674.61</v>
      </c>
      <c r="S836" s="3">
        <v>0</v>
      </c>
      <c r="T836" s="3">
        <v>4047.66</v>
      </c>
      <c r="U836" s="3">
        <v>3078.93</v>
      </c>
      <c r="V836" s="3">
        <v>1279.79</v>
      </c>
      <c r="W836" s="3" t="s">
        <v>42</v>
      </c>
      <c r="X836" s="3" t="s">
        <v>43</v>
      </c>
      <c r="Y836" s="2" t="str">
        <f t="shared" si="105"/>
        <v>Unique</v>
      </c>
      <c r="AA836" s="2" t="str">
        <f t="shared" si="106"/>
        <v>Clean</v>
      </c>
      <c r="AB836" s="2" t="str">
        <f t="shared" si="107"/>
        <v>valid</v>
      </c>
      <c r="AC836">
        <f t="shared" si="115"/>
        <v>0</v>
      </c>
      <c r="AD836">
        <f t="shared" si="116"/>
        <v>4047.66</v>
      </c>
      <c r="AE836">
        <f t="shared" si="117"/>
        <v>968.73</v>
      </c>
      <c r="AF836">
        <f t="shared" si="118"/>
        <v>0.23933087265234729</v>
      </c>
      <c r="AG836" t="str">
        <f t="shared" si="119"/>
        <v>October</v>
      </c>
      <c r="AH836">
        <f t="shared" si="120"/>
        <v>2024</v>
      </c>
      <c r="AI836" t="str">
        <f t="shared" si="121"/>
        <v>Clean</v>
      </c>
    </row>
    <row r="837" spans="1:35" ht="15.75" customHeight="1">
      <c r="A837" s="3" t="s">
        <v>3814</v>
      </c>
      <c r="B837" s="3" t="s">
        <v>2739</v>
      </c>
      <c r="C837" s="3" t="s">
        <v>960</v>
      </c>
      <c r="D837" s="3" t="str">
        <f t="shared" si="102"/>
        <v>04-Oct-2025</v>
      </c>
      <c r="E837" s="3" t="str">
        <f t="shared" si="103"/>
        <v>26-Sep-2025</v>
      </c>
      <c r="F837" s="3">
        <f t="shared" si="104"/>
        <v>8</v>
      </c>
      <c r="G837" s="3" t="s">
        <v>3815</v>
      </c>
      <c r="H837" s="3" t="s">
        <v>150</v>
      </c>
      <c r="I837" s="3" t="s">
        <v>49</v>
      </c>
      <c r="J837" s="3" t="s">
        <v>50</v>
      </c>
      <c r="K837" s="3" t="s">
        <v>224</v>
      </c>
      <c r="L837" s="3" t="s">
        <v>225</v>
      </c>
      <c r="M837" s="3" t="s">
        <v>94</v>
      </c>
      <c r="N837" s="3" t="s">
        <v>231</v>
      </c>
      <c r="O837" s="3" t="s">
        <v>3816</v>
      </c>
      <c r="P837" s="3" t="s">
        <v>41</v>
      </c>
      <c r="Q837" s="3">
        <v>7</v>
      </c>
      <c r="R837" s="3">
        <v>1509.59</v>
      </c>
      <c r="S837" s="3">
        <v>0.05</v>
      </c>
      <c r="T837" s="3">
        <v>10038.77</v>
      </c>
      <c r="U837" s="3">
        <v>5673.1</v>
      </c>
      <c r="V837" s="3">
        <v>4365.67</v>
      </c>
      <c r="W837" s="3" t="s">
        <v>42</v>
      </c>
      <c r="X837" s="3" t="s">
        <v>43</v>
      </c>
      <c r="Y837" s="2" t="str">
        <f t="shared" si="105"/>
        <v>Unique</v>
      </c>
      <c r="AA837" s="2" t="str">
        <f t="shared" si="106"/>
        <v>Clean</v>
      </c>
      <c r="AB837" s="2" t="str">
        <f t="shared" si="107"/>
        <v>valid</v>
      </c>
      <c r="AC837">
        <f t="shared" si="115"/>
        <v>0.05</v>
      </c>
      <c r="AD837">
        <f t="shared" si="116"/>
        <v>10038.773499999999</v>
      </c>
      <c r="AE837">
        <f t="shared" si="117"/>
        <v>4365.673499999999</v>
      </c>
      <c r="AF837">
        <f t="shared" si="118"/>
        <v>0.43488116352062323</v>
      </c>
      <c r="AG837" t="str">
        <f t="shared" si="119"/>
        <v>September</v>
      </c>
      <c r="AH837">
        <f t="shared" si="120"/>
        <v>2025</v>
      </c>
      <c r="AI837" t="str">
        <f t="shared" si="121"/>
        <v>Clean</v>
      </c>
    </row>
    <row r="838" spans="1:35" ht="15.75" customHeight="1">
      <c r="A838" s="3" t="s">
        <v>3817</v>
      </c>
      <c r="B838" s="3" t="s">
        <v>2452</v>
      </c>
      <c r="C838" s="3" t="s">
        <v>3818</v>
      </c>
      <c r="D838" s="3" t="str">
        <f t="shared" si="102"/>
        <v>18-Dec-2024</v>
      </c>
      <c r="E838" s="3" t="str">
        <f t="shared" si="103"/>
        <v>15-Dec-2024</v>
      </c>
      <c r="F838" s="3">
        <f t="shared" si="104"/>
        <v>3</v>
      </c>
      <c r="G838" s="3" t="s">
        <v>3819</v>
      </c>
      <c r="H838" s="3" t="s">
        <v>61</v>
      </c>
      <c r="I838" s="3" t="s">
        <v>49</v>
      </c>
      <c r="J838" s="3" t="s">
        <v>35</v>
      </c>
      <c r="K838" s="3" t="s">
        <v>36</v>
      </c>
      <c r="L838" s="3" t="s">
        <v>37</v>
      </c>
      <c r="M838" s="3" t="s">
        <v>38</v>
      </c>
      <c r="N838" s="3" t="s">
        <v>117</v>
      </c>
      <c r="O838" s="3" t="s">
        <v>3820</v>
      </c>
      <c r="P838" s="3" t="s">
        <v>41</v>
      </c>
      <c r="Q838" s="3">
        <v>2</v>
      </c>
      <c r="R838" s="3">
        <v>537.11</v>
      </c>
      <c r="S838" s="3">
        <v>0</v>
      </c>
      <c r="T838" s="3">
        <v>1074.22</v>
      </c>
      <c r="U838" s="3">
        <v>850.86</v>
      </c>
      <c r="V838" s="3">
        <v>223.36</v>
      </c>
      <c r="W838" s="3" t="s">
        <v>42</v>
      </c>
      <c r="X838" s="3" t="s">
        <v>43</v>
      </c>
      <c r="Y838" s="2" t="str">
        <f t="shared" si="105"/>
        <v>Unique</v>
      </c>
      <c r="AA838" s="2" t="str">
        <f t="shared" si="106"/>
        <v>Clean</v>
      </c>
      <c r="AB838" s="2" t="str">
        <f t="shared" si="107"/>
        <v>valid</v>
      </c>
      <c r="AC838">
        <f t="shared" si="115"/>
        <v>0</v>
      </c>
      <c r="AD838">
        <f t="shared" si="116"/>
        <v>1074.22</v>
      </c>
      <c r="AE838">
        <f t="shared" si="117"/>
        <v>223.36</v>
      </c>
      <c r="AF838">
        <f t="shared" si="118"/>
        <v>0.20792761259332354</v>
      </c>
      <c r="AG838" t="str">
        <f t="shared" si="119"/>
        <v>December</v>
      </c>
      <c r="AH838">
        <f t="shared" si="120"/>
        <v>2024</v>
      </c>
      <c r="AI838" t="str">
        <f t="shared" si="121"/>
        <v>Clean</v>
      </c>
    </row>
    <row r="839" spans="1:35" ht="15.75" customHeight="1">
      <c r="A839" s="3" t="s">
        <v>3821</v>
      </c>
      <c r="B839" s="3" t="s">
        <v>507</v>
      </c>
      <c r="C839" s="3" t="s">
        <v>3822</v>
      </c>
      <c r="D839" s="3" t="str">
        <f t="shared" si="102"/>
        <v>28-Sep-2025</v>
      </c>
      <c r="E839" s="3" t="str">
        <f t="shared" si="103"/>
        <v>27-Sep-2025</v>
      </c>
      <c r="F839" s="3">
        <f t="shared" si="104"/>
        <v>1</v>
      </c>
      <c r="G839" s="3" t="s">
        <v>3823</v>
      </c>
      <c r="H839" s="3" t="s">
        <v>33</v>
      </c>
      <c r="I839" s="3" t="s">
        <v>123</v>
      </c>
      <c r="J839" s="3" t="s">
        <v>81</v>
      </c>
      <c r="K839" s="3" t="s">
        <v>82</v>
      </c>
      <c r="L839" s="3" t="s">
        <v>83</v>
      </c>
      <c r="M839" s="3" t="s">
        <v>38</v>
      </c>
      <c r="N839" s="3" t="s">
        <v>39</v>
      </c>
      <c r="O839" s="3" t="s">
        <v>3824</v>
      </c>
      <c r="P839" s="3" t="s">
        <v>64</v>
      </c>
      <c r="Q839" s="3">
        <v>3</v>
      </c>
      <c r="R839" s="3">
        <v>4177.63</v>
      </c>
      <c r="S839" s="3">
        <v>0.25</v>
      </c>
      <c r="T839" s="3">
        <v>9399.67</v>
      </c>
      <c r="U839" s="3">
        <v>6540.37</v>
      </c>
      <c r="V839" s="3">
        <v>2859.3</v>
      </c>
      <c r="W839" s="3" t="s">
        <v>42</v>
      </c>
      <c r="X839" s="3" t="s">
        <v>43</v>
      </c>
      <c r="Y839" s="2" t="str">
        <f t="shared" si="105"/>
        <v>Unique</v>
      </c>
      <c r="AA839" s="2" t="str">
        <f t="shared" si="106"/>
        <v>Clean</v>
      </c>
      <c r="AB839" s="2" t="str">
        <f t="shared" si="107"/>
        <v>valid</v>
      </c>
      <c r="AC839">
        <f t="shared" si="115"/>
        <v>0.25</v>
      </c>
      <c r="AD839">
        <f t="shared" si="116"/>
        <v>9399.6674999999996</v>
      </c>
      <c r="AE839">
        <f t="shared" si="117"/>
        <v>2859.2974999999997</v>
      </c>
      <c r="AF839">
        <f t="shared" si="118"/>
        <v>0.30419134506619516</v>
      </c>
      <c r="AG839" t="str">
        <f t="shared" si="119"/>
        <v>September</v>
      </c>
      <c r="AH839">
        <f t="shared" si="120"/>
        <v>2025</v>
      </c>
      <c r="AI839" t="str">
        <f t="shared" si="121"/>
        <v>Clean</v>
      </c>
    </row>
    <row r="840" spans="1:35" ht="15.75" customHeight="1">
      <c r="A840" s="3" t="s">
        <v>3825</v>
      </c>
      <c r="B840" s="3" t="s">
        <v>478</v>
      </c>
      <c r="C840" s="3" t="s">
        <v>3826</v>
      </c>
      <c r="D840" s="3" t="str">
        <f t="shared" si="102"/>
        <v>07-Apr-2025</v>
      </c>
      <c r="E840" s="3" t="str">
        <f t="shared" si="103"/>
        <v>04-Mar-2025</v>
      </c>
      <c r="F840" s="3">
        <f t="shared" si="104"/>
        <v>34</v>
      </c>
      <c r="G840" s="3" t="s">
        <v>3827</v>
      </c>
      <c r="H840" s="3" t="s">
        <v>80</v>
      </c>
      <c r="I840" s="3" t="s">
        <v>49</v>
      </c>
      <c r="J840" s="3" t="s">
        <v>81</v>
      </c>
      <c r="K840" s="3" t="s">
        <v>257</v>
      </c>
      <c r="L840" s="3" t="s">
        <v>258</v>
      </c>
      <c r="M840" s="3" t="s">
        <v>38</v>
      </c>
      <c r="N840" s="3" t="s">
        <v>39</v>
      </c>
      <c r="O840" s="3" t="s">
        <v>3828</v>
      </c>
      <c r="P840" s="3" t="s">
        <v>56</v>
      </c>
      <c r="Q840" s="3">
        <v>1</v>
      </c>
      <c r="R840" s="3">
        <v>1470.57</v>
      </c>
      <c r="S840" s="3">
        <v>0</v>
      </c>
      <c r="T840" s="3">
        <v>1470.57</v>
      </c>
      <c r="U840" s="3">
        <v>834.02</v>
      </c>
      <c r="V840" s="3">
        <v>636.54999999999995</v>
      </c>
      <c r="W840" s="3" t="s">
        <v>42</v>
      </c>
      <c r="X840" s="3" t="s">
        <v>133</v>
      </c>
      <c r="Y840" s="2" t="str">
        <f t="shared" si="105"/>
        <v>Unique</v>
      </c>
      <c r="AA840" s="2" t="str">
        <f t="shared" si="106"/>
        <v>Clean</v>
      </c>
      <c r="AB840" s="2" t="str">
        <f t="shared" si="107"/>
        <v>valid</v>
      </c>
      <c r="AC840">
        <f t="shared" si="115"/>
        <v>0</v>
      </c>
      <c r="AD840">
        <f t="shared" si="116"/>
        <v>1470.57</v>
      </c>
      <c r="AE840">
        <f t="shared" si="117"/>
        <v>636.54999999999995</v>
      </c>
      <c r="AF840">
        <f t="shared" si="118"/>
        <v>0.43285936745615644</v>
      </c>
      <c r="AG840" t="str">
        <f t="shared" si="119"/>
        <v>March</v>
      </c>
      <c r="AH840">
        <f t="shared" si="120"/>
        <v>2025</v>
      </c>
      <c r="AI840" t="str">
        <f t="shared" si="121"/>
        <v>Clean</v>
      </c>
    </row>
    <row r="841" spans="1:35" ht="15.75" customHeight="1">
      <c r="A841" s="3" t="s">
        <v>3829</v>
      </c>
      <c r="B841" s="3" t="s">
        <v>3830</v>
      </c>
      <c r="C841" s="3" t="s">
        <v>3831</v>
      </c>
      <c r="D841" s="3" t="str">
        <f t="shared" si="102"/>
        <v>22-Sep-2024</v>
      </c>
      <c r="E841" s="3" t="str">
        <f t="shared" si="103"/>
        <v>20-Sep-2024</v>
      </c>
      <c r="F841" s="3">
        <f t="shared" si="104"/>
        <v>2</v>
      </c>
      <c r="G841" s="3" t="s">
        <v>3832</v>
      </c>
      <c r="H841" s="3" t="s">
        <v>188</v>
      </c>
      <c r="I841" s="3" t="s">
        <v>123</v>
      </c>
      <c r="J841" s="3" t="s">
        <v>50</v>
      </c>
      <c r="K841" s="3" t="s">
        <v>51</v>
      </c>
      <c r="L841" s="3" t="s">
        <v>52</v>
      </c>
      <c r="M841" s="3" t="s">
        <v>94</v>
      </c>
      <c r="N841" s="3" t="s">
        <v>231</v>
      </c>
      <c r="O841" s="3" t="s">
        <v>3833</v>
      </c>
      <c r="P841" s="3" t="s">
        <v>75</v>
      </c>
      <c r="Q841" s="3">
        <v>8</v>
      </c>
      <c r="R841" s="3">
        <v>531.42999999999995</v>
      </c>
      <c r="S841" s="3">
        <v>0.1</v>
      </c>
      <c r="T841" s="3">
        <v>3826.3</v>
      </c>
      <c r="U841" s="3">
        <v>2194.12</v>
      </c>
      <c r="V841" s="3">
        <v>1632.18</v>
      </c>
      <c r="W841" s="3" t="s">
        <v>42</v>
      </c>
      <c r="X841" s="3" t="s">
        <v>43</v>
      </c>
      <c r="Y841" s="2" t="str">
        <f t="shared" si="105"/>
        <v>Unique</v>
      </c>
      <c r="AA841" s="2" t="str">
        <f t="shared" si="106"/>
        <v>Clean</v>
      </c>
      <c r="AB841" s="2" t="str">
        <f t="shared" si="107"/>
        <v>valid</v>
      </c>
      <c r="AC841">
        <f t="shared" si="115"/>
        <v>0.1</v>
      </c>
      <c r="AD841">
        <f t="shared" si="116"/>
        <v>3826.2959999999998</v>
      </c>
      <c r="AE841">
        <f t="shared" si="117"/>
        <v>1632.1759999999999</v>
      </c>
      <c r="AF841">
        <f t="shared" si="118"/>
        <v>0.42656814841298218</v>
      </c>
      <c r="AG841" t="str">
        <f t="shared" si="119"/>
        <v>September</v>
      </c>
      <c r="AH841">
        <f t="shared" si="120"/>
        <v>2024</v>
      </c>
      <c r="AI841" t="str">
        <f t="shared" si="121"/>
        <v>Clean</v>
      </c>
    </row>
    <row r="842" spans="1:35" ht="15.75" customHeight="1">
      <c r="A842" s="3" t="s">
        <v>3834</v>
      </c>
      <c r="B842" s="3" t="s">
        <v>1894</v>
      </c>
      <c r="C842" s="3" t="s">
        <v>2189</v>
      </c>
      <c r="D842" s="3" t="str">
        <f t="shared" si="102"/>
        <v>19-Sep-2025</v>
      </c>
      <c r="E842" s="3" t="str">
        <f t="shared" si="103"/>
        <v>19-Sep-2025</v>
      </c>
      <c r="F842" s="3">
        <f t="shared" si="104"/>
        <v>0</v>
      </c>
      <c r="G842" s="3" t="s">
        <v>3835</v>
      </c>
      <c r="H842" s="3" t="s">
        <v>101</v>
      </c>
      <c r="I842" s="3" t="s">
        <v>123</v>
      </c>
      <c r="J842" s="3" t="s">
        <v>35</v>
      </c>
      <c r="K842" s="3" t="s">
        <v>515</v>
      </c>
      <c r="L842" s="3" t="s">
        <v>516</v>
      </c>
      <c r="M842" s="3" t="s">
        <v>53</v>
      </c>
      <c r="N842" s="3" t="s">
        <v>84</v>
      </c>
      <c r="O842" s="3" t="s">
        <v>3836</v>
      </c>
      <c r="P842" s="3" t="s">
        <v>56</v>
      </c>
      <c r="Q842" s="3">
        <v>4</v>
      </c>
      <c r="R842" s="3">
        <v>1584.11</v>
      </c>
      <c r="S842" s="3">
        <v>0</v>
      </c>
      <c r="T842" s="3">
        <v>6336.44</v>
      </c>
      <c r="U842" s="3">
        <v>4680.68</v>
      </c>
      <c r="V842" s="3">
        <v>1655.76</v>
      </c>
      <c r="W842" s="3" t="s">
        <v>42</v>
      </c>
      <c r="X842" s="3" t="s">
        <v>43</v>
      </c>
      <c r="Y842" s="2" t="str">
        <f t="shared" si="105"/>
        <v>Unique</v>
      </c>
      <c r="AA842" s="2" t="str">
        <f t="shared" si="106"/>
        <v>Clean</v>
      </c>
      <c r="AB842" s="2" t="str">
        <f t="shared" si="107"/>
        <v>valid</v>
      </c>
      <c r="AC842">
        <f t="shared" si="115"/>
        <v>0</v>
      </c>
      <c r="AD842">
        <f t="shared" si="116"/>
        <v>6336.44</v>
      </c>
      <c r="AE842">
        <f t="shared" si="117"/>
        <v>1655.7599999999993</v>
      </c>
      <c r="AF842">
        <f t="shared" si="118"/>
        <v>0.26130761121386764</v>
      </c>
      <c r="AG842" t="str">
        <f t="shared" si="119"/>
        <v>September</v>
      </c>
      <c r="AH842">
        <f t="shared" si="120"/>
        <v>2025</v>
      </c>
      <c r="AI842" t="str">
        <f t="shared" si="121"/>
        <v>Clean</v>
      </c>
    </row>
    <row r="843" spans="1:35" ht="15.75" customHeight="1">
      <c r="A843" s="3" t="s">
        <v>3837</v>
      </c>
      <c r="B843" s="3" t="s">
        <v>3838</v>
      </c>
      <c r="C843" s="3" t="s">
        <v>3839</v>
      </c>
      <c r="D843" s="3" t="str">
        <f t="shared" si="102"/>
        <v>12-Feb-2025</v>
      </c>
      <c r="E843" s="3" t="str">
        <f t="shared" si="103"/>
        <v>06-Feb-2025</v>
      </c>
      <c r="F843" s="3">
        <f t="shared" si="104"/>
        <v>6</v>
      </c>
      <c r="G843" s="3" t="s">
        <v>3840</v>
      </c>
      <c r="H843" s="3" t="s">
        <v>80</v>
      </c>
      <c r="I843" s="3" t="s">
        <v>49</v>
      </c>
      <c r="J843" s="3" t="s">
        <v>50</v>
      </c>
      <c r="K843" s="3" t="s">
        <v>194</v>
      </c>
      <c r="L843" s="3" t="s">
        <v>195</v>
      </c>
      <c r="M843" s="3" t="s">
        <v>38</v>
      </c>
      <c r="N843" s="3" t="s">
        <v>62</v>
      </c>
      <c r="O843" s="3" t="s">
        <v>3841</v>
      </c>
      <c r="P843" s="3" t="s">
        <v>75</v>
      </c>
      <c r="Q843" s="3">
        <v>9</v>
      </c>
      <c r="R843" s="3">
        <v>3237.16</v>
      </c>
      <c r="S843" s="3">
        <v>0.25</v>
      </c>
      <c r="T843" s="3">
        <v>21850.83</v>
      </c>
      <c r="U843" s="3">
        <v>16600.13</v>
      </c>
      <c r="V843" s="3">
        <v>5250.7</v>
      </c>
      <c r="W843" s="3" t="s">
        <v>42</v>
      </c>
      <c r="X843" s="3" t="s">
        <v>43</v>
      </c>
      <c r="Y843" s="2" t="str">
        <f t="shared" si="105"/>
        <v>Unique</v>
      </c>
      <c r="AA843" s="2" t="str">
        <f t="shared" si="106"/>
        <v>Clean</v>
      </c>
      <c r="AB843" s="2" t="str">
        <f t="shared" si="107"/>
        <v>valid</v>
      </c>
      <c r="AC843">
        <f t="shared" si="115"/>
        <v>0.25</v>
      </c>
      <c r="AD843">
        <f t="shared" si="116"/>
        <v>21850.829999999998</v>
      </c>
      <c r="AE843">
        <f t="shared" si="117"/>
        <v>5250.6999999999971</v>
      </c>
      <c r="AF843">
        <f t="shared" si="118"/>
        <v>0.2402975081495759</v>
      </c>
      <c r="AG843" t="str">
        <f t="shared" si="119"/>
        <v>February</v>
      </c>
      <c r="AH843">
        <f t="shared" si="120"/>
        <v>2025</v>
      </c>
      <c r="AI843" t="str">
        <f t="shared" si="121"/>
        <v>Clean</v>
      </c>
    </row>
    <row r="844" spans="1:35" ht="15.75" customHeight="1">
      <c r="A844" s="3" t="s">
        <v>3842</v>
      </c>
      <c r="B844" s="3" t="s">
        <v>3843</v>
      </c>
      <c r="C844" s="3" t="s">
        <v>3844</v>
      </c>
      <c r="D844" s="3" t="str">
        <f t="shared" si="102"/>
        <v>30-Mar-2024</v>
      </c>
      <c r="E844" s="3" t="str">
        <f t="shared" si="103"/>
        <v>31-Mar-2024</v>
      </c>
      <c r="F844" s="3">
        <f t="shared" si="104"/>
        <v>-1</v>
      </c>
      <c r="G844" s="3" t="s">
        <v>3845</v>
      </c>
      <c r="H844" s="3" t="s">
        <v>3846</v>
      </c>
      <c r="I844" s="3" t="s">
        <v>34</v>
      </c>
      <c r="J844" s="3" t="s">
        <v>35</v>
      </c>
      <c r="K844" s="3" t="s">
        <v>331</v>
      </c>
      <c r="L844" s="3" t="s">
        <v>332</v>
      </c>
      <c r="M844" s="3" t="s">
        <v>94</v>
      </c>
      <c r="N844" s="3" t="s">
        <v>391</v>
      </c>
      <c r="O844" s="3" t="s">
        <v>3847</v>
      </c>
      <c r="P844" s="3" t="s">
        <v>64</v>
      </c>
      <c r="Q844" s="3">
        <v>4</v>
      </c>
      <c r="R844" s="3">
        <v>2192.08</v>
      </c>
      <c r="S844" s="3">
        <v>0.15</v>
      </c>
      <c r="T844" s="3">
        <v>7453.07</v>
      </c>
      <c r="U844" s="3">
        <v>5133.78</v>
      </c>
      <c r="V844" s="3">
        <v>2319.29</v>
      </c>
      <c r="W844" s="3" t="s">
        <v>42</v>
      </c>
      <c r="X844" s="3" t="s">
        <v>133</v>
      </c>
      <c r="Y844" s="2" t="str">
        <f t="shared" si="105"/>
        <v>Unique</v>
      </c>
      <c r="AA844" s="2" t="str">
        <f t="shared" si="106"/>
        <v>Clean</v>
      </c>
      <c r="AB844" s="2" t="str">
        <f t="shared" si="107"/>
        <v>Invalid</v>
      </c>
      <c r="AC844">
        <f t="shared" si="115"/>
        <v>0.15</v>
      </c>
      <c r="AD844">
        <f t="shared" si="116"/>
        <v>7453.0719999999992</v>
      </c>
      <c r="AE844">
        <f t="shared" si="117"/>
        <v>2319.2919999999995</v>
      </c>
      <c r="AF844">
        <f t="shared" si="118"/>
        <v>0.31118604516365866</v>
      </c>
      <c r="AG844" t="str">
        <f t="shared" si="119"/>
        <v>March</v>
      </c>
      <c r="AH844">
        <f t="shared" si="120"/>
        <v>2024</v>
      </c>
      <c r="AI844" t="str">
        <f t="shared" si="121"/>
        <v>Clean</v>
      </c>
    </row>
    <row r="845" spans="1:35" ht="15.75" customHeight="1">
      <c r="A845" s="3" t="s">
        <v>3848</v>
      </c>
      <c r="B845" s="3" t="s">
        <v>2688</v>
      </c>
      <c r="C845" s="3" t="s">
        <v>3849</v>
      </c>
      <c r="D845" s="3" t="str">
        <f t="shared" si="102"/>
        <v>25-Jul-2025</v>
      </c>
      <c r="E845" s="3" t="str">
        <f t="shared" si="103"/>
        <v>18-Jul-2025</v>
      </c>
      <c r="F845" s="3">
        <f t="shared" si="104"/>
        <v>7</v>
      </c>
      <c r="G845" s="3" t="s">
        <v>3850</v>
      </c>
      <c r="H845" s="3" t="s">
        <v>150</v>
      </c>
      <c r="I845" s="3" t="s">
        <v>49</v>
      </c>
      <c r="J845" s="3" t="s">
        <v>35</v>
      </c>
      <c r="K845" s="3" t="s">
        <v>182</v>
      </c>
      <c r="L845" s="3" t="s">
        <v>183</v>
      </c>
      <c r="M845" s="3" t="s">
        <v>94</v>
      </c>
      <c r="N845" s="3" t="s">
        <v>231</v>
      </c>
      <c r="O845" s="3" t="s">
        <v>3851</v>
      </c>
      <c r="P845" s="3" t="s">
        <v>64</v>
      </c>
      <c r="Q845" s="3">
        <v>9</v>
      </c>
      <c r="R845" s="3">
        <v>3989.52</v>
      </c>
      <c r="S845" s="3">
        <v>-0.02</v>
      </c>
      <c r="T845" s="3">
        <v>35905.68</v>
      </c>
      <c r="U845" s="3">
        <v>23916.1</v>
      </c>
      <c r="V845" s="3">
        <v>11989.58</v>
      </c>
      <c r="W845" s="3" t="s">
        <v>42</v>
      </c>
      <c r="X845" s="3" t="s">
        <v>43</v>
      </c>
      <c r="Y845" s="2" t="str">
        <f t="shared" si="105"/>
        <v>Unique</v>
      </c>
      <c r="AA845" s="2" t="str">
        <f t="shared" si="106"/>
        <v>Invalid</v>
      </c>
      <c r="AB845" s="2" t="str">
        <f t="shared" si="107"/>
        <v>valid</v>
      </c>
      <c r="AC845">
        <f t="shared" si="115"/>
        <v>-0.02</v>
      </c>
      <c r="AD845">
        <f t="shared" si="116"/>
        <v>36623.793600000005</v>
      </c>
      <c r="AE845">
        <f t="shared" si="117"/>
        <v>12707.693600000006</v>
      </c>
      <c r="AF845">
        <f t="shared" si="118"/>
        <v>0.34697917257812433</v>
      </c>
      <c r="AG845" t="str">
        <f t="shared" si="119"/>
        <v>July</v>
      </c>
      <c r="AH845">
        <f t="shared" si="120"/>
        <v>2025</v>
      </c>
      <c r="AI845" t="str">
        <f t="shared" si="121"/>
        <v>Invalid</v>
      </c>
    </row>
    <row r="846" spans="1:35" ht="15.75" customHeight="1">
      <c r="A846" s="3" t="s">
        <v>3852</v>
      </c>
      <c r="B846" s="3" t="s">
        <v>3853</v>
      </c>
      <c r="C846" s="3" t="s">
        <v>3854</v>
      </c>
      <c r="D846" s="3" t="str">
        <f t="shared" si="102"/>
        <v>25-Jan-2025</v>
      </c>
      <c r="E846" s="3" t="str">
        <f t="shared" si="103"/>
        <v>20-Jan-2025</v>
      </c>
      <c r="F846" s="3">
        <f t="shared" si="104"/>
        <v>5</v>
      </c>
      <c r="G846" s="3" t="s">
        <v>3855</v>
      </c>
      <c r="H846" s="3" t="s">
        <v>115</v>
      </c>
      <c r="I846" s="3" t="s">
        <v>123</v>
      </c>
      <c r="J846" s="3" t="s">
        <v>81</v>
      </c>
      <c r="K846" s="3" t="s">
        <v>257</v>
      </c>
      <c r="L846" s="3" t="s">
        <v>258</v>
      </c>
      <c r="M846" s="3" t="s">
        <v>38</v>
      </c>
      <c r="N846" s="3" t="s">
        <v>62</v>
      </c>
      <c r="O846" s="3" t="s">
        <v>3856</v>
      </c>
      <c r="P846" s="3" t="s">
        <v>64</v>
      </c>
      <c r="Q846" s="3">
        <v>1</v>
      </c>
      <c r="R846" s="3">
        <v>3515.15</v>
      </c>
      <c r="S846" s="3">
        <v>0</v>
      </c>
      <c r="T846" s="3">
        <v>3515.15</v>
      </c>
      <c r="U846" s="3">
        <v>2216.34</v>
      </c>
      <c r="V846" s="3">
        <v>1298.81</v>
      </c>
      <c r="W846" s="3" t="s">
        <v>42</v>
      </c>
      <c r="X846" s="3" t="s">
        <v>43</v>
      </c>
      <c r="Y846" s="2" t="str">
        <f t="shared" si="105"/>
        <v>Unique</v>
      </c>
      <c r="AA846" s="2" t="str">
        <f t="shared" si="106"/>
        <v>Clean</v>
      </c>
      <c r="AB846" s="2" t="str">
        <f t="shared" si="107"/>
        <v>valid</v>
      </c>
      <c r="AC846">
        <f t="shared" si="115"/>
        <v>0</v>
      </c>
      <c r="AD846">
        <f t="shared" si="116"/>
        <v>3515.15</v>
      </c>
      <c r="AE846">
        <f t="shared" si="117"/>
        <v>1298.81</v>
      </c>
      <c r="AF846">
        <f t="shared" si="118"/>
        <v>0.36948921098672882</v>
      </c>
      <c r="AG846" t="str">
        <f t="shared" si="119"/>
        <v>January</v>
      </c>
      <c r="AH846">
        <f t="shared" si="120"/>
        <v>2025</v>
      </c>
      <c r="AI846" t="str">
        <f t="shared" si="121"/>
        <v>Clean</v>
      </c>
    </row>
    <row r="847" spans="1:35" ht="15.75" customHeight="1">
      <c r="A847" s="3" t="s">
        <v>3857</v>
      </c>
      <c r="B847" s="3" t="s">
        <v>2761</v>
      </c>
      <c r="C847" s="3" t="s">
        <v>3858</v>
      </c>
      <c r="D847" s="3" t="str">
        <f t="shared" si="102"/>
        <v>27-Feb-2024</v>
      </c>
      <c r="E847" s="3" t="str">
        <f t="shared" si="103"/>
        <v>23-Feb-2024</v>
      </c>
      <c r="F847" s="3">
        <f t="shared" si="104"/>
        <v>4</v>
      </c>
      <c r="G847" s="3" t="s">
        <v>900</v>
      </c>
      <c r="H847" s="3" t="s">
        <v>33</v>
      </c>
      <c r="I847" s="3" t="s">
        <v>34</v>
      </c>
      <c r="J847" s="3" t="s">
        <v>50</v>
      </c>
      <c r="K847" s="3" t="s">
        <v>51</v>
      </c>
      <c r="L847" s="3" t="s">
        <v>52</v>
      </c>
      <c r="M847" s="3" t="s">
        <v>53</v>
      </c>
      <c r="N847" s="3" t="s">
        <v>54</v>
      </c>
      <c r="O847" s="3" t="s">
        <v>3859</v>
      </c>
      <c r="P847" s="3" t="s">
        <v>64</v>
      </c>
      <c r="Q847" s="3">
        <v>9</v>
      </c>
      <c r="R847" s="3">
        <v>3616.23</v>
      </c>
      <c r="S847" s="3">
        <v>0.25</v>
      </c>
      <c r="T847" s="3">
        <v>24409.55</v>
      </c>
      <c r="U847" s="3">
        <v>17157.580000000002</v>
      </c>
      <c r="V847" s="3">
        <v>7251.97</v>
      </c>
      <c r="W847" s="3" t="s">
        <v>145</v>
      </c>
      <c r="X847" s="3" t="s">
        <v>133</v>
      </c>
      <c r="Y847" s="2" t="str">
        <f t="shared" si="105"/>
        <v>Unique</v>
      </c>
      <c r="AA847" s="2" t="str">
        <f t="shared" si="106"/>
        <v>Clean</v>
      </c>
      <c r="AB847" s="2" t="str">
        <f t="shared" si="107"/>
        <v>valid</v>
      </c>
      <c r="AC847">
        <f t="shared" si="115"/>
        <v>0.25</v>
      </c>
      <c r="AD847">
        <f t="shared" si="116"/>
        <v>24409.552499999998</v>
      </c>
      <c r="AE847">
        <f t="shared" si="117"/>
        <v>7251.9724999999962</v>
      </c>
      <c r="AF847">
        <f t="shared" si="118"/>
        <v>0.29709567596538267</v>
      </c>
      <c r="AG847" t="str">
        <f t="shared" si="119"/>
        <v>February</v>
      </c>
      <c r="AH847">
        <f t="shared" si="120"/>
        <v>2024</v>
      </c>
      <c r="AI847" t="str">
        <f t="shared" si="121"/>
        <v>Clean</v>
      </c>
    </row>
    <row r="848" spans="1:35" ht="15.75" customHeight="1">
      <c r="A848" s="3" t="s">
        <v>3860</v>
      </c>
      <c r="B848" s="3" t="s">
        <v>3861</v>
      </c>
      <c r="C848" s="3" t="s">
        <v>3862</v>
      </c>
      <c r="D848" s="3" t="str">
        <f t="shared" si="102"/>
        <v>22-Apr-2024</v>
      </c>
      <c r="E848" s="3" t="str">
        <f t="shared" si="103"/>
        <v>14-Apr-2024</v>
      </c>
      <c r="F848" s="3">
        <f t="shared" si="104"/>
        <v>8</v>
      </c>
      <c r="G848" s="3" t="s">
        <v>3863</v>
      </c>
      <c r="H848" s="3" t="s">
        <v>150</v>
      </c>
      <c r="I848" s="3" t="s">
        <v>49</v>
      </c>
      <c r="J848" s="3" t="s">
        <v>81</v>
      </c>
      <c r="K848" s="3" t="s">
        <v>243</v>
      </c>
      <c r="L848" s="3" t="s">
        <v>244</v>
      </c>
      <c r="M848" s="3" t="s">
        <v>53</v>
      </c>
      <c r="N848" s="3" t="s">
        <v>212</v>
      </c>
      <c r="O848" s="3" t="s">
        <v>3864</v>
      </c>
      <c r="P848" s="3" t="s">
        <v>75</v>
      </c>
      <c r="Q848" s="3">
        <v>2</v>
      </c>
      <c r="R848" s="3">
        <v>3977.52</v>
      </c>
      <c r="S848" s="3">
        <v>0</v>
      </c>
      <c r="T848" s="3">
        <v>7955.04</v>
      </c>
      <c r="U848" s="3">
        <v>5580.68</v>
      </c>
      <c r="V848" s="3">
        <v>2374.36</v>
      </c>
      <c r="W848" s="3" t="s">
        <v>145</v>
      </c>
      <c r="X848" s="3" t="s">
        <v>133</v>
      </c>
      <c r="Y848" s="2" t="str">
        <f t="shared" si="105"/>
        <v>Unique</v>
      </c>
      <c r="AA848" s="2" t="str">
        <f t="shared" si="106"/>
        <v>Clean</v>
      </c>
      <c r="AB848" s="2" t="str">
        <f t="shared" si="107"/>
        <v>valid</v>
      </c>
      <c r="AC848">
        <f t="shared" si="115"/>
        <v>0</v>
      </c>
      <c r="AD848">
        <f t="shared" si="116"/>
        <v>7955.04</v>
      </c>
      <c r="AE848">
        <f t="shared" si="117"/>
        <v>2374.3599999999997</v>
      </c>
      <c r="AF848">
        <f t="shared" si="118"/>
        <v>0.29847241497214339</v>
      </c>
      <c r="AG848" t="str">
        <f t="shared" si="119"/>
        <v>April</v>
      </c>
      <c r="AH848">
        <f t="shared" si="120"/>
        <v>2024</v>
      </c>
      <c r="AI848" t="str">
        <f t="shared" si="121"/>
        <v>Clean</v>
      </c>
    </row>
    <row r="849" spans="1:35" ht="15.75" customHeight="1">
      <c r="A849" s="3" t="s">
        <v>3865</v>
      </c>
      <c r="B849" s="3" t="s">
        <v>3866</v>
      </c>
      <c r="C849" s="3" t="s">
        <v>3867</v>
      </c>
      <c r="D849" s="3" t="str">
        <f t="shared" si="102"/>
        <v>22-May-2025</v>
      </c>
      <c r="E849" s="3" t="str">
        <f t="shared" si="103"/>
        <v>20-May-2025</v>
      </c>
      <c r="F849" s="3">
        <f t="shared" si="104"/>
        <v>2</v>
      </c>
      <c r="G849" s="3" t="s">
        <v>3868</v>
      </c>
      <c r="H849" s="3" t="s">
        <v>218</v>
      </c>
      <c r="I849" s="3" t="s">
        <v>123</v>
      </c>
      <c r="J849" s="3" t="s">
        <v>50</v>
      </c>
      <c r="K849" s="3" t="s">
        <v>51</v>
      </c>
      <c r="L849" s="3" t="s">
        <v>52</v>
      </c>
      <c r="M849" s="3" t="s">
        <v>53</v>
      </c>
      <c r="N849" s="3" t="s">
        <v>54</v>
      </c>
      <c r="O849" s="3" t="s">
        <v>3869</v>
      </c>
      <c r="P849" s="3" t="s">
        <v>41</v>
      </c>
      <c r="Q849" s="3">
        <v>2</v>
      </c>
      <c r="R849" s="3">
        <v>210.08</v>
      </c>
      <c r="S849" s="3">
        <v>0.2</v>
      </c>
      <c r="T849" s="3">
        <v>336.13</v>
      </c>
      <c r="U849" s="3">
        <v>242.19</v>
      </c>
      <c r="V849" s="3">
        <v>93.94</v>
      </c>
      <c r="W849" s="3" t="s">
        <v>42</v>
      </c>
      <c r="X849" s="3" t="s">
        <v>43</v>
      </c>
      <c r="Y849" s="2" t="str">
        <f t="shared" si="105"/>
        <v>Unique</v>
      </c>
      <c r="AA849" s="2" t="str">
        <f t="shared" si="106"/>
        <v>Clean</v>
      </c>
      <c r="AB849" s="2" t="str">
        <f t="shared" si="107"/>
        <v>valid</v>
      </c>
      <c r="AC849">
        <f t="shared" si="115"/>
        <v>0.2</v>
      </c>
      <c r="AD849">
        <f t="shared" si="116"/>
        <v>336.12800000000004</v>
      </c>
      <c r="AE849">
        <f t="shared" si="117"/>
        <v>93.938000000000045</v>
      </c>
      <c r="AF849">
        <f t="shared" si="118"/>
        <v>0.27947091584158423</v>
      </c>
      <c r="AG849" t="str">
        <f t="shared" si="119"/>
        <v>May</v>
      </c>
      <c r="AH849">
        <f t="shared" si="120"/>
        <v>2025</v>
      </c>
      <c r="AI849" t="str">
        <f t="shared" si="121"/>
        <v>Clean</v>
      </c>
    </row>
    <row r="850" spans="1:35" ht="15.75" customHeight="1">
      <c r="A850" s="3" t="s">
        <v>3870</v>
      </c>
      <c r="B850" s="3" t="s">
        <v>3134</v>
      </c>
      <c r="C850" s="3" t="s">
        <v>3871</v>
      </c>
      <c r="D850" s="3" t="str">
        <f t="shared" si="102"/>
        <v>29-May-2025</v>
      </c>
      <c r="E850" s="3" t="str">
        <f t="shared" si="103"/>
        <v>27-May-2025</v>
      </c>
      <c r="F850" s="3">
        <f t="shared" si="104"/>
        <v>2</v>
      </c>
      <c r="G850" s="3" t="s">
        <v>3872</v>
      </c>
      <c r="H850" s="3" t="s">
        <v>156</v>
      </c>
      <c r="I850" s="3" t="s">
        <v>123</v>
      </c>
      <c r="J850" s="3" t="s">
        <v>70</v>
      </c>
      <c r="K850" s="3" t="s">
        <v>347</v>
      </c>
      <c r="L850" s="3" t="s">
        <v>348</v>
      </c>
      <c r="M850" s="3" t="s">
        <v>53</v>
      </c>
      <c r="N850" s="3" t="s">
        <v>73</v>
      </c>
      <c r="O850" s="3" t="s">
        <v>3873</v>
      </c>
      <c r="P850" s="3" t="s">
        <v>41</v>
      </c>
      <c r="Q850" s="3">
        <v>1</v>
      </c>
      <c r="R850" s="3">
        <v>1744.35</v>
      </c>
      <c r="S850" s="3">
        <v>0.25</v>
      </c>
      <c r="T850" s="3">
        <v>1308.26</v>
      </c>
      <c r="U850" s="3">
        <v>1083.56</v>
      </c>
      <c r="V850" s="3">
        <v>224.7</v>
      </c>
      <c r="W850" s="3" t="s">
        <v>42</v>
      </c>
      <c r="X850" s="3" t="s">
        <v>43</v>
      </c>
      <c r="Y850" s="2" t="str">
        <f t="shared" si="105"/>
        <v>Unique</v>
      </c>
      <c r="AA850" s="2" t="str">
        <f t="shared" si="106"/>
        <v>Clean</v>
      </c>
      <c r="AB850" s="2" t="str">
        <f t="shared" si="107"/>
        <v>valid</v>
      </c>
      <c r="AC850">
        <f t="shared" si="115"/>
        <v>0.25</v>
      </c>
      <c r="AD850">
        <f t="shared" si="116"/>
        <v>1308.2624999999998</v>
      </c>
      <c r="AE850">
        <f t="shared" si="117"/>
        <v>224.70249999999987</v>
      </c>
      <c r="AF850">
        <f t="shared" si="118"/>
        <v>0.17175643267310645</v>
      </c>
      <c r="AG850" t="str">
        <f t="shared" si="119"/>
        <v>May</v>
      </c>
      <c r="AH850">
        <f t="shared" si="120"/>
        <v>2025</v>
      </c>
      <c r="AI850" t="str">
        <f t="shared" si="121"/>
        <v>Clean</v>
      </c>
    </row>
    <row r="851" spans="1:35" ht="15.75" customHeight="1">
      <c r="A851" s="3" t="s">
        <v>3874</v>
      </c>
      <c r="B851" s="3" t="s">
        <v>3875</v>
      </c>
      <c r="C851" s="3" t="s">
        <v>1074</v>
      </c>
      <c r="D851" s="3" t="str">
        <f t="shared" si="102"/>
        <v>12-Mar-2024</v>
      </c>
      <c r="E851" s="3" t="str">
        <f t="shared" si="103"/>
        <v>06-Mar-2024</v>
      </c>
      <c r="F851" s="3">
        <f t="shared" si="104"/>
        <v>6</v>
      </c>
      <c r="G851" s="3" t="s">
        <v>3876</v>
      </c>
      <c r="H851" s="3" t="s">
        <v>61</v>
      </c>
      <c r="I851" s="3" t="s">
        <v>123</v>
      </c>
      <c r="J851" s="3" t="s">
        <v>81</v>
      </c>
      <c r="K851" s="3" t="s">
        <v>243</v>
      </c>
      <c r="L851" s="3" t="s">
        <v>244</v>
      </c>
      <c r="M851" s="3" t="s">
        <v>53</v>
      </c>
      <c r="N851" s="3" t="s">
        <v>212</v>
      </c>
      <c r="O851" s="3" t="s">
        <v>3877</v>
      </c>
      <c r="P851" s="3" t="s">
        <v>75</v>
      </c>
      <c r="Q851" s="3">
        <v>3</v>
      </c>
      <c r="R851" s="3">
        <v>679.63</v>
      </c>
      <c r="S851" s="3">
        <v>0.2</v>
      </c>
      <c r="T851" s="3">
        <v>1631.11</v>
      </c>
      <c r="U851" s="3">
        <v>898.73</v>
      </c>
      <c r="V851" s="3">
        <v>396.58</v>
      </c>
      <c r="W851" s="3" t="s">
        <v>42</v>
      </c>
      <c r="X851" s="3" t="s">
        <v>43</v>
      </c>
      <c r="Y851" s="2" t="str">
        <f t="shared" si="105"/>
        <v>Unique</v>
      </c>
      <c r="AA851" s="2" t="str">
        <f t="shared" si="106"/>
        <v>Clean</v>
      </c>
      <c r="AB851" s="2" t="str">
        <f t="shared" si="107"/>
        <v>valid</v>
      </c>
      <c r="AC851">
        <f t="shared" si="115"/>
        <v>0.2</v>
      </c>
      <c r="AD851">
        <f t="shared" si="116"/>
        <v>1631.1120000000001</v>
      </c>
      <c r="AE851">
        <f t="shared" si="117"/>
        <v>732.38200000000006</v>
      </c>
      <c r="AF851">
        <f t="shared" si="118"/>
        <v>0.44900779345624336</v>
      </c>
      <c r="AG851" t="str">
        <f t="shared" si="119"/>
        <v>March</v>
      </c>
      <c r="AH851">
        <f t="shared" si="120"/>
        <v>2024</v>
      </c>
      <c r="AI851" t="str">
        <f t="shared" si="121"/>
        <v>Clean</v>
      </c>
    </row>
    <row r="852" spans="1:35" ht="15.75" customHeight="1">
      <c r="A852" s="3" t="s">
        <v>3878</v>
      </c>
      <c r="B852" s="3" t="s">
        <v>2096</v>
      </c>
      <c r="C852" s="3" t="s">
        <v>3754</v>
      </c>
      <c r="D852" s="3" t="str">
        <f t="shared" si="102"/>
        <v>03-Jul-2024</v>
      </c>
      <c r="E852" s="3" t="str">
        <f t="shared" si="103"/>
        <v>30-Jun-2024</v>
      </c>
      <c r="F852" s="3">
        <f t="shared" si="104"/>
        <v>3</v>
      </c>
      <c r="G852" s="3" t="s">
        <v>3879</v>
      </c>
      <c r="H852" s="3" t="s">
        <v>150</v>
      </c>
      <c r="I852" s="3" t="s">
        <v>123</v>
      </c>
      <c r="J852" s="3" t="s">
        <v>50</v>
      </c>
      <c r="K852" s="3" t="s">
        <v>129</v>
      </c>
      <c r="L852" s="3" t="s">
        <v>130</v>
      </c>
      <c r="M852" s="3" t="s">
        <v>38</v>
      </c>
      <c r="N852" s="3" t="s">
        <v>39</v>
      </c>
      <c r="O852" s="3" t="s">
        <v>3880</v>
      </c>
      <c r="P852" s="3" t="s">
        <v>64</v>
      </c>
      <c r="Q852" s="3">
        <v>6</v>
      </c>
      <c r="R852" s="3">
        <v>1211.01</v>
      </c>
      <c r="S852" s="3">
        <v>0</v>
      </c>
      <c r="T852" s="3">
        <v>7266.06</v>
      </c>
      <c r="U852" s="3">
        <v>6216.89</v>
      </c>
      <c r="V852" s="3">
        <v>1049.17</v>
      </c>
      <c r="W852" s="3" t="s">
        <v>42</v>
      </c>
      <c r="X852" s="3" t="s">
        <v>43</v>
      </c>
      <c r="Y852" s="2" t="str">
        <f t="shared" si="105"/>
        <v>Unique</v>
      </c>
      <c r="AA852" s="2" t="str">
        <f t="shared" si="106"/>
        <v>Clean</v>
      </c>
      <c r="AB852" s="2" t="str">
        <f t="shared" si="107"/>
        <v>valid</v>
      </c>
      <c r="AC852">
        <f t="shared" si="115"/>
        <v>0</v>
      </c>
      <c r="AD852">
        <f t="shared" si="116"/>
        <v>7266.0599999999995</v>
      </c>
      <c r="AE852">
        <f t="shared" si="117"/>
        <v>1049.1699999999992</v>
      </c>
      <c r="AF852">
        <f t="shared" si="118"/>
        <v>0.14439324750965438</v>
      </c>
      <c r="AG852" t="str">
        <f t="shared" si="119"/>
        <v>June</v>
      </c>
      <c r="AH852">
        <f t="shared" si="120"/>
        <v>2024</v>
      </c>
      <c r="AI852" t="str">
        <f t="shared" si="121"/>
        <v>Clean</v>
      </c>
    </row>
    <row r="853" spans="1:35" ht="15.75" customHeight="1">
      <c r="A853" s="3" t="s">
        <v>3881</v>
      </c>
      <c r="B853" s="3" t="s">
        <v>814</v>
      </c>
      <c r="C853" s="3" t="s">
        <v>3143</v>
      </c>
      <c r="D853" s="3" t="str">
        <f t="shared" si="102"/>
        <v>01-Apr-2024</v>
      </c>
      <c r="E853" s="3" t="str">
        <f t="shared" si="103"/>
        <v>26-Mar-2024</v>
      </c>
      <c r="F853" s="3">
        <f t="shared" si="104"/>
        <v>6</v>
      </c>
      <c r="G853" s="3" t="s">
        <v>3882</v>
      </c>
      <c r="H853" s="3" t="s">
        <v>33</v>
      </c>
      <c r="I853" s="3" t="s">
        <v>49</v>
      </c>
      <c r="J853" s="3" t="s">
        <v>81</v>
      </c>
      <c r="K853" s="3" t="s">
        <v>243</v>
      </c>
      <c r="L853" s="3" t="s">
        <v>244</v>
      </c>
      <c r="M853" s="3" t="s">
        <v>94</v>
      </c>
      <c r="N853" s="3" t="s">
        <v>95</v>
      </c>
      <c r="O853" s="3" t="s">
        <v>3883</v>
      </c>
      <c r="P853" s="3" t="s">
        <v>64</v>
      </c>
      <c r="Q853" s="3">
        <v>2</v>
      </c>
      <c r="R853" s="3">
        <v>1161.3</v>
      </c>
      <c r="S853" s="3">
        <v>0.2</v>
      </c>
      <c r="T853" s="3">
        <v>1858.08</v>
      </c>
      <c r="U853" s="3">
        <v>1590.75</v>
      </c>
      <c r="V853" s="3">
        <v>267.33</v>
      </c>
      <c r="W853" s="3" t="s">
        <v>42</v>
      </c>
      <c r="X853" s="3" t="s">
        <v>43</v>
      </c>
      <c r="Y853" s="2" t="str">
        <f t="shared" si="105"/>
        <v>Unique</v>
      </c>
      <c r="AA853" s="2" t="str">
        <f t="shared" si="106"/>
        <v>Clean</v>
      </c>
      <c r="AB853" s="2" t="str">
        <f t="shared" si="107"/>
        <v>valid</v>
      </c>
      <c r="AC853">
        <f t="shared" si="115"/>
        <v>0.2</v>
      </c>
      <c r="AD853">
        <f t="shared" si="116"/>
        <v>1858.08</v>
      </c>
      <c r="AE853">
        <f t="shared" si="117"/>
        <v>267.32999999999993</v>
      </c>
      <c r="AF853">
        <f t="shared" si="118"/>
        <v>0.14387432188065097</v>
      </c>
      <c r="AG853" t="str">
        <f t="shared" si="119"/>
        <v>March</v>
      </c>
      <c r="AH853">
        <f t="shared" si="120"/>
        <v>2024</v>
      </c>
      <c r="AI853" t="str">
        <f t="shared" si="121"/>
        <v>Clean</v>
      </c>
    </row>
    <row r="854" spans="1:35" ht="15.75" customHeight="1">
      <c r="A854" s="3" t="s">
        <v>3884</v>
      </c>
      <c r="B854" s="3" t="s">
        <v>3885</v>
      </c>
      <c r="C854" s="3" t="s">
        <v>3708</v>
      </c>
      <c r="D854" s="3" t="str">
        <f t="shared" si="102"/>
        <v>08-Apr-2024</v>
      </c>
      <c r="E854" s="3" t="str">
        <f t="shared" si="103"/>
        <v>01-Apr-2024</v>
      </c>
      <c r="F854" s="3">
        <f t="shared" si="104"/>
        <v>7</v>
      </c>
      <c r="G854" s="3" t="s">
        <v>3886</v>
      </c>
      <c r="H854" s="3" t="s">
        <v>80</v>
      </c>
      <c r="I854" s="3" t="s">
        <v>34</v>
      </c>
      <c r="J854" s="3" t="s">
        <v>50</v>
      </c>
      <c r="K854" s="3" t="s">
        <v>224</v>
      </c>
      <c r="L854" s="3" t="s">
        <v>225</v>
      </c>
      <c r="M854" s="3" t="s">
        <v>53</v>
      </c>
      <c r="N854" s="3" t="s">
        <v>54</v>
      </c>
      <c r="O854" s="3" t="s">
        <v>3887</v>
      </c>
      <c r="P854" s="3" t="s">
        <v>41</v>
      </c>
      <c r="Q854" s="3">
        <v>7</v>
      </c>
      <c r="R854" s="3">
        <v>4205.3500000000004</v>
      </c>
      <c r="S854" s="3">
        <v>0.15</v>
      </c>
      <c r="T854" s="3">
        <v>25021.83</v>
      </c>
      <c r="U854" s="3">
        <v>15544.44</v>
      </c>
      <c r="V854" s="3">
        <v>9477.39</v>
      </c>
      <c r="W854" s="3" t="s">
        <v>145</v>
      </c>
      <c r="X854" s="3" t="s">
        <v>86</v>
      </c>
      <c r="Y854" s="2" t="str">
        <f t="shared" si="105"/>
        <v>Unique</v>
      </c>
      <c r="AA854" s="2" t="str">
        <f t="shared" si="106"/>
        <v>Clean</v>
      </c>
      <c r="AB854" s="2" t="str">
        <f t="shared" si="107"/>
        <v>valid</v>
      </c>
      <c r="AC854">
        <f t="shared" si="115"/>
        <v>0.15</v>
      </c>
      <c r="AD854">
        <f t="shared" si="116"/>
        <v>25021.832500000004</v>
      </c>
      <c r="AE854">
        <f t="shared" si="117"/>
        <v>9477.3925000000036</v>
      </c>
      <c r="AF854">
        <f t="shared" si="118"/>
        <v>0.37876492459135447</v>
      </c>
      <c r="AG854" t="str">
        <f t="shared" si="119"/>
        <v>April</v>
      </c>
      <c r="AH854">
        <f t="shared" si="120"/>
        <v>2024</v>
      </c>
      <c r="AI854" t="str">
        <f t="shared" si="121"/>
        <v>Warning</v>
      </c>
    </row>
    <row r="855" spans="1:35" ht="15.75" customHeight="1">
      <c r="A855" s="3" t="s">
        <v>3888</v>
      </c>
      <c r="B855" s="3" t="s">
        <v>3889</v>
      </c>
      <c r="C855" s="3" t="s">
        <v>3867</v>
      </c>
      <c r="D855" s="3" t="str">
        <f t="shared" si="102"/>
        <v>22-May-2025</v>
      </c>
      <c r="E855" s="3" t="str">
        <f t="shared" si="103"/>
        <v>16-May-2025</v>
      </c>
      <c r="F855" s="3">
        <f t="shared" si="104"/>
        <v>6</v>
      </c>
      <c r="G855" s="3" t="s">
        <v>3890</v>
      </c>
      <c r="H855" s="3" t="s">
        <v>69</v>
      </c>
      <c r="I855" s="3" t="s">
        <v>116</v>
      </c>
      <c r="J855" s="3" t="s">
        <v>70</v>
      </c>
      <c r="K855" s="3" t="s">
        <v>347</v>
      </c>
      <c r="L855" s="3" t="s">
        <v>348</v>
      </c>
      <c r="M855" s="3" t="s">
        <v>94</v>
      </c>
      <c r="N855" s="3" t="s">
        <v>95</v>
      </c>
      <c r="O855" s="3" t="s">
        <v>3891</v>
      </c>
      <c r="P855" s="3" t="s">
        <v>56</v>
      </c>
      <c r="Q855" s="3">
        <v>8</v>
      </c>
      <c r="R855" s="3">
        <v>579.79999999999995</v>
      </c>
      <c r="S855" s="3">
        <v>0.2</v>
      </c>
      <c r="T855" s="3">
        <v>3710.72</v>
      </c>
      <c r="U855" s="3">
        <v>3115.29</v>
      </c>
      <c r="V855" s="3">
        <v>595.42999999999995</v>
      </c>
      <c r="W855" s="3" t="s">
        <v>42</v>
      </c>
      <c r="X855" s="3" t="s">
        <v>43</v>
      </c>
      <c r="Y855" s="2" t="str">
        <f t="shared" si="105"/>
        <v>Unique</v>
      </c>
      <c r="AA855" s="2" t="str">
        <f t="shared" si="106"/>
        <v>Clean</v>
      </c>
      <c r="AB855" s="2" t="str">
        <f t="shared" si="107"/>
        <v>valid</v>
      </c>
      <c r="AC855">
        <f t="shared" si="115"/>
        <v>0.2</v>
      </c>
      <c r="AD855">
        <f t="shared" si="116"/>
        <v>3710.72</v>
      </c>
      <c r="AE855">
        <f t="shared" si="117"/>
        <v>595.42999999999984</v>
      </c>
      <c r="AF855">
        <f t="shared" si="118"/>
        <v>0.16046212055881334</v>
      </c>
      <c r="AG855" t="str">
        <f t="shared" si="119"/>
        <v>May</v>
      </c>
      <c r="AH855">
        <f t="shared" si="120"/>
        <v>2025</v>
      </c>
      <c r="AI855" t="str">
        <f t="shared" si="121"/>
        <v>Clean</v>
      </c>
    </row>
    <row r="856" spans="1:35" ht="15.75" customHeight="1">
      <c r="A856" s="3" t="s">
        <v>3892</v>
      </c>
      <c r="B856" s="3" t="s">
        <v>3893</v>
      </c>
      <c r="C856" s="3" t="s">
        <v>3894</v>
      </c>
      <c r="D856" s="3" t="str">
        <f t="shared" si="102"/>
        <v>04-Feb-2025</v>
      </c>
      <c r="E856" s="3" t="str">
        <f t="shared" si="103"/>
        <v>25-Mar-2025</v>
      </c>
      <c r="F856" s="3">
        <f t="shared" si="104"/>
        <v>-49</v>
      </c>
      <c r="G856" s="3" t="s">
        <v>3895</v>
      </c>
      <c r="H856" s="3" t="s">
        <v>150</v>
      </c>
      <c r="I856" s="3" t="s">
        <v>34</v>
      </c>
      <c r="J856" s="3" t="s">
        <v>70</v>
      </c>
      <c r="K856" s="3" t="s">
        <v>237</v>
      </c>
      <c r="L856" s="3" t="s">
        <v>238</v>
      </c>
      <c r="M856" s="3" t="s">
        <v>53</v>
      </c>
      <c r="N856" s="3" t="s">
        <v>212</v>
      </c>
      <c r="O856" s="3" t="s">
        <v>3896</v>
      </c>
      <c r="P856" s="3" t="s">
        <v>41</v>
      </c>
      <c r="Q856" s="3">
        <v>4</v>
      </c>
      <c r="R856" s="3">
        <v>2233.64</v>
      </c>
      <c r="S856" s="3">
        <v>0.05</v>
      </c>
      <c r="T856" s="3">
        <v>8487.83</v>
      </c>
      <c r="U856" s="3">
        <v>5245.72</v>
      </c>
      <c r="V856" s="3">
        <v>3242.11</v>
      </c>
      <c r="W856" s="3" t="s">
        <v>42</v>
      </c>
      <c r="X856" s="3" t="s">
        <v>43</v>
      </c>
      <c r="Y856" s="2" t="str">
        <f t="shared" si="105"/>
        <v>Unique</v>
      </c>
      <c r="AA856" s="2" t="str">
        <f t="shared" si="106"/>
        <v>Clean</v>
      </c>
      <c r="AB856" s="2" t="str">
        <f t="shared" si="107"/>
        <v>Invalid</v>
      </c>
      <c r="AC856">
        <f t="shared" si="115"/>
        <v>0.05</v>
      </c>
      <c r="AD856">
        <f t="shared" si="116"/>
        <v>8487.8319999999985</v>
      </c>
      <c r="AE856">
        <f t="shared" si="117"/>
        <v>3242.1119999999983</v>
      </c>
      <c r="AF856">
        <f t="shared" si="118"/>
        <v>0.38197174496384928</v>
      </c>
      <c r="AG856" t="str">
        <f t="shared" si="119"/>
        <v>March</v>
      </c>
      <c r="AH856">
        <f t="shared" si="120"/>
        <v>2025</v>
      </c>
      <c r="AI856" t="str">
        <f t="shared" si="121"/>
        <v>Clean</v>
      </c>
    </row>
    <row r="857" spans="1:35" ht="15.75" customHeight="1">
      <c r="A857" s="3" t="s">
        <v>3897</v>
      </c>
      <c r="B857" s="3" t="s">
        <v>747</v>
      </c>
      <c r="C857" s="3" t="s">
        <v>3898</v>
      </c>
      <c r="D857" s="3" t="str">
        <f t="shared" si="102"/>
        <v>02-Aug-2024</v>
      </c>
      <c r="E857" s="3" t="str">
        <f t="shared" si="103"/>
        <v>25-Jul-2024</v>
      </c>
      <c r="F857" s="3">
        <f t="shared" si="104"/>
        <v>8</v>
      </c>
      <c r="G857" s="3" t="s">
        <v>1714</v>
      </c>
      <c r="H857" s="3" t="s">
        <v>156</v>
      </c>
      <c r="I857" s="3" t="s">
        <v>34</v>
      </c>
      <c r="J857" s="3" t="s">
        <v>35</v>
      </c>
      <c r="K857" s="3" t="s">
        <v>36</v>
      </c>
      <c r="L857" s="3" t="s">
        <v>37</v>
      </c>
      <c r="M857" s="3" t="s">
        <v>38</v>
      </c>
      <c r="N857" s="3" t="s">
        <v>117</v>
      </c>
      <c r="O857" s="3" t="s">
        <v>3899</v>
      </c>
      <c r="P857" s="3" t="s">
        <v>41</v>
      </c>
      <c r="Q857" s="3">
        <v>2</v>
      </c>
      <c r="R857" s="3">
        <v>2073.5300000000002</v>
      </c>
      <c r="S857" s="3">
        <v>0.25</v>
      </c>
      <c r="T857" s="3">
        <v>3110.3</v>
      </c>
      <c r="U857" s="3">
        <v>2101.0300000000002</v>
      </c>
      <c r="V857" s="3">
        <v>1009.27</v>
      </c>
      <c r="W857" s="3" t="s">
        <v>42</v>
      </c>
      <c r="X857" s="3" t="s">
        <v>43</v>
      </c>
      <c r="Y857" s="2" t="str">
        <f t="shared" si="105"/>
        <v>Unique</v>
      </c>
      <c r="AA857" s="2" t="str">
        <f t="shared" si="106"/>
        <v>Clean</v>
      </c>
      <c r="AB857" s="2" t="str">
        <f t="shared" si="107"/>
        <v>valid</v>
      </c>
      <c r="AC857">
        <f t="shared" si="115"/>
        <v>0.25</v>
      </c>
      <c r="AD857">
        <f t="shared" si="116"/>
        <v>3110.2950000000001</v>
      </c>
      <c r="AE857">
        <f t="shared" si="117"/>
        <v>1009.2649999999999</v>
      </c>
      <c r="AF857">
        <f t="shared" si="118"/>
        <v>0.32449172827657824</v>
      </c>
      <c r="AG857" t="str">
        <f t="shared" si="119"/>
        <v>July</v>
      </c>
      <c r="AH857">
        <f t="shared" si="120"/>
        <v>2024</v>
      </c>
      <c r="AI857" t="str">
        <f t="shared" si="121"/>
        <v>Clean</v>
      </c>
    </row>
    <row r="858" spans="1:35" ht="15.75" customHeight="1">
      <c r="A858" s="3" t="s">
        <v>3900</v>
      </c>
      <c r="B858" s="3" t="s">
        <v>3901</v>
      </c>
      <c r="C858" s="3" t="s">
        <v>700</v>
      </c>
      <c r="D858" s="3" t="str">
        <f t="shared" si="102"/>
        <v>19-Jun-2024</v>
      </c>
      <c r="E858" s="3" t="str">
        <f t="shared" si="103"/>
        <v>12-Jun-2024</v>
      </c>
      <c r="F858" s="3">
        <f t="shared" si="104"/>
        <v>7</v>
      </c>
      <c r="G858" s="3" t="s">
        <v>1973</v>
      </c>
      <c r="H858" s="3" t="s">
        <v>188</v>
      </c>
      <c r="I858" s="3" t="s">
        <v>123</v>
      </c>
      <c r="J858" s="3" t="s">
        <v>70</v>
      </c>
      <c r="K858" s="3" t="s">
        <v>347</v>
      </c>
      <c r="L858" s="3" t="s">
        <v>348</v>
      </c>
      <c r="M858" s="3" t="s">
        <v>38</v>
      </c>
      <c r="N858" s="3" t="s">
        <v>164</v>
      </c>
      <c r="O858" s="3" t="s">
        <v>3902</v>
      </c>
      <c r="P858" s="3" t="s">
        <v>75</v>
      </c>
      <c r="Q858" s="3">
        <v>4</v>
      </c>
      <c r="R858" s="3">
        <v>395.1</v>
      </c>
      <c r="S858" s="3">
        <v>-0.16</v>
      </c>
      <c r="T858" s="3">
        <v>1185.3</v>
      </c>
      <c r="U858" s="3">
        <v>966.55</v>
      </c>
      <c r="V858" s="3">
        <v>218.75</v>
      </c>
      <c r="W858" s="3" t="s">
        <v>208</v>
      </c>
      <c r="X858" s="3" t="s">
        <v>86</v>
      </c>
      <c r="Y858" s="2" t="str">
        <f t="shared" si="105"/>
        <v>Unique</v>
      </c>
      <c r="AA858" s="2" t="str">
        <f t="shared" si="106"/>
        <v>Invalid</v>
      </c>
      <c r="AB858" s="2" t="str">
        <f t="shared" si="107"/>
        <v>valid</v>
      </c>
      <c r="AC858">
        <f t="shared" si="115"/>
        <v>-0.16</v>
      </c>
      <c r="AD858">
        <f t="shared" si="116"/>
        <v>1833.2639999999999</v>
      </c>
      <c r="AE858">
        <f t="shared" si="117"/>
        <v>866.71399999999994</v>
      </c>
      <c r="AF858">
        <f t="shared" si="118"/>
        <v>0.47277097024760206</v>
      </c>
      <c r="AG858" t="str">
        <f t="shared" si="119"/>
        <v>June</v>
      </c>
      <c r="AH858">
        <f t="shared" si="120"/>
        <v>2024</v>
      </c>
      <c r="AI858" t="str">
        <f t="shared" si="121"/>
        <v>Invalid</v>
      </c>
    </row>
    <row r="859" spans="1:35" ht="15.75" customHeight="1">
      <c r="A859" s="3" t="s">
        <v>3903</v>
      </c>
      <c r="B859" s="3" t="s">
        <v>3904</v>
      </c>
      <c r="C859" s="3" t="s">
        <v>3905</v>
      </c>
      <c r="D859" s="3" t="str">
        <f t="shared" si="102"/>
        <v>04-Jun-2024</v>
      </c>
      <c r="E859" s="3" t="str">
        <f t="shared" si="103"/>
        <v>04-Jun-2024</v>
      </c>
      <c r="F859" s="3">
        <f t="shared" si="104"/>
        <v>0</v>
      </c>
      <c r="G859" s="3" t="s">
        <v>3223</v>
      </c>
      <c r="H859" s="3" t="s">
        <v>176</v>
      </c>
      <c r="I859" s="3" t="s">
        <v>123</v>
      </c>
      <c r="J859" s="3" t="s">
        <v>70</v>
      </c>
      <c r="K859" s="3" t="s">
        <v>250</v>
      </c>
      <c r="L859" s="3" t="s">
        <v>251</v>
      </c>
      <c r="M859" s="3" t="s">
        <v>38</v>
      </c>
      <c r="N859" s="3" t="s">
        <v>164</v>
      </c>
      <c r="O859" s="3" t="s">
        <v>3906</v>
      </c>
      <c r="P859" s="3" t="s">
        <v>64</v>
      </c>
      <c r="Q859" s="3">
        <v>6</v>
      </c>
      <c r="R859" s="3">
        <v>2708.97</v>
      </c>
      <c r="S859" s="3">
        <v>0.25</v>
      </c>
      <c r="T859" s="3">
        <v>12190.36</v>
      </c>
      <c r="U859" s="3">
        <v>10176.99</v>
      </c>
      <c r="V859" s="3">
        <v>2013.37</v>
      </c>
      <c r="W859" s="3" t="s">
        <v>42</v>
      </c>
      <c r="X859" s="3" t="s">
        <v>43</v>
      </c>
      <c r="Y859" s="2" t="str">
        <f t="shared" si="105"/>
        <v>Unique</v>
      </c>
      <c r="AA859" s="2" t="str">
        <f t="shared" si="106"/>
        <v>Clean</v>
      </c>
      <c r="AB859" s="2" t="str">
        <f t="shared" si="107"/>
        <v>valid</v>
      </c>
      <c r="AC859">
        <f t="shared" si="115"/>
        <v>0.25</v>
      </c>
      <c r="AD859">
        <f t="shared" si="116"/>
        <v>12190.365</v>
      </c>
      <c r="AE859">
        <f t="shared" si="117"/>
        <v>2013.375</v>
      </c>
      <c r="AF859">
        <f t="shared" si="118"/>
        <v>0.16516117441930575</v>
      </c>
      <c r="AG859" t="str">
        <f t="shared" si="119"/>
        <v>June</v>
      </c>
      <c r="AH859">
        <f t="shared" si="120"/>
        <v>2024</v>
      </c>
      <c r="AI859" t="str">
        <f t="shared" si="121"/>
        <v>Clean</v>
      </c>
    </row>
    <row r="860" spans="1:35" ht="15.75" customHeight="1">
      <c r="A860" s="3" t="s">
        <v>3907</v>
      </c>
      <c r="B860" s="3" t="s">
        <v>1226</v>
      </c>
      <c r="C860" s="3" t="s">
        <v>1293</v>
      </c>
      <c r="D860" s="3" t="str">
        <f t="shared" si="102"/>
        <v>09-May-2024</v>
      </c>
      <c r="E860" s="3" t="str">
        <f t="shared" si="103"/>
        <v>05-Feb-2024</v>
      </c>
      <c r="F860" s="3">
        <f t="shared" si="104"/>
        <v>94</v>
      </c>
      <c r="G860" s="3" t="s">
        <v>3908</v>
      </c>
      <c r="H860" s="3" t="s">
        <v>69</v>
      </c>
      <c r="I860" s="3" t="s">
        <v>34</v>
      </c>
      <c r="J860" s="3" t="s">
        <v>50</v>
      </c>
      <c r="K860" s="3" t="s">
        <v>51</v>
      </c>
      <c r="L860" s="3" t="s">
        <v>52</v>
      </c>
      <c r="M860" s="3" t="s">
        <v>94</v>
      </c>
      <c r="N860" s="3" t="s">
        <v>95</v>
      </c>
      <c r="O860" s="3" t="s">
        <v>3909</v>
      </c>
      <c r="P860" s="3" t="s">
        <v>41</v>
      </c>
      <c r="Q860" s="3">
        <v>4</v>
      </c>
      <c r="R860" s="3">
        <v>2904.86</v>
      </c>
      <c r="S860" s="3">
        <v>0</v>
      </c>
      <c r="T860" s="3">
        <v>11619.44</v>
      </c>
      <c r="U860" s="3">
        <v>7184.32</v>
      </c>
      <c r="V860" s="3">
        <v>4494.6400000000003</v>
      </c>
      <c r="W860" s="3" t="s">
        <v>42</v>
      </c>
      <c r="X860" s="3" t="s">
        <v>43</v>
      </c>
      <c r="Y860" s="2" t="str">
        <f t="shared" si="105"/>
        <v>Unique</v>
      </c>
      <c r="AA860" s="2" t="str">
        <f t="shared" si="106"/>
        <v>Clean</v>
      </c>
      <c r="AB860" s="2" t="str">
        <f t="shared" si="107"/>
        <v>valid</v>
      </c>
      <c r="AC860">
        <f t="shared" si="115"/>
        <v>0</v>
      </c>
      <c r="AD860">
        <f t="shared" si="116"/>
        <v>11619.44</v>
      </c>
      <c r="AE860">
        <f t="shared" si="117"/>
        <v>4435.1200000000008</v>
      </c>
      <c r="AF860">
        <f t="shared" si="118"/>
        <v>0.3816982574031107</v>
      </c>
      <c r="AG860" t="str">
        <f t="shared" si="119"/>
        <v>February</v>
      </c>
      <c r="AH860">
        <f t="shared" si="120"/>
        <v>2024</v>
      </c>
      <c r="AI860" t="str">
        <f t="shared" si="121"/>
        <v>Clean</v>
      </c>
    </row>
    <row r="861" spans="1:35" ht="15.75" customHeight="1">
      <c r="A861" s="3" t="s">
        <v>3910</v>
      </c>
      <c r="B861" s="3" t="s">
        <v>3492</v>
      </c>
      <c r="C861" s="3" t="s">
        <v>3911</v>
      </c>
      <c r="D861" s="3" t="str">
        <f t="shared" si="102"/>
        <v>01-Nov-2024</v>
      </c>
      <c r="E861" s="3" t="str">
        <f t="shared" si="103"/>
        <v>27-Oct-2024</v>
      </c>
      <c r="F861" s="3">
        <f t="shared" si="104"/>
        <v>5</v>
      </c>
      <c r="G861" s="3" t="s">
        <v>3912</v>
      </c>
      <c r="H861" s="3" t="s">
        <v>115</v>
      </c>
      <c r="I861" s="3" t="s">
        <v>116</v>
      </c>
      <c r="J861" s="3" t="s">
        <v>70</v>
      </c>
      <c r="K861" s="3" t="s">
        <v>347</v>
      </c>
      <c r="L861" s="3" t="s">
        <v>348</v>
      </c>
      <c r="M861" s="3" t="s">
        <v>94</v>
      </c>
      <c r="N861" s="3" t="s">
        <v>231</v>
      </c>
      <c r="O861" s="3" t="s">
        <v>3913</v>
      </c>
      <c r="P861" s="3" t="s">
        <v>75</v>
      </c>
      <c r="Q861" s="3">
        <v>6</v>
      </c>
      <c r="R861" s="3">
        <v>4399.2</v>
      </c>
      <c r="S861" s="3">
        <v>0.05</v>
      </c>
      <c r="T861" s="3">
        <v>25075.439999999999</v>
      </c>
      <c r="U861" s="3">
        <v>16282.74</v>
      </c>
      <c r="V861" s="3">
        <v>8792.7000000000007</v>
      </c>
      <c r="W861" s="3" t="s">
        <v>42</v>
      </c>
      <c r="X861" s="3" t="s">
        <v>43</v>
      </c>
      <c r="Y861" s="2" t="str">
        <f t="shared" si="105"/>
        <v>Unique</v>
      </c>
      <c r="AA861" s="2" t="str">
        <f t="shared" si="106"/>
        <v>Clean</v>
      </c>
      <c r="AB861" s="2" t="str">
        <f t="shared" si="107"/>
        <v>valid</v>
      </c>
      <c r="AC861">
        <f t="shared" si="115"/>
        <v>0.05</v>
      </c>
      <c r="AD861">
        <f t="shared" si="116"/>
        <v>25075.439999999995</v>
      </c>
      <c r="AE861">
        <f t="shared" si="117"/>
        <v>8792.6999999999953</v>
      </c>
      <c r="AF861">
        <f t="shared" si="118"/>
        <v>0.35064987892535471</v>
      </c>
      <c r="AG861" t="str">
        <f t="shared" si="119"/>
        <v>October</v>
      </c>
      <c r="AH861">
        <f t="shared" si="120"/>
        <v>2024</v>
      </c>
      <c r="AI861" t="str">
        <f t="shared" si="121"/>
        <v>Clean</v>
      </c>
    </row>
    <row r="862" spans="1:35" ht="15.75" customHeight="1">
      <c r="A862" s="3" t="s">
        <v>3914</v>
      </c>
      <c r="B862" s="3" t="s">
        <v>752</v>
      </c>
      <c r="C862" s="3" t="s">
        <v>3915</v>
      </c>
      <c r="D862" s="3" t="str">
        <f t="shared" si="102"/>
        <v>04-Feb-2024</v>
      </c>
      <c r="E862" s="3" t="str">
        <f t="shared" si="103"/>
        <v>02-Feb-2024</v>
      </c>
      <c r="F862" s="3">
        <f t="shared" si="104"/>
        <v>2</v>
      </c>
      <c r="G862" s="3" t="s">
        <v>3916</v>
      </c>
      <c r="H862" s="3" t="s">
        <v>91</v>
      </c>
      <c r="I862" s="3" t="s">
        <v>123</v>
      </c>
      <c r="J862" s="3" t="s">
        <v>35</v>
      </c>
      <c r="K862" s="3" t="s">
        <v>182</v>
      </c>
      <c r="L862" s="3" t="s">
        <v>183</v>
      </c>
      <c r="M862" s="3" t="s">
        <v>38</v>
      </c>
      <c r="N862" s="3" t="s">
        <v>164</v>
      </c>
      <c r="O862" s="3" t="s">
        <v>3917</v>
      </c>
      <c r="P862" s="3" t="s">
        <v>41</v>
      </c>
      <c r="Q862" s="3">
        <v>1</v>
      </c>
      <c r="R862" s="3">
        <v>4397.32</v>
      </c>
      <c r="S862" s="3">
        <v>0.05</v>
      </c>
      <c r="T862" s="3">
        <v>4177.45</v>
      </c>
      <c r="U862" s="3">
        <v>2299.5</v>
      </c>
      <c r="V862" s="3">
        <v>1877.95</v>
      </c>
      <c r="W862" s="3" t="s">
        <v>42</v>
      </c>
      <c r="X862" s="3" t="s">
        <v>43</v>
      </c>
      <c r="Y862" s="2" t="str">
        <f t="shared" si="105"/>
        <v>Unique</v>
      </c>
      <c r="AA862" s="2" t="str">
        <f t="shared" si="106"/>
        <v>Clean</v>
      </c>
      <c r="AB862" s="2" t="str">
        <f t="shared" si="107"/>
        <v>valid</v>
      </c>
      <c r="AC862">
        <f t="shared" si="115"/>
        <v>0.05</v>
      </c>
      <c r="AD862">
        <f t="shared" si="116"/>
        <v>4177.4539999999997</v>
      </c>
      <c r="AE862">
        <f t="shared" si="117"/>
        <v>1877.9539999999997</v>
      </c>
      <c r="AF862">
        <f t="shared" si="118"/>
        <v>0.44954510570313877</v>
      </c>
      <c r="AG862" t="str">
        <f t="shared" si="119"/>
        <v>February</v>
      </c>
      <c r="AH862">
        <f t="shared" si="120"/>
        <v>2024</v>
      </c>
      <c r="AI862" t="str">
        <f t="shared" si="121"/>
        <v>Clean</v>
      </c>
    </row>
    <row r="863" spans="1:35" ht="15.75" customHeight="1">
      <c r="A863" s="3" t="s">
        <v>3918</v>
      </c>
      <c r="B863" s="3" t="s">
        <v>3919</v>
      </c>
      <c r="C863" s="3" t="s">
        <v>3920</v>
      </c>
      <c r="D863" s="3" t="str">
        <f t="shared" si="102"/>
        <v>09-Mar-2025</v>
      </c>
      <c r="E863" s="3" t="str">
        <f t="shared" si="103"/>
        <v>08-Mar-2025</v>
      </c>
      <c r="F863" s="3">
        <f t="shared" si="104"/>
        <v>1</v>
      </c>
      <c r="G863" s="3" t="s">
        <v>3921</v>
      </c>
      <c r="H863" s="3" t="s">
        <v>150</v>
      </c>
      <c r="I863" s="3" t="s">
        <v>123</v>
      </c>
      <c r="J863" s="3" t="s">
        <v>35</v>
      </c>
      <c r="K863" s="3" t="s">
        <v>515</v>
      </c>
      <c r="L863" s="3" t="s">
        <v>516</v>
      </c>
      <c r="M863" s="3" t="s">
        <v>53</v>
      </c>
      <c r="N863" s="3" t="s">
        <v>73</v>
      </c>
      <c r="O863" s="3" t="s">
        <v>3922</v>
      </c>
      <c r="P863" s="3" t="s">
        <v>56</v>
      </c>
      <c r="Q863" s="3">
        <v>4</v>
      </c>
      <c r="R863" s="3">
        <v>3405.68</v>
      </c>
      <c r="S863" s="3">
        <v>0.2</v>
      </c>
      <c r="T863" s="3">
        <v>10898.18</v>
      </c>
      <c r="U863" s="3">
        <v>6231.41</v>
      </c>
      <c r="V863" s="3">
        <v>4666.7700000000004</v>
      </c>
      <c r="W863" s="3" t="s">
        <v>42</v>
      </c>
      <c r="X863" s="3" t="s">
        <v>43</v>
      </c>
      <c r="Y863" s="2" t="str">
        <f t="shared" si="105"/>
        <v>Unique</v>
      </c>
      <c r="AA863" s="2" t="str">
        <f t="shared" si="106"/>
        <v>Clean</v>
      </c>
      <c r="AB863" s="2" t="str">
        <f t="shared" si="107"/>
        <v>valid</v>
      </c>
      <c r="AC863">
        <f t="shared" si="115"/>
        <v>0.2</v>
      </c>
      <c r="AD863">
        <f t="shared" si="116"/>
        <v>10898.175999999999</v>
      </c>
      <c r="AE863">
        <f t="shared" si="117"/>
        <v>4666.7659999999996</v>
      </c>
      <c r="AF863">
        <f t="shared" si="118"/>
        <v>0.42821532704188298</v>
      </c>
      <c r="AG863" t="str">
        <f t="shared" si="119"/>
        <v>March</v>
      </c>
      <c r="AH863">
        <f t="shared" si="120"/>
        <v>2025</v>
      </c>
      <c r="AI863" t="str">
        <f t="shared" si="121"/>
        <v>Clean</v>
      </c>
    </row>
    <row r="864" spans="1:35" ht="15.75" customHeight="1">
      <c r="A864" s="3" t="s">
        <v>3923</v>
      </c>
      <c r="B864" s="3" t="s">
        <v>3303</v>
      </c>
      <c r="C864" s="3" t="s">
        <v>3924</v>
      </c>
      <c r="D864" s="3" t="str">
        <f t="shared" si="102"/>
        <v>31-Mar-2025</v>
      </c>
      <c r="E864" s="3" t="str">
        <f t="shared" si="103"/>
        <v>26-Mar-2025</v>
      </c>
      <c r="F864" s="3">
        <f t="shared" si="104"/>
        <v>5</v>
      </c>
      <c r="G864" s="3" t="s">
        <v>3925</v>
      </c>
      <c r="H864" s="3" t="s">
        <v>150</v>
      </c>
      <c r="I864" s="3" t="s">
        <v>49</v>
      </c>
      <c r="J864" s="3" t="s">
        <v>50</v>
      </c>
      <c r="K864" s="3" t="s">
        <v>319</v>
      </c>
      <c r="L864" s="3" t="s">
        <v>320</v>
      </c>
      <c r="M864" s="3" t="s">
        <v>38</v>
      </c>
      <c r="N864" s="3" t="s">
        <v>206</v>
      </c>
      <c r="O864" s="3" t="s">
        <v>3926</v>
      </c>
      <c r="P864" s="3" t="s">
        <v>64</v>
      </c>
      <c r="Q864" s="3">
        <v>5</v>
      </c>
      <c r="R864" s="3">
        <v>1395.14</v>
      </c>
      <c r="S864" s="3">
        <v>0</v>
      </c>
      <c r="T864" s="3">
        <v>6975.7</v>
      </c>
      <c r="U864" s="3">
        <v>4797.88</v>
      </c>
      <c r="V864" s="3">
        <v>2177.8200000000002</v>
      </c>
      <c r="W864" s="3" t="s">
        <v>42</v>
      </c>
      <c r="X864" s="3" t="s">
        <v>86</v>
      </c>
      <c r="Y864" s="2" t="str">
        <f t="shared" si="105"/>
        <v>Unique</v>
      </c>
      <c r="AA864" s="2" t="str">
        <f t="shared" si="106"/>
        <v>Clean</v>
      </c>
      <c r="AB864" s="2" t="str">
        <f t="shared" si="107"/>
        <v>valid</v>
      </c>
      <c r="AC864">
        <f t="shared" si="115"/>
        <v>0</v>
      </c>
      <c r="AD864">
        <f t="shared" si="116"/>
        <v>6975.7000000000007</v>
      </c>
      <c r="AE864">
        <f t="shared" si="117"/>
        <v>2177.8200000000006</v>
      </c>
      <c r="AF864">
        <f t="shared" si="118"/>
        <v>0.3122009260719355</v>
      </c>
      <c r="AG864" t="str">
        <f t="shared" si="119"/>
        <v>March</v>
      </c>
      <c r="AH864">
        <f t="shared" si="120"/>
        <v>2025</v>
      </c>
      <c r="AI864" t="str">
        <f t="shared" si="121"/>
        <v>Warning</v>
      </c>
    </row>
    <row r="865" spans="1:35" ht="15.75" customHeight="1">
      <c r="A865" s="3" t="s">
        <v>3927</v>
      </c>
      <c r="B865" s="3" t="s">
        <v>3928</v>
      </c>
      <c r="C865" s="3" t="s">
        <v>2720</v>
      </c>
      <c r="D865" s="3" t="str">
        <f t="shared" si="102"/>
        <v>09-Aug-2025</v>
      </c>
      <c r="E865" s="3" t="str">
        <f t="shared" si="103"/>
        <v>09-Jun-2025</v>
      </c>
      <c r="F865" s="3">
        <f t="shared" si="104"/>
        <v>61</v>
      </c>
      <c r="G865" s="3" t="s">
        <v>3929</v>
      </c>
      <c r="H865" s="3" t="s">
        <v>170</v>
      </c>
      <c r="I865" s="3" t="s">
        <v>123</v>
      </c>
      <c r="J865" s="3" t="s">
        <v>81</v>
      </c>
      <c r="K865" s="3" t="s">
        <v>92</v>
      </c>
      <c r="L865" s="3" t="s">
        <v>93</v>
      </c>
      <c r="M865" s="3" t="s">
        <v>53</v>
      </c>
      <c r="N865" s="3" t="s">
        <v>73</v>
      </c>
      <c r="O865" s="3" t="s">
        <v>3930</v>
      </c>
      <c r="P865" s="3" t="s">
        <v>56</v>
      </c>
      <c r="Q865" s="3">
        <v>3</v>
      </c>
      <c r="R865" s="3">
        <v>2937.23</v>
      </c>
      <c r="S865" s="3">
        <v>0</v>
      </c>
      <c r="T865" s="3">
        <v>8811.69</v>
      </c>
      <c r="U865" s="3">
        <v>6765.91</v>
      </c>
      <c r="V865" s="3">
        <v>2045.78</v>
      </c>
      <c r="W865" s="3" t="s">
        <v>42</v>
      </c>
      <c r="X865" s="3" t="s">
        <v>43</v>
      </c>
      <c r="Y865" s="2" t="str">
        <f t="shared" si="105"/>
        <v>Unique</v>
      </c>
      <c r="AA865" s="2" t="str">
        <f t="shared" si="106"/>
        <v>Clean</v>
      </c>
      <c r="AB865" s="2" t="str">
        <f t="shared" si="107"/>
        <v>valid</v>
      </c>
      <c r="AC865">
        <f t="shared" si="115"/>
        <v>0</v>
      </c>
      <c r="AD865">
        <f t="shared" si="116"/>
        <v>8811.69</v>
      </c>
      <c r="AE865">
        <f t="shared" si="117"/>
        <v>2045.7800000000007</v>
      </c>
      <c r="AF865">
        <f t="shared" si="118"/>
        <v>0.23216658779416893</v>
      </c>
      <c r="AG865" t="str">
        <f t="shared" si="119"/>
        <v>June</v>
      </c>
      <c r="AH865">
        <f t="shared" si="120"/>
        <v>2025</v>
      </c>
      <c r="AI865" t="str">
        <f t="shared" si="121"/>
        <v>Clean</v>
      </c>
    </row>
    <row r="866" spans="1:35" ht="15.75" customHeight="1">
      <c r="A866" s="3" t="s">
        <v>3931</v>
      </c>
      <c r="B866" s="3" t="s">
        <v>3932</v>
      </c>
      <c r="C866" s="3" t="s">
        <v>582</v>
      </c>
      <c r="D866" s="3" t="str">
        <f t="shared" si="102"/>
        <v>05-Sep-2025</v>
      </c>
      <c r="E866" s="3" t="str">
        <f t="shared" si="103"/>
        <v>02-Sep-2025</v>
      </c>
      <c r="F866" s="3">
        <f t="shared" si="104"/>
        <v>3</v>
      </c>
      <c r="G866" s="3" t="s">
        <v>3933</v>
      </c>
      <c r="H866" s="3" t="s">
        <v>91</v>
      </c>
      <c r="I866" s="3" t="s">
        <v>34</v>
      </c>
      <c r="J866" s="3" t="s">
        <v>70</v>
      </c>
      <c r="K866" s="3" t="s">
        <v>347</v>
      </c>
      <c r="L866" s="3" t="s">
        <v>348</v>
      </c>
      <c r="M866" s="3" t="s">
        <v>94</v>
      </c>
      <c r="N866" s="3" t="s">
        <v>231</v>
      </c>
      <c r="O866" s="3" t="s">
        <v>3934</v>
      </c>
      <c r="P866" s="3" t="s">
        <v>64</v>
      </c>
      <c r="Q866" s="3">
        <v>5</v>
      </c>
      <c r="R866" s="3">
        <v>3406.87</v>
      </c>
      <c r="S866" s="3">
        <v>0</v>
      </c>
      <c r="T866" s="3">
        <v>17034.349999999999</v>
      </c>
      <c r="U866" s="3">
        <v>14631.36</v>
      </c>
      <c r="V866" s="3">
        <v>2402.9899999999998</v>
      </c>
      <c r="W866" s="3" t="s">
        <v>42</v>
      </c>
      <c r="X866" s="3" t="s">
        <v>43</v>
      </c>
      <c r="Y866" s="2" t="str">
        <f t="shared" si="105"/>
        <v>Unique</v>
      </c>
      <c r="AA866" s="2" t="str">
        <f t="shared" si="106"/>
        <v>Clean</v>
      </c>
      <c r="AB866" s="2" t="str">
        <f t="shared" si="107"/>
        <v>valid</v>
      </c>
      <c r="AC866">
        <f t="shared" si="115"/>
        <v>0</v>
      </c>
      <c r="AD866">
        <f t="shared" si="116"/>
        <v>17034.349999999999</v>
      </c>
      <c r="AE866">
        <f t="shared" si="117"/>
        <v>2402.989999999998</v>
      </c>
      <c r="AF866">
        <f t="shared" si="118"/>
        <v>0.14106731398615141</v>
      </c>
      <c r="AG866" t="str">
        <f t="shared" si="119"/>
        <v>September</v>
      </c>
      <c r="AH866">
        <f t="shared" si="120"/>
        <v>2025</v>
      </c>
      <c r="AI866" t="str">
        <f t="shared" si="121"/>
        <v>Clean</v>
      </c>
    </row>
    <row r="867" spans="1:35" ht="15.75" customHeight="1">
      <c r="A867" s="3" t="s">
        <v>3935</v>
      </c>
      <c r="B867" s="3" t="s">
        <v>3749</v>
      </c>
      <c r="C867" s="3" t="s">
        <v>1914</v>
      </c>
      <c r="D867" s="3" t="str">
        <f t="shared" si="102"/>
        <v>14-Feb-2025</v>
      </c>
      <c r="E867" s="3" t="str">
        <f t="shared" si="103"/>
        <v>06-Feb-2025</v>
      </c>
      <c r="F867" s="3">
        <f t="shared" si="104"/>
        <v>8</v>
      </c>
      <c r="G867" s="3" t="s">
        <v>3936</v>
      </c>
      <c r="H867" s="3" t="s">
        <v>375</v>
      </c>
      <c r="I867" s="3" t="s">
        <v>34</v>
      </c>
      <c r="J867" s="3" t="s">
        <v>81</v>
      </c>
      <c r="K867" s="3" t="s">
        <v>82</v>
      </c>
      <c r="L867" s="3" t="s">
        <v>83</v>
      </c>
      <c r="M867" s="3" t="s">
        <v>38</v>
      </c>
      <c r="N867" s="3" t="s">
        <v>117</v>
      </c>
      <c r="O867" s="3" t="s">
        <v>3937</v>
      </c>
      <c r="P867" s="3" t="s">
        <v>41</v>
      </c>
      <c r="Q867" s="3">
        <v>2</v>
      </c>
      <c r="R867" s="3">
        <v>3992.04</v>
      </c>
      <c r="S867" s="3">
        <v>0</v>
      </c>
      <c r="T867" s="3">
        <v>7984.08</v>
      </c>
      <c r="U867" s="3">
        <v>5658.05</v>
      </c>
      <c r="V867" s="3">
        <v>2326.0300000000002</v>
      </c>
      <c r="W867" s="3" t="s">
        <v>42</v>
      </c>
      <c r="X867" s="3" t="s">
        <v>43</v>
      </c>
      <c r="Y867" s="2" t="str">
        <f t="shared" si="105"/>
        <v>Unique</v>
      </c>
      <c r="AA867" s="2" t="str">
        <f t="shared" si="106"/>
        <v>Clean</v>
      </c>
      <c r="AB867" s="2" t="str">
        <f t="shared" si="107"/>
        <v>valid</v>
      </c>
      <c r="AC867">
        <f t="shared" si="115"/>
        <v>0</v>
      </c>
      <c r="AD867">
        <f t="shared" si="116"/>
        <v>7984.08</v>
      </c>
      <c r="AE867">
        <f t="shared" si="117"/>
        <v>2326.0299999999997</v>
      </c>
      <c r="AF867">
        <f t="shared" si="118"/>
        <v>0.29133350367230787</v>
      </c>
      <c r="AG867" t="str">
        <f t="shared" si="119"/>
        <v>February</v>
      </c>
      <c r="AH867">
        <f t="shared" si="120"/>
        <v>2025</v>
      </c>
      <c r="AI867" t="str">
        <f t="shared" si="121"/>
        <v>Clean</v>
      </c>
    </row>
    <row r="868" spans="1:35" ht="15.75" customHeight="1">
      <c r="A868" s="3" t="s">
        <v>3938</v>
      </c>
      <c r="B868" s="3" t="s">
        <v>1188</v>
      </c>
      <c r="C868" s="3" t="s">
        <v>3939</v>
      </c>
      <c r="D868" s="3" t="str">
        <f t="shared" si="102"/>
        <v>06-Mar-2025</v>
      </c>
      <c r="E868" s="3" t="str">
        <f t="shared" si="103"/>
        <v>26-Feb-2025</v>
      </c>
      <c r="F868" s="3">
        <f t="shared" si="104"/>
        <v>8</v>
      </c>
      <c r="G868" s="3" t="s">
        <v>3940</v>
      </c>
      <c r="H868" s="3" t="s">
        <v>150</v>
      </c>
      <c r="I868" s="3" t="s">
        <v>34</v>
      </c>
      <c r="J868" s="3" t="s">
        <v>50</v>
      </c>
      <c r="K868" s="3" t="s">
        <v>194</v>
      </c>
      <c r="L868" s="3" t="s">
        <v>195</v>
      </c>
      <c r="M868" s="3" t="s">
        <v>53</v>
      </c>
      <c r="N868" s="3" t="s">
        <v>212</v>
      </c>
      <c r="O868" s="3" t="s">
        <v>3941</v>
      </c>
      <c r="P868" s="3" t="s">
        <v>64</v>
      </c>
      <c r="Q868" s="3">
        <v>9</v>
      </c>
      <c r="R868" s="3">
        <v>3043.37</v>
      </c>
      <c r="S868" s="3">
        <v>0.2</v>
      </c>
      <c r="T868" s="3">
        <v>21912.26</v>
      </c>
      <c r="U868" s="3">
        <v>16367.78</v>
      </c>
      <c r="V868" s="3">
        <v>5544.48</v>
      </c>
      <c r="W868" s="3" t="s">
        <v>145</v>
      </c>
      <c r="X868" s="3" t="s">
        <v>86</v>
      </c>
      <c r="Y868" s="2" t="str">
        <f t="shared" si="105"/>
        <v>Unique</v>
      </c>
      <c r="AA868" s="2" t="str">
        <f t="shared" si="106"/>
        <v>Clean</v>
      </c>
      <c r="AB868" s="2" t="str">
        <f t="shared" si="107"/>
        <v>valid</v>
      </c>
      <c r="AC868">
        <f t="shared" si="115"/>
        <v>0.2</v>
      </c>
      <c r="AD868">
        <f t="shared" si="116"/>
        <v>21912.263999999999</v>
      </c>
      <c r="AE868">
        <f t="shared" si="117"/>
        <v>5544.4839999999986</v>
      </c>
      <c r="AF868">
        <f t="shared" si="118"/>
        <v>0.25303108797885965</v>
      </c>
      <c r="AG868" t="str">
        <f t="shared" si="119"/>
        <v>February</v>
      </c>
      <c r="AH868">
        <f t="shared" si="120"/>
        <v>2025</v>
      </c>
      <c r="AI868" t="str">
        <f t="shared" si="121"/>
        <v>Warning</v>
      </c>
    </row>
    <row r="869" spans="1:35" ht="15.75" customHeight="1">
      <c r="A869" s="3" t="s">
        <v>3942</v>
      </c>
      <c r="B869" s="3" t="s">
        <v>3943</v>
      </c>
      <c r="C869" s="3" t="s">
        <v>3944</v>
      </c>
      <c r="D869" s="3" t="str">
        <f t="shared" si="102"/>
        <v>22-Nov-2024</v>
      </c>
      <c r="E869" s="3" t="str">
        <f t="shared" si="103"/>
        <v>21-Nov-2024</v>
      </c>
      <c r="F869" s="3">
        <f t="shared" si="104"/>
        <v>1</v>
      </c>
      <c r="G869" s="3" t="s">
        <v>3945</v>
      </c>
      <c r="H869" s="3" t="s">
        <v>156</v>
      </c>
      <c r="I869" s="3" t="s">
        <v>123</v>
      </c>
      <c r="J869" s="3" t="s">
        <v>70</v>
      </c>
      <c r="K869" s="3" t="s">
        <v>108</v>
      </c>
      <c r="L869" s="3" t="s">
        <v>109</v>
      </c>
      <c r="M869" s="3" t="s">
        <v>94</v>
      </c>
      <c r="N869" s="3" t="s">
        <v>95</v>
      </c>
      <c r="O869" s="3" t="s">
        <v>3946</v>
      </c>
      <c r="P869" s="3" t="s">
        <v>56</v>
      </c>
      <c r="Q869" s="3">
        <v>6</v>
      </c>
      <c r="R869" s="3">
        <v>1043.49</v>
      </c>
      <c r="S869" s="3">
        <v>0.25</v>
      </c>
      <c r="T869" s="3">
        <v>4695.7</v>
      </c>
      <c r="U869" s="3">
        <v>3871.69</v>
      </c>
      <c r="V869" s="3">
        <v>824.01</v>
      </c>
      <c r="W869" s="3" t="s">
        <v>208</v>
      </c>
      <c r="X869" s="3" t="s">
        <v>86</v>
      </c>
      <c r="Y869" s="2" t="str">
        <f t="shared" si="105"/>
        <v>Unique</v>
      </c>
      <c r="AA869" s="2" t="str">
        <f t="shared" si="106"/>
        <v>Clean</v>
      </c>
      <c r="AB869" s="2" t="str">
        <f t="shared" si="107"/>
        <v>valid</v>
      </c>
      <c r="AC869">
        <f t="shared" si="115"/>
        <v>0.25</v>
      </c>
      <c r="AD869">
        <f t="shared" si="116"/>
        <v>4695.7049999999999</v>
      </c>
      <c r="AE869">
        <f t="shared" si="117"/>
        <v>824.01499999999987</v>
      </c>
      <c r="AF869">
        <f t="shared" si="118"/>
        <v>0.17548270174553127</v>
      </c>
      <c r="AG869" t="str">
        <f t="shared" si="119"/>
        <v>November</v>
      </c>
      <c r="AH869">
        <f t="shared" si="120"/>
        <v>2024</v>
      </c>
      <c r="AI869" t="str">
        <f t="shared" si="121"/>
        <v>Warning</v>
      </c>
    </row>
    <row r="870" spans="1:35" ht="15.75" customHeight="1">
      <c r="A870" s="3" t="s">
        <v>3947</v>
      </c>
      <c r="B870" s="3" t="s">
        <v>822</v>
      </c>
      <c r="C870" s="3" t="s">
        <v>2135</v>
      </c>
      <c r="D870" s="3" t="str">
        <f t="shared" si="102"/>
        <v>15-Apr-2025</v>
      </c>
      <c r="E870" s="3" t="str">
        <f t="shared" si="103"/>
        <v>11-Apr-2025</v>
      </c>
      <c r="F870" s="3">
        <f t="shared" si="104"/>
        <v>4</v>
      </c>
      <c r="G870" s="3" t="s">
        <v>3948</v>
      </c>
      <c r="H870" s="3" t="s">
        <v>91</v>
      </c>
      <c r="I870" s="3" t="s">
        <v>123</v>
      </c>
      <c r="J870" s="3" t="s">
        <v>70</v>
      </c>
      <c r="K870" s="3" t="s">
        <v>237</v>
      </c>
      <c r="L870" s="3" t="s">
        <v>238</v>
      </c>
      <c r="M870" s="3" t="s">
        <v>38</v>
      </c>
      <c r="N870" s="3" t="s">
        <v>164</v>
      </c>
      <c r="O870" s="3" t="s">
        <v>3949</v>
      </c>
      <c r="P870" s="3" t="s">
        <v>56</v>
      </c>
      <c r="Q870" s="3">
        <v>9</v>
      </c>
      <c r="R870" s="3">
        <v>224.94</v>
      </c>
      <c r="S870" s="3">
        <v>0.05</v>
      </c>
      <c r="T870" s="3">
        <v>1923.24</v>
      </c>
      <c r="U870" s="3">
        <v>1093.6600000000001</v>
      </c>
      <c r="V870" s="3">
        <v>829.58</v>
      </c>
      <c r="W870" s="3" t="s">
        <v>42</v>
      </c>
      <c r="X870" s="3" t="s">
        <v>43</v>
      </c>
      <c r="Y870" s="2" t="str">
        <f t="shared" si="105"/>
        <v>Unique</v>
      </c>
      <c r="AA870" s="2" t="str">
        <f t="shared" si="106"/>
        <v>Clean</v>
      </c>
      <c r="AB870" s="2" t="str">
        <f t="shared" si="107"/>
        <v>valid</v>
      </c>
      <c r="AC870">
        <f t="shared" si="115"/>
        <v>0.05</v>
      </c>
      <c r="AD870">
        <f t="shared" si="116"/>
        <v>1923.2369999999999</v>
      </c>
      <c r="AE870">
        <f t="shared" si="117"/>
        <v>829.57699999999977</v>
      </c>
      <c r="AF870">
        <f t="shared" si="118"/>
        <v>0.43134413491420964</v>
      </c>
      <c r="AG870" t="str">
        <f t="shared" si="119"/>
        <v>April</v>
      </c>
      <c r="AH870">
        <f t="shared" si="120"/>
        <v>2025</v>
      </c>
      <c r="AI870" t="str">
        <f t="shared" si="121"/>
        <v>Clean</v>
      </c>
    </row>
    <row r="871" spans="1:35" ht="15.75" customHeight="1">
      <c r="A871" s="3" t="s">
        <v>3950</v>
      </c>
      <c r="B871" s="3" t="s">
        <v>3951</v>
      </c>
      <c r="C871" s="3" t="s">
        <v>795</v>
      </c>
      <c r="D871" s="3" t="str">
        <f t="shared" si="102"/>
        <v>07-Mar-2025</v>
      </c>
      <c r="E871" s="3" t="str">
        <f t="shared" si="103"/>
        <v>03-Jun-2025</v>
      </c>
      <c r="F871" s="3">
        <f t="shared" si="104"/>
        <v>-88</v>
      </c>
      <c r="G871" s="3" t="s">
        <v>3952</v>
      </c>
      <c r="H871" s="3" t="s">
        <v>188</v>
      </c>
      <c r="I871" s="3" t="s">
        <v>123</v>
      </c>
      <c r="J871" s="3" t="s">
        <v>280</v>
      </c>
      <c r="K871" s="3" t="s">
        <v>515</v>
      </c>
      <c r="L871" s="3" t="s">
        <v>516</v>
      </c>
      <c r="M871" s="3" t="s">
        <v>53</v>
      </c>
      <c r="N871" s="3" t="s">
        <v>84</v>
      </c>
      <c r="O871" s="3" t="s">
        <v>1750</v>
      </c>
      <c r="P871" s="3" t="s">
        <v>56</v>
      </c>
      <c r="Q871" s="3">
        <v>6</v>
      </c>
      <c r="R871" s="3">
        <v>796.65</v>
      </c>
      <c r="S871" s="3">
        <v>0.1</v>
      </c>
      <c r="T871" s="3">
        <v>4301.91</v>
      </c>
      <c r="U871" s="3">
        <v>2374.4</v>
      </c>
      <c r="V871" s="3">
        <v>1927.51</v>
      </c>
      <c r="W871" s="3" t="s">
        <v>42</v>
      </c>
      <c r="X871" s="3" t="s">
        <v>43</v>
      </c>
      <c r="Y871" s="2" t="str">
        <f t="shared" si="105"/>
        <v>Unique</v>
      </c>
      <c r="AA871" s="2" t="str">
        <f t="shared" si="106"/>
        <v>Clean</v>
      </c>
      <c r="AB871" s="2" t="str">
        <f t="shared" si="107"/>
        <v>Invalid</v>
      </c>
      <c r="AC871">
        <f t="shared" si="115"/>
        <v>0.1</v>
      </c>
      <c r="AD871">
        <f t="shared" si="116"/>
        <v>4301.91</v>
      </c>
      <c r="AE871">
        <f t="shared" si="117"/>
        <v>1927.5099999999998</v>
      </c>
      <c r="AF871">
        <f t="shared" si="118"/>
        <v>0.44805911792668834</v>
      </c>
      <c r="AG871" t="str">
        <f t="shared" si="119"/>
        <v>June</v>
      </c>
      <c r="AH871">
        <f t="shared" si="120"/>
        <v>2025</v>
      </c>
      <c r="AI871" t="str">
        <f t="shared" si="121"/>
        <v>Clean</v>
      </c>
    </row>
    <row r="872" spans="1:35" ht="15.75" customHeight="1">
      <c r="A872" s="3" t="s">
        <v>3953</v>
      </c>
      <c r="B872" s="3" t="s">
        <v>3954</v>
      </c>
      <c r="C872" s="3" t="s">
        <v>3955</v>
      </c>
      <c r="D872" s="3" t="str">
        <f t="shared" si="102"/>
        <v>07-Jun-2025</v>
      </c>
      <c r="E872" s="3" t="str">
        <f t="shared" si="103"/>
        <v>06-Jun-2025</v>
      </c>
      <c r="F872" s="3">
        <f t="shared" si="104"/>
        <v>1</v>
      </c>
      <c r="G872" s="3" t="s">
        <v>3956</v>
      </c>
      <c r="H872" s="3" t="s">
        <v>91</v>
      </c>
      <c r="I872" s="3" t="s">
        <v>116</v>
      </c>
      <c r="J872" s="3" t="s">
        <v>81</v>
      </c>
      <c r="K872" s="3" t="s">
        <v>257</v>
      </c>
      <c r="L872" s="3" t="s">
        <v>258</v>
      </c>
      <c r="M872" s="3" t="s">
        <v>53</v>
      </c>
      <c r="N872" s="3" t="s">
        <v>54</v>
      </c>
      <c r="O872" s="3" t="s">
        <v>3957</v>
      </c>
      <c r="P872" s="3" t="s">
        <v>75</v>
      </c>
      <c r="Q872" s="3">
        <v>9</v>
      </c>
      <c r="R872" s="3">
        <v>2932.92</v>
      </c>
      <c r="S872" s="3">
        <v>0.15</v>
      </c>
      <c r="T872" s="3">
        <v>22436.84</v>
      </c>
      <c r="U872" s="3">
        <v>17454.669999999998</v>
      </c>
      <c r="V872" s="3">
        <v>4982.17</v>
      </c>
      <c r="W872" s="3" t="s">
        <v>42</v>
      </c>
      <c r="X872" s="3" t="s">
        <v>86</v>
      </c>
      <c r="Y872" s="2" t="str">
        <f t="shared" si="105"/>
        <v>Unique</v>
      </c>
      <c r="AA872" s="2" t="str">
        <f t="shared" si="106"/>
        <v>Clean</v>
      </c>
      <c r="AB872" s="2" t="str">
        <f t="shared" si="107"/>
        <v>valid</v>
      </c>
      <c r="AC872">
        <f t="shared" si="115"/>
        <v>0.15</v>
      </c>
      <c r="AD872">
        <f t="shared" si="116"/>
        <v>22436.838</v>
      </c>
      <c r="AE872">
        <f t="shared" si="117"/>
        <v>4982.1680000000015</v>
      </c>
      <c r="AF872">
        <f t="shared" si="118"/>
        <v>0.22205303617203109</v>
      </c>
      <c r="AG872" t="str">
        <f t="shared" si="119"/>
        <v>June</v>
      </c>
      <c r="AH872">
        <f t="shared" si="120"/>
        <v>2025</v>
      </c>
      <c r="AI872" t="str">
        <f t="shared" si="121"/>
        <v>Warning</v>
      </c>
    </row>
    <row r="873" spans="1:35" ht="15.75" customHeight="1">
      <c r="A873" s="3" t="s">
        <v>3958</v>
      </c>
      <c r="B873" s="3" t="s">
        <v>3959</v>
      </c>
      <c r="C873" s="3" t="s">
        <v>2819</v>
      </c>
      <c r="D873" s="3" t="str">
        <f t="shared" si="102"/>
        <v>22-Feb-2024</v>
      </c>
      <c r="E873" s="3" t="str">
        <f t="shared" si="103"/>
        <v>20-Feb-2024</v>
      </c>
      <c r="F873" s="3">
        <f t="shared" si="104"/>
        <v>2</v>
      </c>
      <c r="G873" s="3" t="s">
        <v>3778</v>
      </c>
      <c r="H873" s="3" t="s">
        <v>101</v>
      </c>
      <c r="I873" s="3" t="s">
        <v>49</v>
      </c>
      <c r="J873" s="3" t="s">
        <v>70</v>
      </c>
      <c r="K873" s="3" t="s">
        <v>71</v>
      </c>
      <c r="L873" s="3" t="s">
        <v>72</v>
      </c>
      <c r="M873" s="3" t="s">
        <v>94</v>
      </c>
      <c r="N873" s="3" t="s">
        <v>95</v>
      </c>
      <c r="O873" s="3" t="s">
        <v>3960</v>
      </c>
      <c r="P873" s="3" t="s">
        <v>64</v>
      </c>
      <c r="Q873" s="3">
        <v>9</v>
      </c>
      <c r="R873" s="3">
        <v>2186.23</v>
      </c>
      <c r="S873" s="3">
        <v>0</v>
      </c>
      <c r="T873" s="3">
        <v>19676.07</v>
      </c>
      <c r="U873" s="3">
        <v>12458.62</v>
      </c>
      <c r="V873" s="3">
        <v>7217.45</v>
      </c>
      <c r="W873" s="3" t="s">
        <v>132</v>
      </c>
      <c r="X873" s="3" t="s">
        <v>86</v>
      </c>
      <c r="Y873" s="2" t="str">
        <f t="shared" si="105"/>
        <v>Unique</v>
      </c>
      <c r="AA873" s="2" t="str">
        <f t="shared" si="106"/>
        <v>Clean</v>
      </c>
      <c r="AB873" s="2" t="str">
        <f t="shared" si="107"/>
        <v>valid</v>
      </c>
      <c r="AC873">
        <f t="shared" si="115"/>
        <v>0</v>
      </c>
      <c r="AD873">
        <f t="shared" si="116"/>
        <v>19676.07</v>
      </c>
      <c r="AE873">
        <f t="shared" si="117"/>
        <v>7217.4499999999989</v>
      </c>
      <c r="AF873">
        <f t="shared" si="118"/>
        <v>0.36681359641432454</v>
      </c>
      <c r="AG873" t="str">
        <f t="shared" si="119"/>
        <v>February</v>
      </c>
      <c r="AH873">
        <f t="shared" si="120"/>
        <v>2024</v>
      </c>
      <c r="AI873" t="str">
        <f t="shared" si="121"/>
        <v>Warning</v>
      </c>
    </row>
    <row r="874" spans="1:35" ht="15.75" customHeight="1">
      <c r="A874" s="3" t="s">
        <v>3961</v>
      </c>
      <c r="B874" s="3" t="s">
        <v>3493</v>
      </c>
      <c r="C874" s="3" t="s">
        <v>3962</v>
      </c>
      <c r="D874" s="3" t="str">
        <f t="shared" si="102"/>
        <v>02-Nov-2024</v>
      </c>
      <c r="E874" s="3" t="str">
        <f t="shared" si="103"/>
        <v>11-Jan-2024</v>
      </c>
      <c r="F874" s="3">
        <f t="shared" si="104"/>
        <v>296</v>
      </c>
      <c r="G874" s="3" t="s">
        <v>2951</v>
      </c>
      <c r="H874" s="3" t="s">
        <v>33</v>
      </c>
      <c r="I874" s="3" t="s">
        <v>116</v>
      </c>
      <c r="J874" s="3" t="s">
        <v>50</v>
      </c>
      <c r="K874" s="3" t="s">
        <v>129</v>
      </c>
      <c r="L874" s="3" t="s">
        <v>130</v>
      </c>
      <c r="M874" s="3" t="s">
        <v>53</v>
      </c>
      <c r="N874" s="3" t="s">
        <v>73</v>
      </c>
      <c r="O874" s="3" t="s">
        <v>3963</v>
      </c>
      <c r="P874" s="3" t="s">
        <v>75</v>
      </c>
      <c r="Q874" s="3">
        <v>5</v>
      </c>
      <c r="R874" s="3">
        <v>2212.02</v>
      </c>
      <c r="S874" s="3">
        <v>0.2</v>
      </c>
      <c r="T874" s="3">
        <v>8848.08</v>
      </c>
      <c r="U874" s="3">
        <v>5691.56</v>
      </c>
      <c r="V874" s="3">
        <v>3156.52</v>
      </c>
      <c r="W874" s="3" t="s">
        <v>42</v>
      </c>
      <c r="X874" s="3" t="s">
        <v>43</v>
      </c>
      <c r="Y874" s="2" t="str">
        <f t="shared" si="105"/>
        <v>Unique</v>
      </c>
      <c r="AA874" s="2" t="str">
        <f t="shared" si="106"/>
        <v>Clean</v>
      </c>
      <c r="AB874" s="2" t="str">
        <f t="shared" si="107"/>
        <v>valid</v>
      </c>
      <c r="AC874">
        <f t="shared" si="115"/>
        <v>0.2</v>
      </c>
      <c r="AD874">
        <f t="shared" si="116"/>
        <v>8848.08</v>
      </c>
      <c r="AE874">
        <f t="shared" si="117"/>
        <v>3156.5199999999995</v>
      </c>
      <c r="AF874">
        <f t="shared" si="118"/>
        <v>0.35674632236598219</v>
      </c>
      <c r="AG874" t="str">
        <f t="shared" si="119"/>
        <v>January</v>
      </c>
      <c r="AH874">
        <f t="shared" si="120"/>
        <v>2024</v>
      </c>
      <c r="AI874" t="str">
        <f t="shared" si="121"/>
        <v>Clean</v>
      </c>
    </row>
    <row r="875" spans="1:35" ht="15.75" customHeight="1">
      <c r="A875" s="3" t="s">
        <v>3964</v>
      </c>
      <c r="B875" s="3" t="s">
        <v>3965</v>
      </c>
      <c r="C875" s="3" t="s">
        <v>3966</v>
      </c>
      <c r="D875" s="3" t="str">
        <f t="shared" si="102"/>
        <v>08-Feb-2025</v>
      </c>
      <c r="E875" s="3" t="str">
        <f t="shared" si="103"/>
        <v>01-Feb-2025</v>
      </c>
      <c r="F875" s="3">
        <f t="shared" si="104"/>
        <v>7</v>
      </c>
      <c r="G875" s="3" t="s">
        <v>3967</v>
      </c>
      <c r="H875" s="3" t="s">
        <v>115</v>
      </c>
      <c r="I875" s="3" t="s">
        <v>123</v>
      </c>
      <c r="J875" s="3" t="s">
        <v>81</v>
      </c>
      <c r="K875" s="3" t="s">
        <v>243</v>
      </c>
      <c r="L875" s="3" t="s">
        <v>244</v>
      </c>
      <c r="M875" s="3" t="s">
        <v>38</v>
      </c>
      <c r="N875" s="3" t="s">
        <v>164</v>
      </c>
      <c r="O875" s="3" t="s">
        <v>3968</v>
      </c>
      <c r="P875" s="3" t="s">
        <v>41</v>
      </c>
      <c r="Q875" s="3">
        <v>8</v>
      </c>
      <c r="R875" s="3">
        <v>623.30999999999995</v>
      </c>
      <c r="S875" s="3">
        <v>0.1</v>
      </c>
      <c r="T875" s="3">
        <v>4487.83</v>
      </c>
      <c r="U875" s="3">
        <v>2633.78</v>
      </c>
      <c r="V875" s="3">
        <v>1854.05</v>
      </c>
      <c r="W875" s="3" t="s">
        <v>42</v>
      </c>
      <c r="X875" s="3" t="s">
        <v>43</v>
      </c>
      <c r="Y875" s="2" t="str">
        <f t="shared" si="105"/>
        <v>Unique</v>
      </c>
      <c r="AA875" s="2" t="str">
        <f t="shared" si="106"/>
        <v>Clean</v>
      </c>
      <c r="AB875" s="2" t="str">
        <f t="shared" si="107"/>
        <v>valid</v>
      </c>
      <c r="AC875">
        <f t="shared" si="115"/>
        <v>0.1</v>
      </c>
      <c r="AD875">
        <f t="shared" si="116"/>
        <v>4487.8319999999994</v>
      </c>
      <c r="AE875">
        <f t="shared" si="117"/>
        <v>1854.0519999999992</v>
      </c>
      <c r="AF875">
        <f t="shared" si="118"/>
        <v>0.41312865543986482</v>
      </c>
      <c r="AG875" t="str">
        <f t="shared" si="119"/>
        <v>February</v>
      </c>
      <c r="AH875">
        <f t="shared" si="120"/>
        <v>2025</v>
      </c>
      <c r="AI875" t="str">
        <f t="shared" si="121"/>
        <v>Clean</v>
      </c>
    </row>
    <row r="876" spans="1:35" ht="15.75" customHeight="1">
      <c r="A876" s="3" t="s">
        <v>3969</v>
      </c>
      <c r="B876" s="3" t="s">
        <v>2897</v>
      </c>
      <c r="C876" s="3" t="s">
        <v>1511</v>
      </c>
      <c r="D876" s="3" t="str">
        <f t="shared" si="102"/>
        <v>16-Jul-2025</v>
      </c>
      <c r="E876" s="3" t="str">
        <f t="shared" si="103"/>
        <v>15-Jul-2025</v>
      </c>
      <c r="F876" s="3">
        <f t="shared" si="104"/>
        <v>1</v>
      </c>
      <c r="G876" s="3" t="s">
        <v>3970</v>
      </c>
      <c r="H876" s="3" t="s">
        <v>91</v>
      </c>
      <c r="I876" s="3" t="s">
        <v>49</v>
      </c>
      <c r="J876" s="3" t="s">
        <v>81</v>
      </c>
      <c r="K876" s="3" t="s">
        <v>82</v>
      </c>
      <c r="L876" s="3" t="s">
        <v>83</v>
      </c>
      <c r="M876" s="3" t="s">
        <v>38</v>
      </c>
      <c r="N876" s="3" t="s">
        <v>39</v>
      </c>
      <c r="O876" s="3" t="s">
        <v>3971</v>
      </c>
      <c r="P876" s="3" t="s">
        <v>75</v>
      </c>
      <c r="Q876" s="3">
        <v>8</v>
      </c>
      <c r="R876" s="3">
        <v>3924.88</v>
      </c>
      <c r="S876" s="3">
        <v>0.05</v>
      </c>
      <c r="T876" s="3">
        <v>29829.09</v>
      </c>
      <c r="U876" s="3">
        <v>20710.18</v>
      </c>
      <c r="V876" s="3">
        <v>9118.91</v>
      </c>
      <c r="W876" s="3" t="s">
        <v>42</v>
      </c>
      <c r="X876" s="3" t="s">
        <v>43</v>
      </c>
      <c r="Y876" s="2" t="str">
        <f t="shared" si="105"/>
        <v>Unique</v>
      </c>
      <c r="AA876" s="2" t="str">
        <f t="shared" si="106"/>
        <v>Clean</v>
      </c>
      <c r="AB876" s="2" t="str">
        <f t="shared" si="107"/>
        <v>valid</v>
      </c>
      <c r="AC876">
        <f t="shared" si="115"/>
        <v>0.05</v>
      </c>
      <c r="AD876">
        <f t="shared" si="116"/>
        <v>29829.088</v>
      </c>
      <c r="AE876">
        <f t="shared" si="117"/>
        <v>9118.9079999999994</v>
      </c>
      <c r="AF876">
        <f t="shared" si="118"/>
        <v>0.30570522303598419</v>
      </c>
      <c r="AG876" t="str">
        <f t="shared" si="119"/>
        <v>July</v>
      </c>
      <c r="AH876">
        <f t="shared" si="120"/>
        <v>2025</v>
      </c>
      <c r="AI876" t="str">
        <f t="shared" si="121"/>
        <v>Clean</v>
      </c>
    </row>
    <row r="877" spans="1:35" ht="15.75" customHeight="1">
      <c r="A877" s="3" t="s">
        <v>3972</v>
      </c>
      <c r="B877" s="3" t="s">
        <v>3973</v>
      </c>
      <c r="C877" s="3" t="s">
        <v>3974</v>
      </c>
      <c r="D877" s="3" t="str">
        <f t="shared" si="102"/>
        <v>08-Nov-2024</v>
      </c>
      <c r="E877" s="3" t="str">
        <f t="shared" si="103"/>
        <v>10-Aug-2024</v>
      </c>
      <c r="F877" s="3">
        <f t="shared" si="104"/>
        <v>90</v>
      </c>
      <c r="G877" s="3" t="s">
        <v>3975</v>
      </c>
      <c r="H877" s="3" t="s">
        <v>48</v>
      </c>
      <c r="I877" s="3" t="s">
        <v>116</v>
      </c>
      <c r="J877" s="3" t="s">
        <v>81</v>
      </c>
      <c r="K877" s="3" t="s">
        <v>82</v>
      </c>
      <c r="L877" s="3" t="s">
        <v>83</v>
      </c>
      <c r="M877" s="3" t="s">
        <v>94</v>
      </c>
      <c r="N877" s="3" t="s">
        <v>102</v>
      </c>
      <c r="O877" s="3" t="s">
        <v>3976</v>
      </c>
      <c r="P877" s="3" t="s">
        <v>64</v>
      </c>
      <c r="Q877" s="3">
        <v>7</v>
      </c>
      <c r="R877" s="3">
        <v>3852.62</v>
      </c>
      <c r="S877" s="3">
        <v>0.2</v>
      </c>
      <c r="T877" s="3">
        <v>21574.67</v>
      </c>
      <c r="U877" s="3">
        <v>14672.83</v>
      </c>
      <c r="V877" s="3">
        <v>6901.84</v>
      </c>
      <c r="W877" s="3" t="s">
        <v>42</v>
      </c>
      <c r="X877" s="3" t="s">
        <v>43</v>
      </c>
      <c r="Y877" s="2" t="str">
        <f t="shared" si="105"/>
        <v>Unique</v>
      </c>
      <c r="AA877" s="2" t="str">
        <f t="shared" si="106"/>
        <v>Clean</v>
      </c>
      <c r="AB877" s="2" t="str">
        <f t="shared" si="107"/>
        <v>valid</v>
      </c>
      <c r="AC877">
        <f t="shared" si="115"/>
        <v>0.2</v>
      </c>
      <c r="AD877">
        <f t="shared" si="116"/>
        <v>21574.672000000002</v>
      </c>
      <c r="AE877">
        <f t="shared" si="117"/>
        <v>6901.8420000000024</v>
      </c>
      <c r="AF877">
        <f t="shared" si="118"/>
        <v>0.31990484026825539</v>
      </c>
      <c r="AG877" t="str">
        <f t="shared" si="119"/>
        <v>August</v>
      </c>
      <c r="AH877">
        <f t="shared" si="120"/>
        <v>2024</v>
      </c>
      <c r="AI877" t="str">
        <f t="shared" si="121"/>
        <v>Clean</v>
      </c>
    </row>
    <row r="878" spans="1:35" ht="15.75" customHeight="1">
      <c r="A878" s="3" t="s">
        <v>3977</v>
      </c>
      <c r="B878" s="3" t="s">
        <v>3978</v>
      </c>
      <c r="C878" s="3" t="s">
        <v>3979</v>
      </c>
      <c r="D878" s="3" t="str">
        <f t="shared" si="102"/>
        <v>20-Nov-2024</v>
      </c>
      <c r="E878" s="3" t="str">
        <f t="shared" si="103"/>
        <v>18-Nov-2024</v>
      </c>
      <c r="F878" s="3">
        <f t="shared" si="104"/>
        <v>2</v>
      </c>
      <c r="G878" s="3" t="s">
        <v>3980</v>
      </c>
      <c r="H878" s="3" t="s">
        <v>150</v>
      </c>
      <c r="I878" s="3" t="s">
        <v>34</v>
      </c>
      <c r="J878" s="3" t="s">
        <v>81</v>
      </c>
      <c r="K878" s="3" t="s">
        <v>36</v>
      </c>
      <c r="L878" s="3" t="s">
        <v>143</v>
      </c>
      <c r="M878" s="3" t="s">
        <v>53</v>
      </c>
      <c r="N878" s="3" t="s">
        <v>84</v>
      </c>
      <c r="O878" s="3" t="s">
        <v>1290</v>
      </c>
      <c r="P878" s="3" t="s">
        <v>64</v>
      </c>
      <c r="Q878" s="3">
        <v>6</v>
      </c>
      <c r="R878" s="3">
        <v>3790.22</v>
      </c>
      <c r="S878" s="3">
        <v>0</v>
      </c>
      <c r="T878" s="3">
        <v>22741.32</v>
      </c>
      <c r="U878" s="3">
        <v>16388.57</v>
      </c>
      <c r="V878" s="3">
        <v>6352.75</v>
      </c>
      <c r="W878" s="3" t="s">
        <v>42</v>
      </c>
      <c r="X878" s="3" t="s">
        <v>43</v>
      </c>
      <c r="Y878" s="2" t="str">
        <f t="shared" si="105"/>
        <v>Unique</v>
      </c>
      <c r="AA878" s="2" t="str">
        <f t="shared" si="106"/>
        <v>Clean</v>
      </c>
      <c r="AB878" s="2" t="str">
        <f t="shared" si="107"/>
        <v>valid</v>
      </c>
      <c r="AC878">
        <f t="shared" si="115"/>
        <v>0</v>
      </c>
      <c r="AD878">
        <f t="shared" si="116"/>
        <v>22741.32</v>
      </c>
      <c r="AE878">
        <f t="shared" si="117"/>
        <v>6352.75</v>
      </c>
      <c r="AF878">
        <f t="shared" si="118"/>
        <v>0.27934834037777928</v>
      </c>
      <c r="AG878" t="str">
        <f t="shared" si="119"/>
        <v>November</v>
      </c>
      <c r="AH878">
        <f t="shared" si="120"/>
        <v>2024</v>
      </c>
      <c r="AI878" t="str">
        <f t="shared" si="121"/>
        <v>Clean</v>
      </c>
    </row>
    <row r="879" spans="1:35" ht="15.75" customHeight="1">
      <c r="A879" s="3" t="s">
        <v>3981</v>
      </c>
      <c r="B879" s="3" t="s">
        <v>3982</v>
      </c>
      <c r="C879" s="3" t="s">
        <v>2756</v>
      </c>
      <c r="D879" s="3" t="str">
        <f t="shared" si="102"/>
        <v>03-Sep-2025</v>
      </c>
      <c r="E879" s="3" t="str">
        <f t="shared" si="103"/>
        <v>26-Aug-2025</v>
      </c>
      <c r="F879" s="3">
        <f t="shared" si="104"/>
        <v>8</v>
      </c>
      <c r="G879" s="3" t="s">
        <v>3983</v>
      </c>
      <c r="H879" s="3" t="s">
        <v>170</v>
      </c>
      <c r="I879" s="3" t="s">
        <v>34</v>
      </c>
      <c r="J879" s="3" t="s">
        <v>81</v>
      </c>
      <c r="K879" s="3" t="s">
        <v>36</v>
      </c>
      <c r="L879" s="3" t="s">
        <v>143</v>
      </c>
      <c r="M879" s="3" t="s">
        <v>38</v>
      </c>
      <c r="N879" s="3" t="s">
        <v>164</v>
      </c>
      <c r="O879" s="3" t="s">
        <v>3984</v>
      </c>
      <c r="P879" s="3" t="s">
        <v>41</v>
      </c>
      <c r="Q879" s="3">
        <v>6</v>
      </c>
      <c r="R879" s="3">
        <v>674.36</v>
      </c>
      <c r="S879" s="3">
        <v>0.1</v>
      </c>
      <c r="T879" s="3">
        <v>3641.54</v>
      </c>
      <c r="U879" s="3">
        <v>2690.37</v>
      </c>
      <c r="V879" s="3">
        <v>951.17</v>
      </c>
      <c r="W879" s="3" t="s">
        <v>42</v>
      </c>
      <c r="X879" s="3" t="s">
        <v>43</v>
      </c>
      <c r="Y879" s="2" t="str">
        <f t="shared" si="105"/>
        <v>Unique</v>
      </c>
      <c r="AA879" s="2" t="str">
        <f t="shared" si="106"/>
        <v>Clean</v>
      </c>
      <c r="AB879" s="2" t="str">
        <f t="shared" si="107"/>
        <v>valid</v>
      </c>
      <c r="AC879">
        <f t="shared" si="115"/>
        <v>0.1</v>
      </c>
      <c r="AD879">
        <f t="shared" si="116"/>
        <v>3641.5439999999999</v>
      </c>
      <c r="AE879">
        <f t="shared" si="117"/>
        <v>951.17399999999998</v>
      </c>
      <c r="AF879">
        <f t="shared" si="118"/>
        <v>0.26120074342092253</v>
      </c>
      <c r="AG879" t="str">
        <f t="shared" si="119"/>
        <v>August</v>
      </c>
      <c r="AH879">
        <f t="shared" si="120"/>
        <v>2025</v>
      </c>
      <c r="AI879" t="str">
        <f t="shared" si="121"/>
        <v>Clean</v>
      </c>
    </row>
    <row r="880" spans="1:35" ht="15.75" customHeight="1">
      <c r="A880" s="3" t="s">
        <v>3985</v>
      </c>
      <c r="B880" s="3" t="s">
        <v>2031</v>
      </c>
      <c r="C880" s="3" t="s">
        <v>2031</v>
      </c>
      <c r="D880" s="3" t="str">
        <f t="shared" si="102"/>
        <v>22-Jan-2024</v>
      </c>
      <c r="E880" s="3" t="str">
        <f t="shared" si="103"/>
        <v>22-Jan-2024</v>
      </c>
      <c r="F880" s="3">
        <f t="shared" si="104"/>
        <v>0</v>
      </c>
      <c r="G880" s="3" t="s">
        <v>3986</v>
      </c>
      <c r="H880" s="3" t="s">
        <v>33</v>
      </c>
      <c r="I880" s="3" t="s">
        <v>116</v>
      </c>
      <c r="J880" s="3" t="s">
        <v>50</v>
      </c>
      <c r="K880" s="3" t="s">
        <v>129</v>
      </c>
      <c r="L880" s="3" t="s">
        <v>130</v>
      </c>
      <c r="M880" s="3" t="s">
        <v>38</v>
      </c>
      <c r="N880" s="3" t="s">
        <v>39</v>
      </c>
      <c r="O880" s="3" t="s">
        <v>3987</v>
      </c>
      <c r="P880" s="3" t="s">
        <v>64</v>
      </c>
      <c r="Q880" s="3">
        <v>8</v>
      </c>
      <c r="R880" s="3">
        <v>1557.21</v>
      </c>
      <c r="S880" s="3">
        <v>0.05</v>
      </c>
      <c r="T880" s="3">
        <v>11834.8</v>
      </c>
      <c r="U880" s="3">
        <v>9322.36</v>
      </c>
      <c r="V880" s="3">
        <v>2512.44</v>
      </c>
      <c r="W880" s="3" t="s">
        <v>42</v>
      </c>
      <c r="X880" s="3" t="s">
        <v>43</v>
      </c>
      <c r="Y880" s="2" t="str">
        <f t="shared" si="105"/>
        <v>Unique</v>
      </c>
      <c r="AA880" s="2" t="str">
        <f t="shared" si="106"/>
        <v>Clean</v>
      </c>
      <c r="AB880" s="2" t="str">
        <f t="shared" si="107"/>
        <v>valid</v>
      </c>
      <c r="AC880">
        <f t="shared" si="115"/>
        <v>0.05</v>
      </c>
      <c r="AD880">
        <f t="shared" si="116"/>
        <v>11834.796</v>
      </c>
      <c r="AE880">
        <f t="shared" si="117"/>
        <v>2512.4359999999997</v>
      </c>
      <c r="AF880">
        <f t="shared" si="118"/>
        <v>0.21229229468763125</v>
      </c>
      <c r="AG880" t="str">
        <f t="shared" si="119"/>
        <v>January</v>
      </c>
      <c r="AH880">
        <f t="shared" si="120"/>
        <v>2024</v>
      </c>
      <c r="AI880" t="str">
        <f t="shared" si="121"/>
        <v>Clean</v>
      </c>
    </row>
    <row r="881" spans="1:35" ht="15.75" customHeight="1">
      <c r="A881" s="3" t="s">
        <v>3988</v>
      </c>
      <c r="B881" s="3" t="s">
        <v>3989</v>
      </c>
      <c r="C881" s="3" t="s">
        <v>444</v>
      </c>
      <c r="D881" s="3" t="str">
        <f t="shared" si="102"/>
        <v>28-Aug-2025</v>
      </c>
      <c r="E881" s="3" t="str">
        <f t="shared" si="103"/>
        <v>27-Aug-2025</v>
      </c>
      <c r="F881" s="3">
        <f t="shared" si="104"/>
        <v>1</v>
      </c>
      <c r="G881" s="3" t="s">
        <v>3990</v>
      </c>
      <c r="H881" s="3" t="s">
        <v>80</v>
      </c>
      <c r="I881" s="3" t="s">
        <v>123</v>
      </c>
      <c r="J881" s="3" t="s">
        <v>35</v>
      </c>
      <c r="K881" s="3" t="s">
        <v>182</v>
      </c>
      <c r="L881" s="3" t="s">
        <v>183</v>
      </c>
      <c r="M881" s="3" t="s">
        <v>38</v>
      </c>
      <c r="N881" s="3" t="s">
        <v>62</v>
      </c>
      <c r="O881" s="3" t="s">
        <v>3991</v>
      </c>
      <c r="P881" s="3" t="s">
        <v>75</v>
      </c>
      <c r="Q881" s="3">
        <v>6</v>
      </c>
      <c r="R881" s="3">
        <v>1182.03</v>
      </c>
      <c r="S881" s="3">
        <v>0.15</v>
      </c>
      <c r="T881" s="3">
        <v>6028.35</v>
      </c>
      <c r="U881" s="3">
        <v>4433.63</v>
      </c>
      <c r="V881" s="3">
        <v>1594.72</v>
      </c>
      <c r="W881" s="3" t="s">
        <v>42</v>
      </c>
      <c r="X881" s="3" t="s">
        <v>43</v>
      </c>
      <c r="Y881" s="2" t="str">
        <f t="shared" si="105"/>
        <v>Unique</v>
      </c>
      <c r="AA881" s="2" t="str">
        <f t="shared" si="106"/>
        <v>Clean</v>
      </c>
      <c r="AB881" s="2" t="str">
        <f t="shared" si="107"/>
        <v>valid</v>
      </c>
      <c r="AC881">
        <f t="shared" si="115"/>
        <v>0.15</v>
      </c>
      <c r="AD881">
        <f t="shared" si="116"/>
        <v>6028.3530000000001</v>
      </c>
      <c r="AE881">
        <f t="shared" si="117"/>
        <v>1594.723</v>
      </c>
      <c r="AF881">
        <f t="shared" si="118"/>
        <v>0.26453709661660491</v>
      </c>
      <c r="AG881" t="str">
        <f t="shared" si="119"/>
        <v>August</v>
      </c>
      <c r="AH881">
        <f t="shared" si="120"/>
        <v>2025</v>
      </c>
      <c r="AI881" t="str">
        <f t="shared" si="121"/>
        <v>Clean</v>
      </c>
    </row>
    <row r="882" spans="1:35" ht="15.75" customHeight="1">
      <c r="A882" s="3" t="s">
        <v>3992</v>
      </c>
      <c r="B882" s="3" t="s">
        <v>3993</v>
      </c>
      <c r="C882" s="3" t="s">
        <v>1126</v>
      </c>
      <c r="D882" s="3" t="str">
        <f t="shared" si="102"/>
        <v>15-Mar-2024</v>
      </c>
      <c r="E882" s="3" t="str">
        <f t="shared" si="103"/>
        <v>08-Mar-2024</v>
      </c>
      <c r="F882" s="3">
        <f t="shared" si="104"/>
        <v>7</v>
      </c>
      <c r="G882" s="3" t="s">
        <v>3994</v>
      </c>
      <c r="H882" s="3" t="s">
        <v>170</v>
      </c>
      <c r="I882" s="3" t="s">
        <v>49</v>
      </c>
      <c r="J882" s="3" t="s">
        <v>280</v>
      </c>
      <c r="K882" s="3" t="s">
        <v>162</v>
      </c>
      <c r="L882" s="3" t="s">
        <v>163</v>
      </c>
      <c r="M882" s="3" t="s">
        <v>53</v>
      </c>
      <c r="N882" s="3" t="s">
        <v>84</v>
      </c>
      <c r="O882" s="3" t="s">
        <v>3995</v>
      </c>
      <c r="P882" s="3" t="s">
        <v>64</v>
      </c>
      <c r="Q882" s="3">
        <v>5</v>
      </c>
      <c r="R882" s="3">
        <v>3234.77</v>
      </c>
      <c r="S882" s="3">
        <v>0</v>
      </c>
      <c r="T882" s="3">
        <v>16173.85</v>
      </c>
      <c r="U882" s="3">
        <v>13636.34</v>
      </c>
      <c r="V882" s="3">
        <v>2537.5100000000002</v>
      </c>
      <c r="W882" s="3" t="s">
        <v>42</v>
      </c>
      <c r="X882" s="3" t="s">
        <v>43</v>
      </c>
      <c r="Y882" s="2" t="str">
        <f t="shared" si="105"/>
        <v>Unique</v>
      </c>
      <c r="AA882" s="2" t="str">
        <f t="shared" si="106"/>
        <v>Clean</v>
      </c>
      <c r="AB882" s="2" t="str">
        <f t="shared" si="107"/>
        <v>valid</v>
      </c>
      <c r="AC882">
        <f t="shared" si="115"/>
        <v>0</v>
      </c>
      <c r="AD882">
        <f t="shared" si="116"/>
        <v>16173.85</v>
      </c>
      <c r="AE882">
        <f t="shared" si="117"/>
        <v>2537.5100000000002</v>
      </c>
      <c r="AF882">
        <f t="shared" si="118"/>
        <v>0.15688967067210344</v>
      </c>
      <c r="AG882" t="str">
        <f t="shared" si="119"/>
        <v>March</v>
      </c>
      <c r="AH882">
        <f t="shared" si="120"/>
        <v>2024</v>
      </c>
      <c r="AI882" t="str">
        <f t="shared" si="121"/>
        <v>Clean</v>
      </c>
    </row>
    <row r="883" spans="1:35" ht="15.75" customHeight="1">
      <c r="A883" s="3" t="s">
        <v>3996</v>
      </c>
      <c r="B883" s="3" t="s">
        <v>2528</v>
      </c>
      <c r="C883" s="3" t="s">
        <v>3997</v>
      </c>
      <c r="D883" s="3" t="str">
        <f t="shared" si="102"/>
        <v>05-Dec-2024</v>
      </c>
      <c r="E883" s="3" t="str">
        <f t="shared" si="103"/>
        <v>01-Dec-2024</v>
      </c>
      <c r="F883" s="3">
        <f t="shared" si="104"/>
        <v>4</v>
      </c>
      <c r="G883" s="3" t="s">
        <v>3998</v>
      </c>
      <c r="H883" s="3" t="s">
        <v>80</v>
      </c>
      <c r="I883" s="3" t="s">
        <v>49</v>
      </c>
      <c r="J883" s="3" t="s">
        <v>70</v>
      </c>
      <c r="K883" s="3" t="s">
        <v>108</v>
      </c>
      <c r="L883" s="3" t="s">
        <v>109</v>
      </c>
      <c r="M883" s="3" t="s">
        <v>94</v>
      </c>
      <c r="N883" s="3" t="s">
        <v>102</v>
      </c>
      <c r="O883" s="3" t="s">
        <v>3999</v>
      </c>
      <c r="P883" s="3" t="s">
        <v>41</v>
      </c>
      <c r="Q883" s="3">
        <v>9</v>
      </c>
      <c r="R883" s="3">
        <v>3726.75</v>
      </c>
      <c r="S883" s="3">
        <v>0.25</v>
      </c>
      <c r="T883" s="3">
        <v>25155.56</v>
      </c>
      <c r="U883" s="3">
        <v>17592.689999999999</v>
      </c>
      <c r="V883" s="3">
        <v>7562.87</v>
      </c>
      <c r="W883" s="3" t="s">
        <v>42</v>
      </c>
      <c r="X883" s="3" t="s">
        <v>43</v>
      </c>
      <c r="Y883" s="2" t="str">
        <f t="shared" si="105"/>
        <v>Unique</v>
      </c>
      <c r="AA883" s="2" t="str">
        <f t="shared" si="106"/>
        <v>Clean</v>
      </c>
      <c r="AB883" s="2" t="str">
        <f t="shared" si="107"/>
        <v>valid</v>
      </c>
      <c r="AC883">
        <f t="shared" si="115"/>
        <v>0.25</v>
      </c>
      <c r="AD883">
        <f t="shared" si="116"/>
        <v>25155.5625</v>
      </c>
      <c r="AE883">
        <f t="shared" si="117"/>
        <v>7562.8725000000013</v>
      </c>
      <c r="AF883">
        <f t="shared" si="118"/>
        <v>0.30064414182747856</v>
      </c>
      <c r="AG883" t="str">
        <f t="shared" si="119"/>
        <v>December</v>
      </c>
      <c r="AH883">
        <f t="shared" si="120"/>
        <v>2024</v>
      </c>
      <c r="AI883" t="str">
        <f t="shared" si="121"/>
        <v>Clean</v>
      </c>
    </row>
    <row r="884" spans="1:35" ht="15.75" customHeight="1">
      <c r="A884" s="3" t="s">
        <v>4000</v>
      </c>
      <c r="B884" s="3" t="s">
        <v>4001</v>
      </c>
      <c r="C884" s="3" t="s">
        <v>1334</v>
      </c>
      <c r="D884" s="3" t="str">
        <f t="shared" si="102"/>
        <v>02-Oct-2025</v>
      </c>
      <c r="E884" s="3" t="str">
        <f t="shared" si="103"/>
        <v>02-Feb-2025</v>
      </c>
      <c r="F884" s="3">
        <f t="shared" si="104"/>
        <v>242</v>
      </c>
      <c r="G884" s="3" t="s">
        <v>4002</v>
      </c>
      <c r="H884" s="3" t="s">
        <v>176</v>
      </c>
      <c r="I884" s="3" t="s">
        <v>116</v>
      </c>
      <c r="J884" s="3" t="s">
        <v>50</v>
      </c>
      <c r="K884" s="3" t="s">
        <v>194</v>
      </c>
      <c r="L884" s="3" t="s">
        <v>195</v>
      </c>
      <c r="M884" s="3" t="s">
        <v>94</v>
      </c>
      <c r="N884" s="3" t="s">
        <v>95</v>
      </c>
      <c r="O884" s="3" t="s">
        <v>4003</v>
      </c>
      <c r="P884" s="3" t="s">
        <v>75</v>
      </c>
      <c r="Q884" s="3">
        <v>4</v>
      </c>
      <c r="R884" s="3">
        <v>1912.45</v>
      </c>
      <c r="S884" s="3">
        <v>0</v>
      </c>
      <c r="T884" s="3">
        <v>7649.8</v>
      </c>
      <c r="U884" s="3">
        <v>4894.53</v>
      </c>
      <c r="V884" s="3">
        <v>2755.27</v>
      </c>
      <c r="W884" s="3" t="s">
        <v>145</v>
      </c>
      <c r="X884" s="3" t="s">
        <v>133</v>
      </c>
      <c r="Y884" s="2" t="str">
        <f t="shared" si="105"/>
        <v>Unique</v>
      </c>
      <c r="AA884" s="2" t="str">
        <f t="shared" si="106"/>
        <v>Clean</v>
      </c>
      <c r="AB884" s="2" t="str">
        <f t="shared" si="107"/>
        <v>valid</v>
      </c>
      <c r="AC884">
        <f t="shared" si="115"/>
        <v>0</v>
      </c>
      <c r="AD884">
        <f t="shared" si="116"/>
        <v>7649.8</v>
      </c>
      <c r="AE884">
        <f t="shared" si="117"/>
        <v>2755.2700000000004</v>
      </c>
      <c r="AF884">
        <f t="shared" si="118"/>
        <v>0.36017542942299152</v>
      </c>
      <c r="AG884" t="str">
        <f t="shared" si="119"/>
        <v>February</v>
      </c>
      <c r="AH884">
        <f t="shared" si="120"/>
        <v>2025</v>
      </c>
      <c r="AI884" t="str">
        <f t="shared" si="121"/>
        <v>Clean</v>
      </c>
    </row>
    <row r="885" spans="1:35" ht="15.75" customHeight="1">
      <c r="A885" s="3" t="s">
        <v>4004</v>
      </c>
      <c r="B885" s="3" t="s">
        <v>4005</v>
      </c>
      <c r="C885" s="3" t="s">
        <v>4006</v>
      </c>
      <c r="D885" s="3" t="str">
        <f t="shared" si="102"/>
        <v>05-Jan-2025</v>
      </c>
      <c r="E885" s="3" t="str">
        <f t="shared" si="103"/>
        <v>28-Apr-2025</v>
      </c>
      <c r="F885" s="3">
        <f t="shared" si="104"/>
        <v>-113</v>
      </c>
      <c r="G885" s="3" t="s">
        <v>4007</v>
      </c>
      <c r="H885" s="3" t="s">
        <v>170</v>
      </c>
      <c r="I885" s="3" t="s">
        <v>49</v>
      </c>
      <c r="J885" s="3" t="s">
        <v>81</v>
      </c>
      <c r="K885" s="3" t="s">
        <v>257</v>
      </c>
      <c r="L885" s="3" t="s">
        <v>258</v>
      </c>
      <c r="M885" s="3" t="s">
        <v>38</v>
      </c>
      <c r="N885" s="3" t="s">
        <v>164</v>
      </c>
      <c r="O885" s="3" t="s">
        <v>4008</v>
      </c>
      <c r="P885" s="3" t="s">
        <v>56</v>
      </c>
      <c r="Q885" s="3">
        <v>1</v>
      </c>
      <c r="R885" s="3">
        <v>1620.87</v>
      </c>
      <c r="S885" s="3">
        <v>0</v>
      </c>
      <c r="T885" s="3">
        <v>1620.87</v>
      </c>
      <c r="U885" s="3">
        <v>1103.6099999999999</v>
      </c>
      <c r="V885" s="3">
        <v>517.26</v>
      </c>
      <c r="W885" s="3" t="s">
        <v>42</v>
      </c>
      <c r="X885" s="3" t="s">
        <v>43</v>
      </c>
      <c r="Y885" s="2" t="str">
        <f t="shared" si="105"/>
        <v>Unique</v>
      </c>
      <c r="AA885" s="2" t="str">
        <f t="shared" si="106"/>
        <v>Clean</v>
      </c>
      <c r="AB885" s="2" t="str">
        <f t="shared" si="107"/>
        <v>Invalid</v>
      </c>
      <c r="AC885">
        <f t="shared" si="115"/>
        <v>0</v>
      </c>
      <c r="AD885">
        <f t="shared" si="116"/>
        <v>1620.87</v>
      </c>
      <c r="AE885">
        <f t="shared" si="117"/>
        <v>517.26</v>
      </c>
      <c r="AF885">
        <f t="shared" si="118"/>
        <v>0.31912491439782342</v>
      </c>
      <c r="AG885" t="str">
        <f t="shared" si="119"/>
        <v>April</v>
      </c>
      <c r="AH885">
        <f t="shared" si="120"/>
        <v>2025</v>
      </c>
      <c r="AI885" t="str">
        <f t="shared" si="121"/>
        <v>Clean</v>
      </c>
    </row>
    <row r="886" spans="1:35" ht="15.75" customHeight="1">
      <c r="A886" s="3" t="s">
        <v>4009</v>
      </c>
      <c r="B886" s="3" t="s">
        <v>4010</v>
      </c>
      <c r="C886" s="3" t="s">
        <v>4011</v>
      </c>
      <c r="D886" s="3" t="str">
        <f t="shared" si="102"/>
        <v>25-Jan-2025</v>
      </c>
      <c r="E886" s="3" t="str">
        <f t="shared" si="103"/>
        <v>18-Jan-2025</v>
      </c>
      <c r="F886" s="3">
        <f t="shared" si="104"/>
        <v>7</v>
      </c>
      <c r="G886" s="3" t="s">
        <v>4012</v>
      </c>
      <c r="H886" s="3" t="s">
        <v>101</v>
      </c>
      <c r="I886" s="3" t="s">
        <v>123</v>
      </c>
      <c r="J886" s="3" t="s">
        <v>70</v>
      </c>
      <c r="K886" s="3" t="s">
        <v>237</v>
      </c>
      <c r="L886" s="3" t="s">
        <v>238</v>
      </c>
      <c r="M886" s="3" t="s">
        <v>38</v>
      </c>
      <c r="N886" s="3" t="s">
        <v>164</v>
      </c>
      <c r="O886" s="3" t="s">
        <v>4013</v>
      </c>
      <c r="P886" s="3" t="s">
        <v>56</v>
      </c>
      <c r="Q886" s="3">
        <v>2</v>
      </c>
      <c r="R886" s="3">
        <v>2098.54</v>
      </c>
      <c r="S886" s="3">
        <v>0.15</v>
      </c>
      <c r="T886" s="3">
        <v>3567.52</v>
      </c>
      <c r="U886" s="3">
        <v>2411.8000000000002</v>
      </c>
      <c r="V886" s="3">
        <v>1155.72</v>
      </c>
      <c r="W886" s="3" t="s">
        <v>42</v>
      </c>
      <c r="X886" s="3" t="s">
        <v>43</v>
      </c>
      <c r="Y886" s="2" t="str">
        <f t="shared" si="105"/>
        <v>Unique</v>
      </c>
      <c r="AA886" s="2" t="str">
        <f t="shared" si="106"/>
        <v>Clean</v>
      </c>
      <c r="AB886" s="2" t="str">
        <f t="shared" si="107"/>
        <v>valid</v>
      </c>
      <c r="AC886">
        <f t="shared" si="115"/>
        <v>0.15</v>
      </c>
      <c r="AD886">
        <f t="shared" si="116"/>
        <v>3567.518</v>
      </c>
      <c r="AE886">
        <f t="shared" si="117"/>
        <v>1155.7179999999998</v>
      </c>
      <c r="AF886">
        <f t="shared" si="118"/>
        <v>0.32395575859743381</v>
      </c>
      <c r="AG886" t="str">
        <f t="shared" si="119"/>
        <v>January</v>
      </c>
      <c r="AH886">
        <f t="shared" si="120"/>
        <v>2025</v>
      </c>
      <c r="AI886" t="str">
        <f t="shared" si="121"/>
        <v>Clean</v>
      </c>
    </row>
    <row r="887" spans="1:35" ht="15.75" customHeight="1">
      <c r="A887" s="3" t="s">
        <v>4014</v>
      </c>
      <c r="B887" s="3" t="s">
        <v>4015</v>
      </c>
      <c r="C887" s="3" t="s">
        <v>4015</v>
      </c>
      <c r="D887" s="3" t="str">
        <f t="shared" si="102"/>
        <v>05-Jan-2024</v>
      </c>
      <c r="E887" s="3" t="str">
        <f t="shared" si="103"/>
        <v>05-Jan-2024</v>
      </c>
      <c r="F887" s="3">
        <f t="shared" si="104"/>
        <v>0</v>
      </c>
      <c r="G887" s="3" t="s">
        <v>4016</v>
      </c>
      <c r="H887" s="3" t="s">
        <v>218</v>
      </c>
      <c r="I887" s="3" t="s">
        <v>34</v>
      </c>
      <c r="J887" s="3" t="s">
        <v>35</v>
      </c>
      <c r="K887" s="3" t="s">
        <v>36</v>
      </c>
      <c r="L887" s="3" t="s">
        <v>37</v>
      </c>
      <c r="M887" s="3" t="s">
        <v>53</v>
      </c>
      <c r="N887" s="3" t="s">
        <v>54</v>
      </c>
      <c r="O887" s="3" t="s">
        <v>4017</v>
      </c>
      <c r="P887" s="3" t="s">
        <v>75</v>
      </c>
      <c r="Q887" s="3">
        <v>1</v>
      </c>
      <c r="R887" s="3">
        <v>2167.08</v>
      </c>
      <c r="S887" s="3">
        <v>0.25</v>
      </c>
      <c r="T887" s="3">
        <v>1625.31</v>
      </c>
      <c r="U887" s="3">
        <v>1157.8900000000001</v>
      </c>
      <c r="V887" s="3">
        <v>467.42</v>
      </c>
      <c r="W887" s="3" t="s">
        <v>42</v>
      </c>
      <c r="X887" s="3" t="s">
        <v>43</v>
      </c>
      <c r="Y887" s="2" t="str">
        <f t="shared" si="105"/>
        <v>Unique</v>
      </c>
      <c r="AA887" s="2" t="str">
        <f t="shared" si="106"/>
        <v>Clean</v>
      </c>
      <c r="AB887" s="2" t="str">
        <f t="shared" si="107"/>
        <v>valid</v>
      </c>
      <c r="AC887">
        <f t="shared" si="115"/>
        <v>0.25</v>
      </c>
      <c r="AD887">
        <f t="shared" si="116"/>
        <v>1625.31</v>
      </c>
      <c r="AE887">
        <f t="shared" si="117"/>
        <v>467.41999999999985</v>
      </c>
      <c r="AF887">
        <f t="shared" si="118"/>
        <v>0.28758821394072509</v>
      </c>
      <c r="AG887" t="str">
        <f t="shared" si="119"/>
        <v>January</v>
      </c>
      <c r="AH887">
        <f t="shared" si="120"/>
        <v>2024</v>
      </c>
      <c r="AI887" t="str">
        <f t="shared" si="121"/>
        <v>Clean</v>
      </c>
    </row>
    <row r="888" spans="1:35" ht="15.75" customHeight="1">
      <c r="A888" s="3" t="s">
        <v>4018</v>
      </c>
      <c r="B888" s="3" t="s">
        <v>4019</v>
      </c>
      <c r="C888" s="3" t="s">
        <v>4020</v>
      </c>
      <c r="D888" s="3" t="str">
        <f t="shared" si="102"/>
        <v>03-May-2025</v>
      </c>
      <c r="E888" s="3" t="str">
        <f t="shared" si="103"/>
        <v>26-Apr-2025</v>
      </c>
      <c r="F888" s="3">
        <f t="shared" si="104"/>
        <v>7</v>
      </c>
      <c r="G888" s="3" t="s">
        <v>4021</v>
      </c>
      <c r="H888" s="3" t="s">
        <v>69</v>
      </c>
      <c r="I888" s="3" t="s">
        <v>123</v>
      </c>
      <c r="J888" s="3" t="s">
        <v>70</v>
      </c>
      <c r="K888" s="3" t="s">
        <v>347</v>
      </c>
      <c r="L888" s="3" t="s">
        <v>348</v>
      </c>
      <c r="M888" s="3" t="s">
        <v>94</v>
      </c>
      <c r="N888" s="3" t="s">
        <v>95</v>
      </c>
      <c r="O888" s="3" t="s">
        <v>4022</v>
      </c>
      <c r="P888" s="3" t="s">
        <v>64</v>
      </c>
      <c r="Q888" s="3">
        <v>7</v>
      </c>
      <c r="R888" s="3">
        <v>3989.9</v>
      </c>
      <c r="S888" s="3">
        <v>0.15</v>
      </c>
      <c r="T888" s="3">
        <v>23739.9</v>
      </c>
      <c r="U888" s="3">
        <v>17716.52</v>
      </c>
      <c r="V888" s="3">
        <v>6023.38</v>
      </c>
      <c r="W888" s="3" t="s">
        <v>42</v>
      </c>
      <c r="X888" s="3" t="s">
        <v>86</v>
      </c>
      <c r="Y888" s="2" t="str">
        <f t="shared" si="105"/>
        <v>Unique</v>
      </c>
      <c r="AA888" s="2" t="str">
        <f t="shared" si="106"/>
        <v>Clean</v>
      </c>
      <c r="AB888" s="2" t="str">
        <f t="shared" si="107"/>
        <v>valid</v>
      </c>
      <c r="AC888">
        <f t="shared" si="115"/>
        <v>0.15</v>
      </c>
      <c r="AD888">
        <f t="shared" si="116"/>
        <v>23739.904999999999</v>
      </c>
      <c r="AE888">
        <f t="shared" si="117"/>
        <v>6023.3849999999984</v>
      </c>
      <c r="AF888">
        <f t="shared" si="118"/>
        <v>0.25372405660427028</v>
      </c>
      <c r="AG888" t="str">
        <f t="shared" si="119"/>
        <v>April</v>
      </c>
      <c r="AH888">
        <f t="shared" si="120"/>
        <v>2025</v>
      </c>
      <c r="AI888" t="str">
        <f t="shared" si="121"/>
        <v>Warning</v>
      </c>
    </row>
    <row r="889" spans="1:35" ht="15.75" customHeight="1">
      <c r="A889" s="3" t="s">
        <v>4023</v>
      </c>
      <c r="B889" s="3" t="s">
        <v>3901</v>
      </c>
      <c r="C889" s="3" t="s">
        <v>694</v>
      </c>
      <c r="D889" s="3" t="str">
        <f t="shared" si="102"/>
        <v>18-Jun-2024</v>
      </c>
      <c r="E889" s="3" t="str">
        <f t="shared" si="103"/>
        <v>12-Jun-2024</v>
      </c>
      <c r="F889" s="3">
        <f t="shared" si="104"/>
        <v>6</v>
      </c>
      <c r="G889" s="3" t="s">
        <v>4024</v>
      </c>
      <c r="H889" s="3" t="s">
        <v>170</v>
      </c>
      <c r="I889" s="3" t="s">
        <v>49</v>
      </c>
      <c r="J889" s="3" t="s">
        <v>70</v>
      </c>
      <c r="K889" s="3" t="s">
        <v>108</v>
      </c>
      <c r="L889" s="3" t="s">
        <v>109</v>
      </c>
      <c r="M889" s="3" t="s">
        <v>38</v>
      </c>
      <c r="N889" s="3" t="s">
        <v>62</v>
      </c>
      <c r="O889" s="3" t="s">
        <v>4025</v>
      </c>
      <c r="P889" s="3" t="s">
        <v>75</v>
      </c>
      <c r="Q889" s="3">
        <v>4</v>
      </c>
      <c r="R889" s="3">
        <v>4176.13</v>
      </c>
      <c r="S889" s="3">
        <v>0</v>
      </c>
      <c r="T889" s="3">
        <v>16704.52</v>
      </c>
      <c r="U889" s="3">
        <v>10158.280000000001</v>
      </c>
      <c r="V889" s="3">
        <v>6546.24</v>
      </c>
      <c r="W889" s="3" t="s">
        <v>42</v>
      </c>
      <c r="X889" s="3" t="s">
        <v>43</v>
      </c>
      <c r="Y889" s="2" t="str">
        <f t="shared" si="105"/>
        <v>Unique</v>
      </c>
      <c r="AA889" s="2" t="str">
        <f t="shared" si="106"/>
        <v>Clean</v>
      </c>
      <c r="AB889" s="2" t="str">
        <f t="shared" si="107"/>
        <v>valid</v>
      </c>
      <c r="AC889">
        <f t="shared" si="115"/>
        <v>0</v>
      </c>
      <c r="AD889">
        <f t="shared" si="116"/>
        <v>16704.52</v>
      </c>
      <c r="AE889">
        <f t="shared" si="117"/>
        <v>6546.24</v>
      </c>
      <c r="AF889">
        <f t="shared" si="118"/>
        <v>0.39188435225914897</v>
      </c>
      <c r="AG889" t="str">
        <f t="shared" si="119"/>
        <v>June</v>
      </c>
      <c r="AH889">
        <f t="shared" si="120"/>
        <v>2024</v>
      </c>
      <c r="AI889" t="str">
        <f t="shared" si="121"/>
        <v>Clean</v>
      </c>
    </row>
    <row r="890" spans="1:35" ht="15.75" customHeight="1">
      <c r="A890" s="3" t="s">
        <v>4026</v>
      </c>
      <c r="B890" s="3" t="s">
        <v>4027</v>
      </c>
      <c r="C890" s="3" t="s">
        <v>3565</v>
      </c>
      <c r="D890" s="3" t="str">
        <f t="shared" si="102"/>
        <v>07-Aug-2025</v>
      </c>
      <c r="E890" s="3" t="str">
        <f t="shared" si="103"/>
        <v>06-Aug-2025</v>
      </c>
      <c r="F890" s="3">
        <f t="shared" si="104"/>
        <v>1</v>
      </c>
      <c r="G890" s="3" t="s">
        <v>4028</v>
      </c>
      <c r="H890" s="3" t="s">
        <v>156</v>
      </c>
      <c r="I890" s="3" t="s">
        <v>49</v>
      </c>
      <c r="J890" s="3" t="s">
        <v>81</v>
      </c>
      <c r="K890" s="3" t="s">
        <v>82</v>
      </c>
      <c r="L890" s="3" t="s">
        <v>83</v>
      </c>
      <c r="M890" s="3" t="s">
        <v>38</v>
      </c>
      <c r="N890" s="3" t="s">
        <v>62</v>
      </c>
      <c r="O890" s="3" t="s">
        <v>4029</v>
      </c>
      <c r="P890" s="3" t="s">
        <v>75</v>
      </c>
      <c r="Q890" s="3">
        <v>4</v>
      </c>
      <c r="R890" s="3">
        <v>3523.64</v>
      </c>
      <c r="S890" s="3">
        <v>0.1</v>
      </c>
      <c r="T890" s="3">
        <v>12685.1</v>
      </c>
      <c r="U890" s="3">
        <v>10779.56</v>
      </c>
      <c r="V890" s="3">
        <v>1905.54</v>
      </c>
      <c r="W890" s="3" t="s">
        <v>132</v>
      </c>
      <c r="X890" s="3" t="s">
        <v>86</v>
      </c>
      <c r="Y890" s="2" t="str">
        <f t="shared" si="105"/>
        <v>Unique</v>
      </c>
      <c r="AA890" s="2" t="str">
        <f t="shared" si="106"/>
        <v>Clean</v>
      </c>
      <c r="AB890" s="2" t="str">
        <f t="shared" si="107"/>
        <v>valid</v>
      </c>
      <c r="AC890">
        <f t="shared" si="115"/>
        <v>0.1</v>
      </c>
      <c r="AD890">
        <f t="shared" si="116"/>
        <v>12685.103999999999</v>
      </c>
      <c r="AE890">
        <f t="shared" si="117"/>
        <v>1905.5439999999999</v>
      </c>
      <c r="AF890">
        <f t="shared" si="118"/>
        <v>0.15021902855506741</v>
      </c>
      <c r="AG890" t="str">
        <f t="shared" si="119"/>
        <v>August</v>
      </c>
      <c r="AH890">
        <f t="shared" si="120"/>
        <v>2025</v>
      </c>
      <c r="AI890" t="str">
        <f t="shared" si="121"/>
        <v>Warning</v>
      </c>
    </row>
    <row r="891" spans="1:35" ht="15.75" customHeight="1">
      <c r="A891" s="3" t="s">
        <v>4030</v>
      </c>
      <c r="B891" s="3" t="s">
        <v>4031</v>
      </c>
      <c r="C891" s="3" t="s">
        <v>4032</v>
      </c>
      <c r="D891" s="3" t="str">
        <f t="shared" si="102"/>
        <v>03-Nov-2025</v>
      </c>
      <c r="E891" s="3" t="str">
        <f t="shared" si="103"/>
        <v>10-Mar-2025</v>
      </c>
      <c r="F891" s="3">
        <f t="shared" si="104"/>
        <v>238</v>
      </c>
      <c r="G891" s="3" t="s">
        <v>1348</v>
      </c>
      <c r="H891" s="3" t="s">
        <v>115</v>
      </c>
      <c r="I891" s="3" t="s">
        <v>123</v>
      </c>
      <c r="J891" s="3" t="s">
        <v>81</v>
      </c>
      <c r="K891" s="3" t="s">
        <v>92</v>
      </c>
      <c r="L891" s="3" t="s">
        <v>93</v>
      </c>
      <c r="M891" s="3" t="s">
        <v>38</v>
      </c>
      <c r="N891" s="3" t="s">
        <v>164</v>
      </c>
      <c r="O891" s="3" t="s">
        <v>4033</v>
      </c>
      <c r="P891" s="3" t="s">
        <v>64</v>
      </c>
      <c r="Q891" s="3">
        <v>2</v>
      </c>
      <c r="R891" s="3">
        <v>3922.08</v>
      </c>
      <c r="S891" s="3">
        <v>0.25</v>
      </c>
      <c r="T891" s="3">
        <v>5883.12</v>
      </c>
      <c r="U891" s="3">
        <v>4647.91</v>
      </c>
      <c r="V891" s="3">
        <v>1235.21</v>
      </c>
      <c r="W891" s="3" t="s">
        <v>42</v>
      </c>
      <c r="X891" s="3" t="s">
        <v>133</v>
      </c>
      <c r="Y891" s="2" t="str">
        <f t="shared" si="105"/>
        <v>Unique</v>
      </c>
      <c r="AA891" s="2" t="str">
        <f t="shared" si="106"/>
        <v>Clean</v>
      </c>
      <c r="AB891" s="2" t="str">
        <f t="shared" si="107"/>
        <v>valid</v>
      </c>
      <c r="AC891">
        <f t="shared" si="115"/>
        <v>0.25</v>
      </c>
      <c r="AD891">
        <f t="shared" si="116"/>
        <v>5883.12</v>
      </c>
      <c r="AE891">
        <f t="shared" si="117"/>
        <v>1235.21</v>
      </c>
      <c r="AF891">
        <f t="shared" si="118"/>
        <v>0.20995832143488491</v>
      </c>
      <c r="AG891" t="str">
        <f t="shared" si="119"/>
        <v>March</v>
      </c>
      <c r="AH891">
        <f t="shared" si="120"/>
        <v>2025</v>
      </c>
      <c r="AI891" t="str">
        <f t="shared" si="121"/>
        <v>Clean</v>
      </c>
    </row>
    <row r="892" spans="1:35" ht="15.75" customHeight="1">
      <c r="A892" s="3" t="s">
        <v>4034</v>
      </c>
      <c r="B892" s="3" t="s">
        <v>168</v>
      </c>
      <c r="C892" s="3" t="s">
        <v>1142</v>
      </c>
      <c r="D892" s="3" t="str">
        <f t="shared" si="102"/>
        <v>21-May-2024</v>
      </c>
      <c r="E892" s="3" t="str">
        <f t="shared" si="103"/>
        <v>15-May-2024</v>
      </c>
      <c r="F892" s="3">
        <f t="shared" si="104"/>
        <v>6</v>
      </c>
      <c r="G892" s="3" t="s">
        <v>4035</v>
      </c>
      <c r="H892" s="3" t="s">
        <v>33</v>
      </c>
      <c r="I892" s="3" t="s">
        <v>34</v>
      </c>
      <c r="J892" s="3" t="s">
        <v>81</v>
      </c>
      <c r="K892" s="3" t="s">
        <v>257</v>
      </c>
      <c r="L892" s="3" t="s">
        <v>258</v>
      </c>
      <c r="M892" s="3" t="s">
        <v>38</v>
      </c>
      <c r="N892" s="3" t="s">
        <v>164</v>
      </c>
      <c r="O892" s="3" t="s">
        <v>4036</v>
      </c>
      <c r="P892" s="3" t="s">
        <v>75</v>
      </c>
      <c r="Q892" s="3">
        <v>6</v>
      </c>
      <c r="R892" s="3">
        <v>2909.56</v>
      </c>
      <c r="S892" s="3">
        <v>0.2</v>
      </c>
      <c r="T892" s="3">
        <v>13965.89</v>
      </c>
      <c r="U892" s="3">
        <v>11646.12</v>
      </c>
      <c r="V892" s="3">
        <v>2319.77</v>
      </c>
      <c r="W892" s="3" t="s">
        <v>42</v>
      </c>
      <c r="X892" s="3" t="s">
        <v>43</v>
      </c>
      <c r="Y892" s="2" t="str">
        <f t="shared" si="105"/>
        <v>Unique</v>
      </c>
      <c r="AA892" s="2" t="str">
        <f t="shared" si="106"/>
        <v>Clean</v>
      </c>
      <c r="AB892" s="2" t="str">
        <f t="shared" si="107"/>
        <v>valid</v>
      </c>
      <c r="AC892">
        <f t="shared" si="115"/>
        <v>0.2</v>
      </c>
      <c r="AD892">
        <f t="shared" si="116"/>
        <v>13965.888000000001</v>
      </c>
      <c r="AE892">
        <f t="shared" si="117"/>
        <v>2319.768</v>
      </c>
      <c r="AF892">
        <f t="shared" si="118"/>
        <v>0.16610243473239938</v>
      </c>
      <c r="AG892" t="str">
        <f t="shared" si="119"/>
        <v>May</v>
      </c>
      <c r="AH892">
        <f t="shared" si="120"/>
        <v>2024</v>
      </c>
      <c r="AI892" t="str">
        <f t="shared" si="121"/>
        <v>Clean</v>
      </c>
    </row>
    <row r="893" spans="1:35" ht="15.75" customHeight="1">
      <c r="A893" s="3" t="s">
        <v>4037</v>
      </c>
      <c r="B893" s="3" t="s">
        <v>3760</v>
      </c>
      <c r="C893" s="3" t="s">
        <v>2548</v>
      </c>
      <c r="D893" s="3" t="str">
        <f t="shared" si="102"/>
        <v>09-Oct-2024</v>
      </c>
      <c r="E893" s="3" t="str">
        <f t="shared" si="103"/>
        <v>08-Oct-2024</v>
      </c>
      <c r="F893" s="3">
        <f t="shared" si="104"/>
        <v>1</v>
      </c>
      <c r="G893" s="3" t="s">
        <v>4038</v>
      </c>
      <c r="H893" s="3" t="s">
        <v>375</v>
      </c>
      <c r="I893" s="3" t="s">
        <v>116</v>
      </c>
      <c r="J893" s="3" t="s">
        <v>70</v>
      </c>
      <c r="K893" s="3" t="s">
        <v>347</v>
      </c>
      <c r="L893" s="3" t="s">
        <v>348</v>
      </c>
      <c r="M893" s="3" t="s">
        <v>94</v>
      </c>
      <c r="N893" s="3" t="s">
        <v>391</v>
      </c>
      <c r="O893" s="3" t="s">
        <v>4039</v>
      </c>
      <c r="P893" s="3" t="s">
        <v>56</v>
      </c>
      <c r="Q893" s="3">
        <v>5</v>
      </c>
      <c r="R893" s="3">
        <v>2407.9699999999998</v>
      </c>
      <c r="S893" s="3">
        <v>0.1</v>
      </c>
      <c r="T893" s="3">
        <v>10835.86</v>
      </c>
      <c r="U893" s="3">
        <v>6419.92</v>
      </c>
      <c r="V893" s="3">
        <v>4415.9399999999996</v>
      </c>
      <c r="W893" s="3" t="s">
        <v>208</v>
      </c>
      <c r="X893" s="3" t="s">
        <v>86</v>
      </c>
      <c r="Y893" s="2" t="str">
        <f t="shared" si="105"/>
        <v>Unique</v>
      </c>
      <c r="AA893" s="2" t="str">
        <f t="shared" si="106"/>
        <v>Clean</v>
      </c>
      <c r="AB893" s="2" t="str">
        <f t="shared" si="107"/>
        <v>valid</v>
      </c>
      <c r="AC893">
        <f t="shared" si="115"/>
        <v>0.1</v>
      </c>
      <c r="AD893">
        <f t="shared" si="116"/>
        <v>10835.865</v>
      </c>
      <c r="AE893">
        <f t="shared" si="117"/>
        <v>4415.9449999999997</v>
      </c>
      <c r="AF893">
        <f t="shared" si="118"/>
        <v>0.40753045557507406</v>
      </c>
      <c r="AG893" t="str">
        <f t="shared" si="119"/>
        <v>October</v>
      </c>
      <c r="AH893">
        <f t="shared" si="120"/>
        <v>2024</v>
      </c>
      <c r="AI893" t="str">
        <f t="shared" si="121"/>
        <v>Warning</v>
      </c>
    </row>
    <row r="894" spans="1:35" ht="15.75" customHeight="1">
      <c r="A894" s="3" t="s">
        <v>4040</v>
      </c>
      <c r="B894" s="3" t="s">
        <v>4041</v>
      </c>
      <c r="C894" s="3" t="s">
        <v>2989</v>
      </c>
      <c r="D894" s="3" t="str">
        <f t="shared" si="102"/>
        <v>18-Apr-2025</v>
      </c>
      <c r="E894" s="3" t="str">
        <f t="shared" si="103"/>
        <v>04-Dec-2025</v>
      </c>
      <c r="F894" s="3">
        <f t="shared" si="104"/>
        <v>-230</v>
      </c>
      <c r="G894" s="3" t="s">
        <v>4042</v>
      </c>
      <c r="H894" s="3" t="s">
        <v>61</v>
      </c>
      <c r="I894" s="3" t="s">
        <v>49</v>
      </c>
      <c r="J894" s="3" t="s">
        <v>50</v>
      </c>
      <c r="K894" s="3" t="s">
        <v>319</v>
      </c>
      <c r="L894" s="3" t="s">
        <v>320</v>
      </c>
      <c r="M894" s="3" t="s">
        <v>94</v>
      </c>
      <c r="N894" s="3" t="s">
        <v>102</v>
      </c>
      <c r="O894" s="3" t="s">
        <v>4043</v>
      </c>
      <c r="P894" s="3" t="s">
        <v>56</v>
      </c>
      <c r="Q894" s="3">
        <v>1</v>
      </c>
      <c r="R894" s="3">
        <v>726.89</v>
      </c>
      <c r="S894" s="3">
        <v>0.2</v>
      </c>
      <c r="T894" s="3">
        <v>581.51</v>
      </c>
      <c r="U894" s="3">
        <v>423.86</v>
      </c>
      <c r="V894" s="3">
        <v>157.65</v>
      </c>
      <c r="W894" s="3" t="s">
        <v>42</v>
      </c>
      <c r="X894" s="3" t="s">
        <v>43</v>
      </c>
      <c r="Y894" s="2" t="str">
        <f t="shared" si="105"/>
        <v>Unique</v>
      </c>
      <c r="AA894" s="2" t="str">
        <f t="shared" si="106"/>
        <v>Clean</v>
      </c>
      <c r="AB894" s="2" t="str">
        <f t="shared" si="107"/>
        <v>Invalid</v>
      </c>
      <c r="AC894">
        <f t="shared" si="115"/>
        <v>0.2</v>
      </c>
      <c r="AD894">
        <f t="shared" si="116"/>
        <v>581.51200000000006</v>
      </c>
      <c r="AE894">
        <f t="shared" si="117"/>
        <v>157.65200000000004</v>
      </c>
      <c r="AF894">
        <f t="shared" si="118"/>
        <v>0.27110704508247468</v>
      </c>
      <c r="AG894" t="str">
        <f t="shared" si="119"/>
        <v>December</v>
      </c>
      <c r="AH894">
        <f t="shared" si="120"/>
        <v>2025</v>
      </c>
      <c r="AI894" t="str">
        <f t="shared" si="121"/>
        <v>Clean</v>
      </c>
    </row>
    <row r="895" spans="1:35" ht="15.75" customHeight="1">
      <c r="A895" s="3" t="s">
        <v>4044</v>
      </c>
      <c r="B895" s="3" t="s">
        <v>4045</v>
      </c>
      <c r="C895" s="3" t="s">
        <v>4046</v>
      </c>
      <c r="D895" s="3" t="str">
        <f t="shared" si="102"/>
        <v>08-Jun-2024</v>
      </c>
      <c r="E895" s="3" t="str">
        <f t="shared" si="103"/>
        <v>06-Jun-2024</v>
      </c>
      <c r="F895" s="3">
        <f t="shared" si="104"/>
        <v>2</v>
      </c>
      <c r="G895" s="3" t="s">
        <v>4047</v>
      </c>
      <c r="H895" s="3" t="s">
        <v>170</v>
      </c>
      <c r="I895" s="3" t="s">
        <v>116</v>
      </c>
      <c r="J895" s="3" t="s">
        <v>70</v>
      </c>
      <c r="K895" s="3" t="s">
        <v>237</v>
      </c>
      <c r="L895" s="3" t="s">
        <v>238</v>
      </c>
      <c r="M895" s="3" t="s">
        <v>53</v>
      </c>
      <c r="N895" s="3" t="s">
        <v>54</v>
      </c>
      <c r="O895" s="3" t="s">
        <v>4048</v>
      </c>
      <c r="P895" s="3" t="s">
        <v>41</v>
      </c>
      <c r="Q895" s="3">
        <v>3</v>
      </c>
      <c r="R895" s="3">
        <v>395.49</v>
      </c>
      <c r="S895" s="3">
        <v>0.05</v>
      </c>
      <c r="T895" s="3">
        <v>1127.1500000000001</v>
      </c>
      <c r="U895" s="3">
        <v>845.62</v>
      </c>
      <c r="V895" s="3">
        <v>281.52999999999997</v>
      </c>
      <c r="W895" s="3" t="s">
        <v>42</v>
      </c>
      <c r="X895" s="3" t="s">
        <v>133</v>
      </c>
      <c r="Y895" s="2" t="str">
        <f t="shared" si="105"/>
        <v>Unique</v>
      </c>
      <c r="AA895" s="2" t="str">
        <f t="shared" si="106"/>
        <v>Clean</v>
      </c>
      <c r="AB895" s="2" t="str">
        <f t="shared" si="107"/>
        <v>valid</v>
      </c>
      <c r="AC895">
        <f t="shared" si="115"/>
        <v>0.05</v>
      </c>
      <c r="AD895">
        <f t="shared" si="116"/>
        <v>1127.1465000000001</v>
      </c>
      <c r="AE895">
        <f t="shared" si="117"/>
        <v>281.52650000000006</v>
      </c>
      <c r="AF895">
        <f t="shared" si="118"/>
        <v>0.24976921810962466</v>
      </c>
      <c r="AG895" t="str">
        <f t="shared" si="119"/>
        <v>June</v>
      </c>
      <c r="AH895">
        <f t="shared" si="120"/>
        <v>2024</v>
      </c>
      <c r="AI895" t="str">
        <f t="shared" si="121"/>
        <v>Clean</v>
      </c>
    </row>
    <row r="896" spans="1:35" ht="15.75" customHeight="1">
      <c r="A896" s="3" t="s">
        <v>4049</v>
      </c>
      <c r="B896" s="3" t="s">
        <v>1939</v>
      </c>
      <c r="C896" s="3" t="s">
        <v>4050</v>
      </c>
      <c r="D896" s="3" t="str">
        <f t="shared" si="102"/>
        <v>29-Feb-2024</v>
      </c>
      <c r="E896" s="3" t="str">
        <f t="shared" si="103"/>
        <v>22-Feb-2024</v>
      </c>
      <c r="F896" s="3">
        <f t="shared" si="104"/>
        <v>7</v>
      </c>
      <c r="G896" s="3" t="s">
        <v>4051</v>
      </c>
      <c r="H896" s="3" t="s">
        <v>61</v>
      </c>
      <c r="I896" s="3" t="s">
        <v>123</v>
      </c>
      <c r="J896" s="3" t="s">
        <v>70</v>
      </c>
      <c r="K896" s="3" t="s">
        <v>71</v>
      </c>
      <c r="L896" s="3" t="s">
        <v>72</v>
      </c>
      <c r="M896" s="3" t="s">
        <v>53</v>
      </c>
      <c r="N896" s="3" t="s">
        <v>54</v>
      </c>
      <c r="O896" s="3" t="s">
        <v>4052</v>
      </c>
      <c r="P896" s="3" t="s">
        <v>64</v>
      </c>
      <c r="Q896" s="3">
        <v>6</v>
      </c>
      <c r="R896" s="3">
        <v>4254.05</v>
      </c>
      <c r="S896" s="3">
        <v>0</v>
      </c>
      <c r="T896" s="3">
        <v>25524.3</v>
      </c>
      <c r="U896" s="3">
        <v>16711.93</v>
      </c>
      <c r="V896" s="3">
        <v>8812.3700000000008</v>
      </c>
      <c r="W896" s="3" t="s">
        <v>42</v>
      </c>
      <c r="X896" s="3" t="s">
        <v>43</v>
      </c>
      <c r="Y896" s="2" t="str">
        <f t="shared" si="105"/>
        <v>Unique</v>
      </c>
      <c r="AA896" s="2" t="str">
        <f t="shared" si="106"/>
        <v>Clean</v>
      </c>
      <c r="AB896" s="2" t="str">
        <f t="shared" si="107"/>
        <v>valid</v>
      </c>
      <c r="AC896">
        <f t="shared" si="115"/>
        <v>0</v>
      </c>
      <c r="AD896">
        <f t="shared" si="116"/>
        <v>25524.300000000003</v>
      </c>
      <c r="AE896">
        <f t="shared" si="117"/>
        <v>8812.3700000000026</v>
      </c>
      <c r="AF896">
        <f t="shared" si="118"/>
        <v>0.34525413037771857</v>
      </c>
      <c r="AG896" t="str">
        <f t="shared" si="119"/>
        <v>February</v>
      </c>
      <c r="AH896">
        <f t="shared" si="120"/>
        <v>2024</v>
      </c>
      <c r="AI896" t="str">
        <f t="shared" si="121"/>
        <v>Clean</v>
      </c>
    </row>
    <row r="897" spans="1:35" ht="15.75" customHeight="1">
      <c r="A897" s="3" t="s">
        <v>4053</v>
      </c>
      <c r="B897" s="3" t="s">
        <v>4054</v>
      </c>
      <c r="C897" s="3" t="s">
        <v>113</v>
      </c>
      <c r="D897" s="3" t="str">
        <f t="shared" si="102"/>
        <v>11-Oct-2024</v>
      </c>
      <c r="E897" s="3" t="str">
        <f t="shared" si="103"/>
        <v>05-Nov-2024</v>
      </c>
      <c r="F897" s="3">
        <f t="shared" si="104"/>
        <v>-25</v>
      </c>
      <c r="G897" s="3" t="s">
        <v>4055</v>
      </c>
      <c r="H897" s="3" t="s">
        <v>69</v>
      </c>
      <c r="I897" s="3" t="s">
        <v>34</v>
      </c>
      <c r="J897" s="3" t="s">
        <v>70</v>
      </c>
      <c r="K897" s="3" t="s">
        <v>250</v>
      </c>
      <c r="L897" s="3" t="s">
        <v>251</v>
      </c>
      <c r="M897" s="3" t="s">
        <v>53</v>
      </c>
      <c r="N897" s="3" t="s">
        <v>84</v>
      </c>
      <c r="O897" s="3" t="s">
        <v>4056</v>
      </c>
      <c r="P897" s="3" t="s">
        <v>56</v>
      </c>
      <c r="Q897" s="3">
        <v>4</v>
      </c>
      <c r="R897" s="3">
        <v>711.18</v>
      </c>
      <c r="S897" s="3">
        <v>0.15</v>
      </c>
      <c r="T897" s="3">
        <v>2418.0100000000002</v>
      </c>
      <c r="U897" s="3">
        <v>1441.89</v>
      </c>
      <c r="V897" s="3">
        <v>976.12</v>
      </c>
      <c r="W897" s="3" t="s">
        <v>145</v>
      </c>
      <c r="X897" s="3" t="s">
        <v>133</v>
      </c>
      <c r="Y897" s="2" t="str">
        <f t="shared" si="105"/>
        <v>Unique</v>
      </c>
      <c r="AA897" s="2" t="str">
        <f t="shared" si="106"/>
        <v>Clean</v>
      </c>
      <c r="AB897" s="2" t="str">
        <f t="shared" si="107"/>
        <v>Invalid</v>
      </c>
      <c r="AC897">
        <f t="shared" si="115"/>
        <v>0.15</v>
      </c>
      <c r="AD897">
        <f t="shared" si="116"/>
        <v>2418.0119999999997</v>
      </c>
      <c r="AE897">
        <f t="shared" si="117"/>
        <v>976.12199999999962</v>
      </c>
      <c r="AF897">
        <f t="shared" si="118"/>
        <v>0.40368782288921634</v>
      </c>
      <c r="AG897" t="str">
        <f t="shared" si="119"/>
        <v>November</v>
      </c>
      <c r="AH897">
        <f t="shared" si="120"/>
        <v>2024</v>
      </c>
      <c r="AI897" t="str">
        <f t="shared" si="121"/>
        <v>Clean</v>
      </c>
    </row>
    <row r="898" spans="1:35" ht="15.75" customHeight="1">
      <c r="A898" s="3" t="s">
        <v>4057</v>
      </c>
      <c r="B898" s="3" t="s">
        <v>4058</v>
      </c>
      <c r="C898" s="3" t="s">
        <v>2350</v>
      </c>
      <c r="D898" s="3" t="str">
        <f t="shared" si="102"/>
        <v>25-Dec-2024</v>
      </c>
      <c r="E898" s="3" t="str">
        <f t="shared" si="103"/>
        <v>24-Dec-2024</v>
      </c>
      <c r="F898" s="3">
        <f t="shared" si="104"/>
        <v>1</v>
      </c>
      <c r="G898" s="3" t="s">
        <v>4059</v>
      </c>
      <c r="H898" s="3" t="s">
        <v>80</v>
      </c>
      <c r="I898" s="3" t="s">
        <v>49</v>
      </c>
      <c r="J898" s="3" t="s">
        <v>70</v>
      </c>
      <c r="K898" s="3" t="s">
        <v>347</v>
      </c>
      <c r="L898" s="3" t="s">
        <v>348</v>
      </c>
      <c r="M898" s="3" t="s">
        <v>94</v>
      </c>
      <c r="N898" s="3" t="s">
        <v>102</v>
      </c>
      <c r="O898" s="3" t="s">
        <v>4060</v>
      </c>
      <c r="P898" s="3" t="s">
        <v>41</v>
      </c>
      <c r="Q898" s="3">
        <v>1</v>
      </c>
      <c r="R898" s="3">
        <v>3693.03</v>
      </c>
      <c r="S898" s="3">
        <v>0.05</v>
      </c>
      <c r="T898" s="3">
        <v>3508.38</v>
      </c>
      <c r="U898" s="3">
        <v>2828.06</v>
      </c>
      <c r="V898" s="3">
        <v>680.32</v>
      </c>
      <c r="W898" s="3" t="s">
        <v>208</v>
      </c>
      <c r="X898" s="3" t="s">
        <v>133</v>
      </c>
      <c r="Y898" s="2" t="str">
        <f t="shared" si="105"/>
        <v>Unique</v>
      </c>
      <c r="AA898" s="2" t="str">
        <f t="shared" si="106"/>
        <v>Clean</v>
      </c>
      <c r="AB898" s="2" t="str">
        <f t="shared" si="107"/>
        <v>valid</v>
      </c>
      <c r="AC898">
        <f t="shared" si="115"/>
        <v>0.05</v>
      </c>
      <c r="AD898">
        <f t="shared" si="116"/>
        <v>3508.3784999999998</v>
      </c>
      <c r="AE898">
        <f t="shared" si="117"/>
        <v>680.31849999999986</v>
      </c>
      <c r="AF898">
        <f t="shared" si="118"/>
        <v>0.19391251542557336</v>
      </c>
      <c r="AG898" t="str">
        <f t="shared" si="119"/>
        <v>December</v>
      </c>
      <c r="AH898">
        <f t="shared" si="120"/>
        <v>2024</v>
      </c>
      <c r="AI898" t="str">
        <f t="shared" si="121"/>
        <v>Warning</v>
      </c>
    </row>
    <row r="899" spans="1:35" ht="15.75" customHeight="1">
      <c r="A899" s="3" t="s">
        <v>4061</v>
      </c>
      <c r="B899" s="3" t="s">
        <v>1183</v>
      </c>
      <c r="C899" s="3" t="s">
        <v>4062</v>
      </c>
      <c r="D899" s="3" t="str">
        <f t="shared" si="102"/>
        <v>03-May-2025</v>
      </c>
      <c r="E899" s="3" t="str">
        <f t="shared" si="103"/>
        <v>29-Apr-2025</v>
      </c>
      <c r="F899" s="3">
        <f t="shared" si="104"/>
        <v>4</v>
      </c>
      <c r="G899" s="3" t="s">
        <v>3188</v>
      </c>
      <c r="H899" s="3" t="s">
        <v>188</v>
      </c>
      <c r="I899" s="3" t="s">
        <v>116</v>
      </c>
      <c r="J899" s="3" t="s">
        <v>35</v>
      </c>
      <c r="K899" s="3" t="s">
        <v>331</v>
      </c>
      <c r="L899" s="3" t="s">
        <v>332</v>
      </c>
      <c r="M899" s="3" t="s">
        <v>38</v>
      </c>
      <c r="N899" s="3" t="s">
        <v>39</v>
      </c>
      <c r="O899" s="3" t="s">
        <v>4063</v>
      </c>
      <c r="P899" s="3" t="s">
        <v>64</v>
      </c>
      <c r="Q899" s="3">
        <v>4</v>
      </c>
      <c r="R899" s="3">
        <v>1786.65</v>
      </c>
      <c r="S899" s="3">
        <v>0.05</v>
      </c>
      <c r="T899" s="3">
        <v>6789.27</v>
      </c>
      <c r="U899" s="3">
        <v>5626.43</v>
      </c>
      <c r="V899" s="3">
        <v>1162.8399999999999</v>
      </c>
      <c r="W899" s="3" t="s">
        <v>42</v>
      </c>
      <c r="X899" s="3" t="s">
        <v>43</v>
      </c>
      <c r="Y899" s="2" t="str">
        <f t="shared" si="105"/>
        <v>Unique</v>
      </c>
      <c r="AA899" s="2" t="str">
        <f t="shared" si="106"/>
        <v>Clean</v>
      </c>
      <c r="AB899" s="2" t="str">
        <f t="shared" si="107"/>
        <v>valid</v>
      </c>
      <c r="AC899">
        <f t="shared" ref="AC899:AC913" si="122">IF(S899="",0,IF(S899&gt;1,S899/100,S899))</f>
        <v>0.05</v>
      </c>
      <c r="AD899">
        <f t="shared" ref="AD899:AD913" si="123">Q899*R899*(1-AC899)</f>
        <v>6789.27</v>
      </c>
      <c r="AE899">
        <f t="shared" ref="AE899:AE913" si="124">AD899-U899</f>
        <v>1162.8400000000001</v>
      </c>
      <c r="AF899">
        <f t="shared" ref="AF899:AF913" si="125">AE899/AD899</f>
        <v>0.17127614603631908</v>
      </c>
      <c r="AG899" t="str">
        <f t="shared" ref="AG899:AG913" si="126">TEXT(E899,"mmmm")</f>
        <v>April</v>
      </c>
      <c r="AH899">
        <f t="shared" ref="AH899:AH913" si="127">YEAR(E899)</f>
        <v>2025</v>
      </c>
      <c r="AI899" t="str">
        <f t="shared" ref="AI899:AI913" si="128">IF(OR(AC899&lt;0,AC899&gt;0.5,F899="Invalid Shipping Record"),"Invalid",
IF(OR(X899="Cancelled",W899="Failed"),"Warning","Clean"))</f>
        <v>Clean</v>
      </c>
    </row>
    <row r="900" spans="1:35" ht="15.75" customHeight="1">
      <c r="A900" s="3" t="s">
        <v>4064</v>
      </c>
      <c r="B900" s="3" t="s">
        <v>3630</v>
      </c>
      <c r="C900" s="3" t="s">
        <v>58</v>
      </c>
      <c r="D900" s="3" t="str">
        <f t="shared" si="102"/>
        <v>06-Aug-2024</v>
      </c>
      <c r="E900" s="3" t="str">
        <f t="shared" si="103"/>
        <v>02-Jun-2024</v>
      </c>
      <c r="F900" s="3">
        <f t="shared" si="104"/>
        <v>65</v>
      </c>
      <c r="G900" s="3" t="s">
        <v>4065</v>
      </c>
      <c r="H900" s="3" t="s">
        <v>91</v>
      </c>
      <c r="I900" s="3" t="s">
        <v>34</v>
      </c>
      <c r="J900" s="3" t="s">
        <v>35</v>
      </c>
      <c r="K900" s="3" t="s">
        <v>515</v>
      </c>
      <c r="L900" s="3" t="s">
        <v>516</v>
      </c>
      <c r="M900" s="3" t="s">
        <v>53</v>
      </c>
      <c r="N900" s="3" t="s">
        <v>54</v>
      </c>
      <c r="O900" s="3" t="s">
        <v>4066</v>
      </c>
      <c r="P900" s="3" t="s">
        <v>64</v>
      </c>
      <c r="Q900" s="3">
        <v>4</v>
      </c>
      <c r="R900" s="3">
        <v>1536.7</v>
      </c>
      <c r="S900" s="3">
        <v>0.2</v>
      </c>
      <c r="T900" s="3">
        <v>4917.4399999999996</v>
      </c>
      <c r="U900" s="3">
        <v>3846.77</v>
      </c>
      <c r="V900" s="3">
        <v>1070.67</v>
      </c>
      <c r="W900" s="3" t="s">
        <v>42</v>
      </c>
      <c r="X900" s="3" t="s">
        <v>43</v>
      </c>
      <c r="Y900" s="2" t="str">
        <f t="shared" si="105"/>
        <v>Unique</v>
      </c>
      <c r="AA900" s="2" t="str">
        <f t="shared" si="106"/>
        <v>Clean</v>
      </c>
      <c r="AB900" s="2" t="str">
        <f t="shared" si="107"/>
        <v>valid</v>
      </c>
      <c r="AC900">
        <f t="shared" si="122"/>
        <v>0.2</v>
      </c>
      <c r="AD900">
        <f t="shared" si="123"/>
        <v>4917.4400000000005</v>
      </c>
      <c r="AE900">
        <f t="shared" si="124"/>
        <v>1070.6700000000005</v>
      </c>
      <c r="AF900">
        <f t="shared" si="125"/>
        <v>0.21772914361944434</v>
      </c>
      <c r="AG900" t="str">
        <f t="shared" si="126"/>
        <v>June</v>
      </c>
      <c r="AH900">
        <f t="shared" si="127"/>
        <v>2024</v>
      </c>
      <c r="AI900" t="str">
        <f t="shared" si="128"/>
        <v>Clean</v>
      </c>
    </row>
    <row r="901" spans="1:35" ht="15.75" customHeight="1">
      <c r="A901" s="3" t="s">
        <v>4067</v>
      </c>
      <c r="B901" s="3" t="s">
        <v>1681</v>
      </c>
      <c r="C901" s="3" t="s">
        <v>4068</v>
      </c>
      <c r="D901" s="3" t="str">
        <f t="shared" si="102"/>
        <v>06-Mar-2025</v>
      </c>
      <c r="E901" s="3" t="str">
        <f t="shared" si="103"/>
        <v>27-May-2025</v>
      </c>
      <c r="F901" s="3">
        <f t="shared" si="104"/>
        <v>-82</v>
      </c>
      <c r="G901" s="3" t="s">
        <v>4069</v>
      </c>
      <c r="H901" s="3" t="s">
        <v>33</v>
      </c>
      <c r="I901" s="3" t="s">
        <v>34</v>
      </c>
      <c r="J901" s="3" t="s">
        <v>35</v>
      </c>
      <c r="K901" s="3" t="s">
        <v>162</v>
      </c>
      <c r="L901" s="3" t="s">
        <v>163</v>
      </c>
      <c r="M901" s="3" t="s">
        <v>53</v>
      </c>
      <c r="N901" s="3" t="s">
        <v>84</v>
      </c>
      <c r="O901" s="3" t="s">
        <v>4070</v>
      </c>
      <c r="P901" s="3" t="s">
        <v>64</v>
      </c>
      <c r="Q901" s="3">
        <v>5</v>
      </c>
      <c r="R901" s="3">
        <v>881.08</v>
      </c>
      <c r="S901" s="3">
        <v>0.25</v>
      </c>
      <c r="T901" s="3">
        <v>3304.05</v>
      </c>
      <c r="U901" s="3">
        <v>2279.41</v>
      </c>
      <c r="V901" s="3">
        <v>1024.6400000000001</v>
      </c>
      <c r="W901" s="3" t="s">
        <v>208</v>
      </c>
      <c r="X901" s="3" t="s">
        <v>86</v>
      </c>
      <c r="Y901" s="2" t="str">
        <f t="shared" si="105"/>
        <v>Unique</v>
      </c>
      <c r="AA901" s="2" t="str">
        <f t="shared" si="106"/>
        <v>Clean</v>
      </c>
      <c r="AB901" s="2" t="str">
        <f t="shared" si="107"/>
        <v>Invalid</v>
      </c>
      <c r="AC901">
        <f t="shared" si="122"/>
        <v>0.25</v>
      </c>
      <c r="AD901">
        <f t="shared" si="123"/>
        <v>3304.05</v>
      </c>
      <c r="AE901">
        <f t="shared" si="124"/>
        <v>1024.6400000000003</v>
      </c>
      <c r="AF901">
        <f t="shared" si="125"/>
        <v>0.31011637233092726</v>
      </c>
      <c r="AG901" t="str">
        <f t="shared" si="126"/>
        <v>May</v>
      </c>
      <c r="AH901">
        <f t="shared" si="127"/>
        <v>2025</v>
      </c>
      <c r="AI901" t="str">
        <f t="shared" si="128"/>
        <v>Warning</v>
      </c>
    </row>
    <row r="902" spans="1:35" ht="15.75" customHeight="1">
      <c r="A902" s="3" t="s">
        <v>1676</v>
      </c>
      <c r="B902" s="3" t="s">
        <v>714</v>
      </c>
      <c r="C902" s="3" t="s">
        <v>1677</v>
      </c>
      <c r="D902" s="3" t="str">
        <f t="shared" si="102"/>
        <v>06-Dec-2024</v>
      </c>
      <c r="E902" s="3" t="str">
        <f t="shared" si="103"/>
        <v>04-Dec-2024</v>
      </c>
      <c r="F902" s="3">
        <f t="shared" si="104"/>
        <v>2</v>
      </c>
      <c r="G902" s="3" t="s">
        <v>1678</v>
      </c>
      <c r="H902" s="3" t="s">
        <v>176</v>
      </c>
      <c r="I902" s="3" t="s">
        <v>123</v>
      </c>
      <c r="J902" s="3" t="s">
        <v>50</v>
      </c>
      <c r="K902" s="3" t="s">
        <v>51</v>
      </c>
      <c r="L902" s="3" t="s">
        <v>52</v>
      </c>
      <c r="M902" s="3" t="s">
        <v>38</v>
      </c>
      <c r="N902" s="3" t="s">
        <v>206</v>
      </c>
      <c r="O902" s="3" t="s">
        <v>1679</v>
      </c>
      <c r="P902" s="3" t="s">
        <v>41</v>
      </c>
      <c r="Q902" s="3">
        <v>4</v>
      </c>
      <c r="R902" s="3">
        <v>2685.66</v>
      </c>
      <c r="S902" s="3">
        <v>0</v>
      </c>
      <c r="T902" s="3">
        <v>10989.89</v>
      </c>
      <c r="U902" s="3">
        <v>6477.37</v>
      </c>
      <c r="V902" s="3">
        <v>4265.2700000000004</v>
      </c>
      <c r="W902" s="3" t="s">
        <v>42</v>
      </c>
      <c r="X902" s="3" t="s">
        <v>43</v>
      </c>
      <c r="Y902" s="2" t="str">
        <f t="shared" si="105"/>
        <v>Duplicate Order ID</v>
      </c>
      <c r="Z902" s="5" t="s">
        <v>722</v>
      </c>
      <c r="AA902" s="2" t="str">
        <f t="shared" si="106"/>
        <v>Clean</v>
      </c>
      <c r="AB902" s="2" t="str">
        <f t="shared" si="107"/>
        <v>valid</v>
      </c>
      <c r="AC902">
        <f t="shared" si="122"/>
        <v>0</v>
      </c>
      <c r="AD902">
        <f t="shared" si="123"/>
        <v>10742.64</v>
      </c>
      <c r="AE902">
        <f t="shared" si="124"/>
        <v>4265.2699999999995</v>
      </c>
      <c r="AF902">
        <f t="shared" si="125"/>
        <v>0.39704113700170535</v>
      </c>
      <c r="AG902" t="str">
        <f t="shared" si="126"/>
        <v>December</v>
      </c>
      <c r="AH902">
        <f t="shared" si="127"/>
        <v>2024</v>
      </c>
      <c r="AI902" t="str">
        <f t="shared" si="128"/>
        <v>Clean</v>
      </c>
    </row>
    <row r="903" spans="1:35" ht="15.75" customHeight="1">
      <c r="A903" s="3" t="s">
        <v>558</v>
      </c>
      <c r="B903" s="3" t="s">
        <v>559</v>
      </c>
      <c r="C903" s="3" t="s">
        <v>77</v>
      </c>
      <c r="D903" s="3" t="str">
        <f t="shared" si="102"/>
        <v>29-Aug-2025</v>
      </c>
      <c r="E903" s="3" t="str">
        <f t="shared" si="103"/>
        <v>24-Aug-2025</v>
      </c>
      <c r="F903" s="3">
        <f t="shared" si="104"/>
        <v>5</v>
      </c>
      <c r="G903" s="3" t="s">
        <v>560</v>
      </c>
      <c r="H903" s="3" t="s">
        <v>170</v>
      </c>
      <c r="I903" s="3" t="s">
        <v>49</v>
      </c>
      <c r="J903" s="3" t="s">
        <v>50</v>
      </c>
      <c r="K903" s="3" t="s">
        <v>194</v>
      </c>
      <c r="L903" s="3" t="s">
        <v>195</v>
      </c>
      <c r="M903" s="3" t="s">
        <v>94</v>
      </c>
      <c r="N903" s="3" t="s">
        <v>102</v>
      </c>
      <c r="O903" s="3" t="s">
        <v>561</v>
      </c>
      <c r="P903" s="3" t="s">
        <v>64</v>
      </c>
      <c r="Q903" s="3">
        <v>3</v>
      </c>
      <c r="R903" s="3">
        <v>3703.96</v>
      </c>
      <c r="S903" s="3">
        <v>0.15</v>
      </c>
      <c r="T903" s="3">
        <v>9549.44</v>
      </c>
      <c r="U903" s="3">
        <v>5586.28</v>
      </c>
      <c r="V903" s="3">
        <v>3858.82</v>
      </c>
      <c r="W903" s="3" t="s">
        <v>42</v>
      </c>
      <c r="X903" s="3" t="s">
        <v>133</v>
      </c>
      <c r="Y903" s="2" t="str">
        <f t="shared" si="105"/>
        <v>Duplicate Order ID</v>
      </c>
      <c r="Z903" s="5" t="s">
        <v>722</v>
      </c>
      <c r="AA903" s="2" t="str">
        <f t="shared" si="106"/>
        <v>Clean</v>
      </c>
      <c r="AB903" s="2" t="str">
        <f t="shared" si="107"/>
        <v>valid</v>
      </c>
      <c r="AC903">
        <f t="shared" si="122"/>
        <v>0.15</v>
      </c>
      <c r="AD903">
        <f t="shared" si="123"/>
        <v>9445.098</v>
      </c>
      <c r="AE903">
        <f t="shared" si="124"/>
        <v>3858.8180000000002</v>
      </c>
      <c r="AF903">
        <f t="shared" si="125"/>
        <v>0.40855245758170006</v>
      </c>
      <c r="AG903" t="str">
        <f t="shared" si="126"/>
        <v>August</v>
      </c>
      <c r="AH903">
        <f t="shared" si="127"/>
        <v>2025</v>
      </c>
      <c r="AI903" t="str">
        <f t="shared" si="128"/>
        <v>Clean</v>
      </c>
    </row>
    <row r="904" spans="1:35" ht="15.75" customHeight="1">
      <c r="A904" s="3" t="s">
        <v>1858</v>
      </c>
      <c r="B904" s="3" t="s">
        <v>1859</v>
      </c>
      <c r="C904" s="3" t="s">
        <v>1859</v>
      </c>
      <c r="D904" s="3" t="str">
        <f t="shared" si="102"/>
        <v>13-Apr-2025</v>
      </c>
      <c r="E904" s="3" t="str">
        <f t="shared" si="103"/>
        <v>13-Apr-2025</v>
      </c>
      <c r="F904" s="3">
        <f t="shared" si="104"/>
        <v>0</v>
      </c>
      <c r="G904" s="3" t="s">
        <v>1860</v>
      </c>
      <c r="H904" s="3" t="s">
        <v>176</v>
      </c>
      <c r="I904" s="3" t="s">
        <v>49</v>
      </c>
      <c r="J904" s="3" t="s">
        <v>35</v>
      </c>
      <c r="K904" s="3" t="s">
        <v>182</v>
      </c>
      <c r="L904" s="3" t="s">
        <v>183</v>
      </c>
      <c r="M904" s="3" t="s">
        <v>38</v>
      </c>
      <c r="N904" s="3" t="s">
        <v>164</v>
      </c>
      <c r="O904" s="3" t="s">
        <v>1861</v>
      </c>
      <c r="P904" s="3" t="s">
        <v>41</v>
      </c>
      <c r="Q904" s="3">
        <v>9</v>
      </c>
      <c r="R904" s="3">
        <v>1118.68</v>
      </c>
      <c r="S904" s="3">
        <v>0</v>
      </c>
      <c r="T904" s="3">
        <v>10348.43</v>
      </c>
      <c r="U904" s="3">
        <v>8595.3700000000008</v>
      </c>
      <c r="V904" s="3">
        <v>1472.75</v>
      </c>
      <c r="W904" s="3" t="s">
        <v>42</v>
      </c>
      <c r="X904" s="3" t="s">
        <v>133</v>
      </c>
      <c r="Y904" s="2" t="str">
        <f t="shared" si="105"/>
        <v>Duplicate Order ID</v>
      </c>
      <c r="Z904" s="5" t="s">
        <v>722</v>
      </c>
      <c r="AA904" s="2" t="str">
        <f t="shared" si="106"/>
        <v>Clean</v>
      </c>
      <c r="AB904" s="2" t="str">
        <f t="shared" si="107"/>
        <v>valid</v>
      </c>
      <c r="AC904">
        <f t="shared" si="122"/>
        <v>0</v>
      </c>
      <c r="AD904">
        <f t="shared" si="123"/>
        <v>10068.120000000001</v>
      </c>
      <c r="AE904">
        <f t="shared" si="124"/>
        <v>1472.75</v>
      </c>
      <c r="AF904">
        <f t="shared" si="125"/>
        <v>0.14627855051389932</v>
      </c>
      <c r="AG904" t="str">
        <f t="shared" si="126"/>
        <v>April</v>
      </c>
      <c r="AH904">
        <f t="shared" si="127"/>
        <v>2025</v>
      </c>
      <c r="AI904" t="str">
        <f t="shared" si="128"/>
        <v>Clean</v>
      </c>
    </row>
    <row r="905" spans="1:35" ht="15.75" customHeight="1">
      <c r="A905" s="3" t="s">
        <v>1191</v>
      </c>
      <c r="B905" s="3" t="s">
        <v>1192</v>
      </c>
      <c r="C905" s="3" t="s">
        <v>1193</v>
      </c>
      <c r="D905" s="3" t="str">
        <f t="shared" si="102"/>
        <v>08-Oct-2025</v>
      </c>
      <c r="E905" s="3" t="str">
        <f t="shared" si="103"/>
        <v>10-Feb-2025</v>
      </c>
      <c r="F905" s="3">
        <f t="shared" si="104"/>
        <v>240</v>
      </c>
      <c r="G905" s="3" t="s">
        <v>1194</v>
      </c>
      <c r="H905" s="3" t="s">
        <v>61</v>
      </c>
      <c r="I905" s="3" t="s">
        <v>49</v>
      </c>
      <c r="J905" s="3" t="s">
        <v>35</v>
      </c>
      <c r="K905" s="3" t="s">
        <v>162</v>
      </c>
      <c r="L905" s="3" t="s">
        <v>163</v>
      </c>
      <c r="M905" s="3" t="s">
        <v>53</v>
      </c>
      <c r="N905" s="3" t="s">
        <v>73</v>
      </c>
      <c r="O905" s="3" t="s">
        <v>1195</v>
      </c>
      <c r="P905" s="3" t="s">
        <v>75</v>
      </c>
      <c r="Q905" s="3">
        <v>4</v>
      </c>
      <c r="R905" s="3">
        <v>3944.64</v>
      </c>
      <c r="S905" s="3">
        <v>0.25</v>
      </c>
      <c r="T905" s="3">
        <v>12116.89</v>
      </c>
      <c r="U905" s="3">
        <v>6682.92</v>
      </c>
      <c r="V905" s="3">
        <v>5151</v>
      </c>
      <c r="W905" s="3" t="s">
        <v>42</v>
      </c>
      <c r="X905" s="3" t="s">
        <v>133</v>
      </c>
      <c r="Y905" s="2" t="str">
        <f t="shared" si="105"/>
        <v>Duplicate Order ID</v>
      </c>
      <c r="Z905" s="5" t="s">
        <v>722</v>
      </c>
      <c r="AA905" s="2" t="str">
        <f t="shared" si="106"/>
        <v>Clean</v>
      </c>
      <c r="AB905" s="2" t="str">
        <f t="shared" si="107"/>
        <v>valid</v>
      </c>
      <c r="AC905">
        <f t="shared" si="122"/>
        <v>0.25</v>
      </c>
      <c r="AD905">
        <f t="shared" si="123"/>
        <v>11833.92</v>
      </c>
      <c r="AE905">
        <f t="shared" si="124"/>
        <v>5151</v>
      </c>
      <c r="AF905">
        <f t="shared" si="125"/>
        <v>0.43527419485681834</v>
      </c>
      <c r="AG905" t="str">
        <f t="shared" si="126"/>
        <v>February</v>
      </c>
      <c r="AH905">
        <f t="shared" si="127"/>
        <v>2025</v>
      </c>
      <c r="AI905" t="str">
        <f t="shared" si="128"/>
        <v>Clean</v>
      </c>
    </row>
    <row r="906" spans="1:35" ht="15.75" customHeight="1">
      <c r="A906" s="3" t="s">
        <v>1601</v>
      </c>
      <c r="B906" s="3" t="s">
        <v>1107</v>
      </c>
      <c r="C906" s="3" t="s">
        <v>126</v>
      </c>
      <c r="D906" s="3" t="str">
        <f t="shared" si="102"/>
        <v>20-May-2025</v>
      </c>
      <c r="E906" s="3" t="str">
        <f t="shared" si="103"/>
        <v>18-May-2025</v>
      </c>
      <c r="F906" s="3">
        <f t="shared" si="104"/>
        <v>2</v>
      </c>
      <c r="G906" s="3" t="s">
        <v>1602</v>
      </c>
      <c r="H906" s="3" t="s">
        <v>61</v>
      </c>
      <c r="I906" s="3" t="s">
        <v>116</v>
      </c>
      <c r="J906" s="3" t="s">
        <v>81</v>
      </c>
      <c r="K906" s="3" t="s">
        <v>92</v>
      </c>
      <c r="L906" s="3" t="s">
        <v>93</v>
      </c>
      <c r="M906" s="3" t="s">
        <v>38</v>
      </c>
      <c r="N906" s="3" t="s">
        <v>117</v>
      </c>
      <c r="O906" s="3" t="s">
        <v>1603</v>
      </c>
      <c r="P906" s="3" t="s">
        <v>75</v>
      </c>
      <c r="Q906" s="3">
        <v>9</v>
      </c>
      <c r="R906" s="3">
        <v>847.76</v>
      </c>
      <c r="S906" s="3">
        <v>0.15</v>
      </c>
      <c r="T906" s="3">
        <v>6589.37</v>
      </c>
      <c r="U906" s="3">
        <v>5376.17</v>
      </c>
      <c r="V906" s="3">
        <v>1109.19</v>
      </c>
      <c r="W906" s="3" t="s">
        <v>208</v>
      </c>
      <c r="X906" s="3" t="s">
        <v>43</v>
      </c>
      <c r="Y906" s="2" t="str">
        <f t="shared" si="105"/>
        <v>Duplicate Order ID</v>
      </c>
      <c r="Z906" s="5" t="s">
        <v>722</v>
      </c>
      <c r="AA906" s="2" t="str">
        <f t="shared" si="106"/>
        <v>Clean</v>
      </c>
      <c r="AB906" s="2" t="str">
        <f t="shared" si="107"/>
        <v>valid</v>
      </c>
      <c r="AC906">
        <f t="shared" si="122"/>
        <v>0.15</v>
      </c>
      <c r="AD906">
        <f t="shared" si="123"/>
        <v>6485.3639999999996</v>
      </c>
      <c r="AE906">
        <f t="shared" si="124"/>
        <v>1109.1939999999995</v>
      </c>
      <c r="AF906">
        <f t="shared" si="125"/>
        <v>0.17103033846673826</v>
      </c>
      <c r="AG906" t="str">
        <f t="shared" si="126"/>
        <v>May</v>
      </c>
      <c r="AH906">
        <f t="shared" si="127"/>
        <v>2025</v>
      </c>
      <c r="AI906" t="str">
        <f t="shared" si="128"/>
        <v>Warning</v>
      </c>
    </row>
    <row r="907" spans="1:35" ht="15.75" customHeight="1">
      <c r="A907" s="3" t="s">
        <v>939</v>
      </c>
      <c r="B907" s="3" t="s">
        <v>120</v>
      </c>
      <c r="C907" s="3" t="s">
        <v>940</v>
      </c>
      <c r="D907" s="3" t="str">
        <f t="shared" si="102"/>
        <v>15-Sep-2025</v>
      </c>
      <c r="E907" s="3" t="str">
        <f t="shared" si="103"/>
        <v>07-Sep-2025</v>
      </c>
      <c r="F907" s="3">
        <f t="shared" si="104"/>
        <v>8</v>
      </c>
      <c r="G907" s="3" t="s">
        <v>941</v>
      </c>
      <c r="H907" s="3" t="s">
        <v>188</v>
      </c>
      <c r="I907" s="3" t="s">
        <v>116</v>
      </c>
      <c r="J907" s="3" t="s">
        <v>50</v>
      </c>
      <c r="K907" s="3" t="s">
        <v>194</v>
      </c>
      <c r="L907" s="3" t="s">
        <v>195</v>
      </c>
      <c r="M907" s="3" t="s">
        <v>94</v>
      </c>
      <c r="N907" s="3" t="s">
        <v>102</v>
      </c>
      <c r="O907" s="3" t="s">
        <v>942</v>
      </c>
      <c r="P907" s="3" t="s">
        <v>75</v>
      </c>
      <c r="Q907" s="3">
        <v>3</v>
      </c>
      <c r="R907" s="3">
        <v>1711.32</v>
      </c>
      <c r="S907" s="3">
        <v>0</v>
      </c>
      <c r="T907" s="3">
        <v>5206.53</v>
      </c>
      <c r="U907" s="3">
        <v>3930</v>
      </c>
      <c r="V907" s="3">
        <v>1203.96</v>
      </c>
      <c r="W907" s="3" t="s">
        <v>42</v>
      </c>
      <c r="X907" s="3" t="s">
        <v>133</v>
      </c>
      <c r="Y907" s="2" t="str">
        <f t="shared" si="105"/>
        <v>Duplicate Order ID</v>
      </c>
      <c r="Z907" s="5" t="s">
        <v>722</v>
      </c>
      <c r="AA907" s="2" t="str">
        <f t="shared" si="106"/>
        <v>Clean</v>
      </c>
      <c r="AB907" s="2" t="str">
        <f t="shared" si="107"/>
        <v>valid</v>
      </c>
      <c r="AC907">
        <f t="shared" si="122"/>
        <v>0</v>
      </c>
      <c r="AD907">
        <f t="shared" si="123"/>
        <v>5133.96</v>
      </c>
      <c r="AE907">
        <f t="shared" si="124"/>
        <v>1203.96</v>
      </c>
      <c r="AF907">
        <f t="shared" si="125"/>
        <v>0.23450903396208775</v>
      </c>
      <c r="AG907" t="str">
        <f t="shared" si="126"/>
        <v>September</v>
      </c>
      <c r="AH907">
        <f t="shared" si="127"/>
        <v>2025</v>
      </c>
      <c r="AI907" t="str">
        <f t="shared" si="128"/>
        <v>Clean</v>
      </c>
    </row>
    <row r="908" spans="1:35" ht="15.75" customHeight="1">
      <c r="A908" s="3" t="s">
        <v>2080</v>
      </c>
      <c r="B908" s="3" t="s">
        <v>2081</v>
      </c>
      <c r="C908" s="3" t="s">
        <v>2082</v>
      </c>
      <c r="D908" s="3" t="str">
        <f t="shared" si="102"/>
        <v>27-Feb-2024</v>
      </c>
      <c r="E908" s="3" t="str">
        <f t="shared" si="103"/>
        <v>20-Feb-2024</v>
      </c>
      <c r="F908" s="3">
        <f t="shared" si="104"/>
        <v>7</v>
      </c>
      <c r="G908" s="3" t="s">
        <v>2083</v>
      </c>
      <c r="H908" s="3" t="s">
        <v>218</v>
      </c>
      <c r="I908" s="3" t="s">
        <v>34</v>
      </c>
      <c r="J908" s="3" t="s">
        <v>70</v>
      </c>
      <c r="K908" s="3" t="s">
        <v>250</v>
      </c>
      <c r="L908" s="3" t="s">
        <v>251</v>
      </c>
      <c r="M908" s="3" t="s">
        <v>94</v>
      </c>
      <c r="N908" s="3" t="s">
        <v>95</v>
      </c>
      <c r="O908" s="3" t="s">
        <v>2084</v>
      </c>
      <c r="P908" s="3" t="s">
        <v>64</v>
      </c>
      <c r="Q908" s="3">
        <v>9</v>
      </c>
      <c r="R908" s="3">
        <v>3779.31</v>
      </c>
      <c r="S908" s="3">
        <v>0.2</v>
      </c>
      <c r="T908" s="3">
        <v>27322.9</v>
      </c>
      <c r="U908" s="3">
        <v>17940.43</v>
      </c>
      <c r="V908" s="3">
        <v>9270.6</v>
      </c>
      <c r="W908" s="3" t="s">
        <v>42</v>
      </c>
      <c r="X908" s="3" t="s">
        <v>133</v>
      </c>
      <c r="Y908" s="2" t="str">
        <f t="shared" si="105"/>
        <v>Duplicate Order ID</v>
      </c>
      <c r="Z908" s="5" t="s">
        <v>722</v>
      </c>
      <c r="AA908" s="2" t="str">
        <f t="shared" si="106"/>
        <v>Clean</v>
      </c>
      <c r="AB908" s="2" t="str">
        <f t="shared" si="107"/>
        <v>valid</v>
      </c>
      <c r="AC908">
        <f t="shared" si="122"/>
        <v>0.2</v>
      </c>
      <c r="AD908">
        <f t="shared" si="123"/>
        <v>27211.032000000003</v>
      </c>
      <c r="AE908">
        <f t="shared" si="124"/>
        <v>9270.6020000000026</v>
      </c>
      <c r="AF908">
        <f t="shared" si="125"/>
        <v>0.34069277490100347</v>
      </c>
      <c r="AG908" t="str">
        <f t="shared" si="126"/>
        <v>February</v>
      </c>
      <c r="AH908">
        <f t="shared" si="127"/>
        <v>2024</v>
      </c>
      <c r="AI908" t="str">
        <f t="shared" si="128"/>
        <v>Clean</v>
      </c>
    </row>
    <row r="909" spans="1:35" ht="15.75" customHeight="1">
      <c r="A909" s="3" t="s">
        <v>2727</v>
      </c>
      <c r="B909" s="3" t="s">
        <v>2663</v>
      </c>
      <c r="C909" s="3" t="s">
        <v>2728</v>
      </c>
      <c r="D909" s="3" t="str">
        <f t="shared" si="102"/>
        <v>14-Feb-2025</v>
      </c>
      <c r="E909" s="3" t="str">
        <f t="shared" si="103"/>
        <v>10-Feb-2025</v>
      </c>
      <c r="F909" s="3">
        <f t="shared" si="104"/>
        <v>4</v>
      </c>
      <c r="G909" s="3" t="s">
        <v>2729</v>
      </c>
      <c r="H909" s="3" t="s">
        <v>150</v>
      </c>
      <c r="I909" s="3" t="s">
        <v>49</v>
      </c>
      <c r="J909" s="3" t="s">
        <v>35</v>
      </c>
      <c r="K909" s="3" t="s">
        <v>182</v>
      </c>
      <c r="L909" s="3" t="s">
        <v>183</v>
      </c>
      <c r="M909" s="3" t="s">
        <v>94</v>
      </c>
      <c r="N909" s="3" t="s">
        <v>231</v>
      </c>
      <c r="O909" s="3" t="s">
        <v>2730</v>
      </c>
      <c r="P909" s="3" t="s">
        <v>280</v>
      </c>
      <c r="Q909" s="3">
        <v>5</v>
      </c>
      <c r="R909" s="3">
        <v>4276.29</v>
      </c>
      <c r="S909" s="3">
        <v>0</v>
      </c>
      <c r="T909" s="3">
        <v>21443.63</v>
      </c>
      <c r="U909" s="3">
        <v>13240.21</v>
      </c>
      <c r="V909" s="3">
        <v>8141.24</v>
      </c>
      <c r="W909" s="3" t="s">
        <v>208</v>
      </c>
      <c r="X909" s="3" t="s">
        <v>43</v>
      </c>
      <c r="Y909" s="2" t="str">
        <f t="shared" si="105"/>
        <v>Duplicate Order ID</v>
      </c>
      <c r="Z909" s="5" t="s">
        <v>722</v>
      </c>
      <c r="AA909" s="2" t="str">
        <f t="shared" si="106"/>
        <v>Clean</v>
      </c>
      <c r="AB909" s="2" t="str">
        <f t="shared" si="107"/>
        <v>valid</v>
      </c>
      <c r="AC909">
        <f t="shared" si="122"/>
        <v>0</v>
      </c>
      <c r="AD909">
        <f t="shared" si="123"/>
        <v>21381.45</v>
      </c>
      <c r="AE909">
        <f t="shared" si="124"/>
        <v>8141.2400000000016</v>
      </c>
      <c r="AF909">
        <f t="shared" si="125"/>
        <v>0.38076182859441249</v>
      </c>
      <c r="AG909" t="str">
        <f t="shared" si="126"/>
        <v>February</v>
      </c>
      <c r="AH909">
        <f t="shared" si="127"/>
        <v>2025</v>
      </c>
      <c r="AI909" t="str">
        <f t="shared" si="128"/>
        <v>Warning</v>
      </c>
    </row>
    <row r="910" spans="1:35" ht="15.75" customHeight="1">
      <c r="A910" s="3" t="s">
        <v>808</v>
      </c>
      <c r="B910" s="3" t="s">
        <v>809</v>
      </c>
      <c r="C910" s="3" t="s">
        <v>810</v>
      </c>
      <c r="D910" s="3" t="str">
        <f t="shared" si="102"/>
        <v>26-Mar-2024</v>
      </c>
      <c r="E910" s="3" t="str">
        <f t="shared" si="103"/>
        <v>30-Mar-2024</v>
      </c>
      <c r="F910" s="3">
        <f t="shared" si="104"/>
        <v>-4</v>
      </c>
      <c r="G910" s="3" t="s">
        <v>811</v>
      </c>
      <c r="H910" s="3" t="s">
        <v>115</v>
      </c>
      <c r="I910" s="3" t="s">
        <v>123</v>
      </c>
      <c r="J910" s="3" t="s">
        <v>35</v>
      </c>
      <c r="K910" s="3" t="s">
        <v>36</v>
      </c>
      <c r="L910" s="3" t="s">
        <v>37</v>
      </c>
      <c r="M910" s="3" t="s">
        <v>94</v>
      </c>
      <c r="N910" s="3" t="s">
        <v>231</v>
      </c>
      <c r="O910" s="3" t="s">
        <v>812</v>
      </c>
      <c r="P910" s="3" t="s">
        <v>41</v>
      </c>
      <c r="Q910" s="3">
        <v>5</v>
      </c>
      <c r="R910" s="3">
        <v>907.54</v>
      </c>
      <c r="S910" s="3">
        <v>0.15</v>
      </c>
      <c r="T910" s="3">
        <v>4099.6899999999996</v>
      </c>
      <c r="U910" s="3">
        <v>2769.26</v>
      </c>
      <c r="V910" s="3">
        <v>1087.78</v>
      </c>
      <c r="W910" s="3" t="s">
        <v>42</v>
      </c>
      <c r="X910" s="3" t="s">
        <v>133</v>
      </c>
      <c r="Y910" s="2" t="str">
        <f t="shared" si="105"/>
        <v>Duplicate Order ID</v>
      </c>
      <c r="Z910" s="5" t="s">
        <v>722</v>
      </c>
      <c r="AA910" s="2" t="str">
        <f t="shared" si="106"/>
        <v>Clean</v>
      </c>
      <c r="AB910" s="2" t="str">
        <f t="shared" si="107"/>
        <v>Invalid</v>
      </c>
      <c r="AC910">
        <f t="shared" si="122"/>
        <v>0.15</v>
      </c>
      <c r="AD910">
        <f t="shared" si="123"/>
        <v>3857.0449999999996</v>
      </c>
      <c r="AE910">
        <f t="shared" si="124"/>
        <v>1087.7849999999994</v>
      </c>
      <c r="AF910">
        <f t="shared" si="125"/>
        <v>0.28202548842442843</v>
      </c>
      <c r="AG910" t="str">
        <f t="shared" si="126"/>
        <v>March</v>
      </c>
      <c r="AH910">
        <f t="shared" si="127"/>
        <v>2024</v>
      </c>
      <c r="AI910" t="str">
        <f t="shared" si="128"/>
        <v>Clean</v>
      </c>
    </row>
    <row r="911" spans="1:35" ht="15.75" customHeight="1">
      <c r="A911" s="3" t="s">
        <v>1407</v>
      </c>
      <c r="B911" s="3" t="s">
        <v>1408</v>
      </c>
      <c r="C911" s="3" t="s">
        <v>1409</v>
      </c>
      <c r="D911" s="3" t="str">
        <f t="shared" si="102"/>
        <v>24-Aug-2024</v>
      </c>
      <c r="E911" s="3" t="str">
        <f t="shared" si="103"/>
        <v>18-Aug-2024</v>
      </c>
      <c r="F911" s="3">
        <f t="shared" si="104"/>
        <v>6</v>
      </c>
      <c r="G911" s="3" t="s">
        <v>1410</v>
      </c>
      <c r="H911" s="3" t="s">
        <v>69</v>
      </c>
      <c r="I911" s="3" t="s">
        <v>34</v>
      </c>
      <c r="J911" s="3" t="s">
        <v>70</v>
      </c>
      <c r="K911" s="3" t="s">
        <v>108</v>
      </c>
      <c r="L911" s="3" t="s">
        <v>109</v>
      </c>
      <c r="M911" s="3" t="s">
        <v>53</v>
      </c>
      <c r="N911" s="3" t="s">
        <v>84</v>
      </c>
      <c r="O911" s="3" t="s">
        <v>1411</v>
      </c>
      <c r="P911" s="3" t="s">
        <v>64</v>
      </c>
      <c r="Q911" s="3">
        <v>7</v>
      </c>
      <c r="R911" s="3">
        <v>557.21</v>
      </c>
      <c r="S911" s="3">
        <v>0.1</v>
      </c>
      <c r="T911" s="3">
        <v>3797.79</v>
      </c>
      <c r="U911" s="3">
        <v>2191.5</v>
      </c>
      <c r="V911" s="3">
        <v>1213.48</v>
      </c>
      <c r="W911" s="3" t="s">
        <v>42</v>
      </c>
      <c r="X911" s="3" t="s">
        <v>133</v>
      </c>
      <c r="Y911" s="2" t="str">
        <f t="shared" si="105"/>
        <v>Duplicate Order ID</v>
      </c>
      <c r="Z911" s="5" t="s">
        <v>722</v>
      </c>
      <c r="AA911" s="2" t="str">
        <f t="shared" si="106"/>
        <v>Clean</v>
      </c>
      <c r="AB911" s="2" t="str">
        <f t="shared" si="107"/>
        <v>valid</v>
      </c>
      <c r="AC911">
        <f t="shared" si="122"/>
        <v>0.1</v>
      </c>
      <c r="AD911">
        <f t="shared" si="123"/>
        <v>3510.4230000000002</v>
      </c>
      <c r="AE911">
        <f t="shared" si="124"/>
        <v>1318.9230000000002</v>
      </c>
      <c r="AF911">
        <f t="shared" si="125"/>
        <v>0.37571625983535323</v>
      </c>
      <c r="AG911" t="str">
        <f t="shared" si="126"/>
        <v>August</v>
      </c>
      <c r="AH911">
        <f t="shared" si="127"/>
        <v>2024</v>
      </c>
      <c r="AI911" t="str">
        <f t="shared" si="128"/>
        <v>Clean</v>
      </c>
    </row>
    <row r="912" spans="1:35" ht="15.75" customHeight="1">
      <c r="A912" s="3" t="s">
        <v>717</v>
      </c>
      <c r="B912" s="3" t="s">
        <v>718</v>
      </c>
      <c r="C912" s="3" t="s">
        <v>719</v>
      </c>
      <c r="D912" s="3" t="str">
        <f t="shared" si="102"/>
        <v>25-May-2024</v>
      </c>
      <c r="E912" s="3" t="str">
        <f t="shared" si="103"/>
        <v>24-May-2024</v>
      </c>
      <c r="F912" s="3">
        <f t="shared" si="104"/>
        <v>1</v>
      </c>
      <c r="G912" s="3" t="s">
        <v>720</v>
      </c>
      <c r="H912" s="3" t="s">
        <v>176</v>
      </c>
      <c r="I912" s="3" t="s">
        <v>49</v>
      </c>
      <c r="J912" s="3" t="s">
        <v>35</v>
      </c>
      <c r="K912" s="3" t="s">
        <v>162</v>
      </c>
      <c r="L912" s="3" t="s">
        <v>163</v>
      </c>
      <c r="M912" s="3" t="s">
        <v>94</v>
      </c>
      <c r="N912" s="3" t="s">
        <v>102</v>
      </c>
      <c r="O912" s="3" t="s">
        <v>721</v>
      </c>
      <c r="P912" s="3" t="s">
        <v>56</v>
      </c>
      <c r="Q912" s="3">
        <v>1</v>
      </c>
      <c r="R912" s="3">
        <v>634.13</v>
      </c>
      <c r="S912" s="3">
        <v>0</v>
      </c>
      <c r="T912" s="3">
        <v>808.67</v>
      </c>
      <c r="U912" s="3">
        <v>453.35</v>
      </c>
      <c r="V912" s="3">
        <v>180.78</v>
      </c>
      <c r="W912" s="3" t="s">
        <v>132</v>
      </c>
      <c r="X912" s="3" t="s">
        <v>133</v>
      </c>
      <c r="Y912" s="2" t="str">
        <f t="shared" si="105"/>
        <v>Duplicate Order ID</v>
      </c>
      <c r="Z912" s="5" t="s">
        <v>722</v>
      </c>
      <c r="AA912" s="2" t="str">
        <f t="shared" si="106"/>
        <v>Clean</v>
      </c>
      <c r="AB912" s="2" t="str">
        <f t="shared" si="107"/>
        <v>valid</v>
      </c>
      <c r="AC912">
        <f t="shared" si="122"/>
        <v>0</v>
      </c>
      <c r="AD912">
        <f t="shared" si="123"/>
        <v>634.13</v>
      </c>
      <c r="AE912">
        <f t="shared" si="124"/>
        <v>180.77999999999997</v>
      </c>
      <c r="AF912">
        <f t="shared" si="125"/>
        <v>0.28508350022865969</v>
      </c>
      <c r="AG912" t="str">
        <f t="shared" si="126"/>
        <v>May</v>
      </c>
      <c r="AH912">
        <f t="shared" si="127"/>
        <v>2024</v>
      </c>
      <c r="AI912" t="str">
        <f t="shared" si="128"/>
        <v>Clean</v>
      </c>
    </row>
    <row r="913" spans="1:35" ht="15.75" customHeight="1">
      <c r="A913" s="3" t="s">
        <v>1695</v>
      </c>
      <c r="B913" s="3" t="s">
        <v>1696</v>
      </c>
      <c r="C913" s="3" t="s">
        <v>1697</v>
      </c>
      <c r="D913" s="3" t="str">
        <f t="shared" si="102"/>
        <v>18-Jun-2025</v>
      </c>
      <c r="E913" s="3" t="str">
        <f t="shared" si="103"/>
        <v>16-Jun-2025</v>
      </c>
      <c r="F913" s="3">
        <f t="shared" si="104"/>
        <v>2</v>
      </c>
      <c r="G913" s="3" t="s">
        <v>1698</v>
      </c>
      <c r="H913" s="3" t="s">
        <v>156</v>
      </c>
      <c r="I913" s="3" t="s">
        <v>123</v>
      </c>
      <c r="J913" s="3" t="s">
        <v>81</v>
      </c>
      <c r="K913" s="3" t="s">
        <v>92</v>
      </c>
      <c r="L913" s="3" t="s">
        <v>93</v>
      </c>
      <c r="M913" s="3" t="s">
        <v>38</v>
      </c>
      <c r="N913" s="3" t="s">
        <v>39</v>
      </c>
      <c r="O913" s="3" t="s">
        <v>1699</v>
      </c>
      <c r="P913" s="3" t="s">
        <v>64</v>
      </c>
      <c r="Q913" s="3">
        <v>3</v>
      </c>
      <c r="R913" s="3">
        <v>4289.37</v>
      </c>
      <c r="S913" s="3">
        <v>0.1</v>
      </c>
      <c r="T913" s="3">
        <v>11778.71</v>
      </c>
      <c r="U913" s="3">
        <v>6829.43</v>
      </c>
      <c r="V913" s="3">
        <v>4751.87</v>
      </c>
      <c r="W913" s="3" t="s">
        <v>42</v>
      </c>
      <c r="X913" s="3" t="s">
        <v>133</v>
      </c>
      <c r="Y913" s="2" t="str">
        <f t="shared" si="105"/>
        <v>Duplicate Order ID</v>
      </c>
      <c r="Z913" s="5" t="s">
        <v>722</v>
      </c>
      <c r="AA913" s="2" t="str">
        <f t="shared" si="106"/>
        <v>Clean</v>
      </c>
      <c r="AB913" s="2" t="str">
        <f t="shared" si="107"/>
        <v>valid</v>
      </c>
      <c r="AC913">
        <f t="shared" si="122"/>
        <v>0.1</v>
      </c>
      <c r="AD913">
        <f t="shared" si="123"/>
        <v>11581.299000000001</v>
      </c>
      <c r="AE913">
        <f t="shared" si="124"/>
        <v>4751.8690000000006</v>
      </c>
      <c r="AF913">
        <f t="shared" si="125"/>
        <v>0.41030535521101735</v>
      </c>
      <c r="AG913" t="str">
        <f t="shared" si="126"/>
        <v>June</v>
      </c>
      <c r="AH913">
        <f t="shared" si="127"/>
        <v>2025</v>
      </c>
      <c r="AI913" t="str">
        <f t="shared" si="128"/>
        <v>Clean</v>
      </c>
    </row>
    <row r="914" spans="1:35" ht="15.75" customHeight="1"/>
    <row r="915" spans="1:35" ht="15.75" customHeight="1"/>
    <row r="916" spans="1:35" ht="15.75" customHeight="1"/>
    <row r="917" spans="1:35" ht="15.75" customHeight="1"/>
    <row r="918" spans="1:35" ht="15.75" customHeight="1"/>
    <row r="919" spans="1:35" ht="15.75" customHeight="1"/>
    <row r="920" spans="1:35" ht="15.75" customHeight="1"/>
    <row r="921" spans="1:35" ht="15.75" customHeight="1"/>
    <row r="922" spans="1:35" ht="15.75" customHeight="1"/>
    <row r="923" spans="1:35" ht="15.75" customHeight="1"/>
    <row r="924" spans="1:35" ht="15.75" customHeight="1"/>
    <row r="925" spans="1:35" ht="15.75" customHeight="1"/>
    <row r="926" spans="1:35" ht="15.75" customHeight="1"/>
    <row r="927" spans="1:35" ht="15.75" customHeight="1"/>
    <row r="928" spans="1:35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000"/>
  <sheetViews>
    <sheetView workbookViewId="0"/>
  </sheetViews>
  <sheetFormatPr defaultColWidth="12.6640625" defaultRowHeight="15" customHeight="1"/>
  <cols>
    <col min="1" max="2" width="28" customWidth="1"/>
    <col min="3" max="26" width="8.6640625" customWidth="1"/>
  </cols>
  <sheetData>
    <row r="1" spans="1:2" ht="27.75" customHeight="1">
      <c r="A1" s="1" t="s">
        <v>4071</v>
      </c>
      <c r="B1" s="1" t="s">
        <v>4072</v>
      </c>
    </row>
    <row r="2" spans="1:2" ht="42">
      <c r="A2" s="6" t="s">
        <v>4073</v>
      </c>
      <c r="B2" s="6" t="s">
        <v>4074</v>
      </c>
    </row>
    <row r="3" spans="1:2" ht="28">
      <c r="A3" s="6" t="s">
        <v>4075</v>
      </c>
      <c r="B3" s="6" t="s">
        <v>4076</v>
      </c>
    </row>
    <row r="4" spans="1:2" ht="28">
      <c r="A4" s="6" t="s">
        <v>4077</v>
      </c>
      <c r="B4" s="6" t="s">
        <v>4076</v>
      </c>
    </row>
    <row r="5" spans="1:2" ht="28">
      <c r="A5" s="6" t="s">
        <v>4078</v>
      </c>
      <c r="B5" s="6" t="s">
        <v>4079</v>
      </c>
    </row>
    <row r="6" spans="1:2" ht="42">
      <c r="A6" s="6" t="s">
        <v>4080</v>
      </c>
      <c r="B6" s="6" t="s">
        <v>4081</v>
      </c>
    </row>
    <row r="7" spans="1:2" ht="56">
      <c r="A7" s="6" t="s">
        <v>4082</v>
      </c>
      <c r="B7" s="6" t="s">
        <v>4083</v>
      </c>
    </row>
    <row r="8" spans="1:2" ht="28">
      <c r="A8" s="6" t="s">
        <v>4084</v>
      </c>
      <c r="B8" s="6" t="s">
        <v>4085</v>
      </c>
    </row>
    <row r="9" spans="1:2" ht="42">
      <c r="A9" s="6" t="s">
        <v>4086</v>
      </c>
      <c r="B9" s="6" t="s">
        <v>4087</v>
      </c>
    </row>
    <row r="10" spans="1:2" ht="70">
      <c r="A10" s="6" t="s">
        <v>4088</v>
      </c>
      <c r="B10" s="6" t="s">
        <v>4089</v>
      </c>
    </row>
    <row r="11" spans="1:2" ht="28">
      <c r="A11" s="6" t="s">
        <v>4090</v>
      </c>
      <c r="B11" s="6" t="s">
        <v>4091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Sales by Region</vt:lpstr>
      <vt:lpstr>Category Summary</vt:lpstr>
      <vt:lpstr>Ship Mode Summary</vt:lpstr>
      <vt:lpstr>Customer Segment Summary</vt:lpstr>
      <vt:lpstr>Order status by region(filter)</vt:lpstr>
      <vt:lpstr>Monthly sales trend</vt:lpstr>
      <vt:lpstr>Clean_orders</vt:lpstr>
      <vt:lpstr>business_rules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2026-06-23T13:34:06Z</dcterms:created>
  <dcterms:modified xsi:type="dcterms:W3CDTF">2026-06-23T13:40:19Z</dcterms:modified>
</cp:coreProperties>
</file>